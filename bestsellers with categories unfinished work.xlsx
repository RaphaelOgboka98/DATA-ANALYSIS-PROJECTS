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A7FB8C46-969F-4385-AED8-A3940BEBAE72}" xr6:coauthVersionLast="47" xr6:coauthVersionMax="47" xr10:uidLastSave="{00000000-0000-0000-0000-000000000000}"/>
  <bookViews>
    <workbookView xWindow="-120" yWindow="-120" windowWidth="20730" windowHeight="11160" xr2:uid="{00000000-000D-0000-FFFF-FFFF00000000}"/>
  </bookViews>
  <sheets>
    <sheet name="bestsellers with categories (3)" sheetId="5" r:id="rId1"/>
    <sheet name="Most Expensive Book" sheetId="4" r:id="rId2"/>
    <sheet name="least Expensive Book" sheetId="1" r:id="rId3"/>
    <sheet name="max 4.9" sheetId="2" r:id="rId4"/>
    <sheet name="min 3.3" sheetId="3" r:id="rId5"/>
    <sheet name="least Expensive Book (2)" sheetId="6" r:id="rId6"/>
    <sheet name="Task 3 visualisation" sheetId="7" r:id="rId7"/>
    <sheet name="Task 4 Insight n Recomm" sheetId="9" r:id="rId8"/>
  </sheets>
  <definedNames>
    <definedName name="_xlnm._FilterDatabase" localSheetId="0" hidden="1">'bestsellers with categories (3)'!$A$1:$S$563</definedName>
    <definedName name="_xlnm._FilterDatabase" localSheetId="2" hidden="1">'least Expensive Book'!$A$1:$I$563</definedName>
    <definedName name="_xlnm._FilterDatabase" localSheetId="5" hidden="1">'least Expensive Book (2)'!$A$1:$G$563</definedName>
    <definedName name="_xlnm._FilterDatabase" localSheetId="3" hidden="1">'max 4.9'!$A$1:$I$551</definedName>
    <definedName name="_xlnm._FilterDatabase" localSheetId="4" hidden="1">'min 3.3'!$A$1:$I$551</definedName>
    <definedName name="_xlnm._FilterDatabase" localSheetId="1" hidden="1">'Most Expensive Book'!$A$1:$I$551</definedName>
    <definedName name="_xlnm._FilterDatabase" localSheetId="6" hidden="1">'Task 3 visualisation'!$A$1:$G$563</definedName>
    <definedName name="_xlnm._FilterDatabase" localSheetId="7" hidden="1">'Task 4 Insight n Recomm'!$A$1:$G$10</definedName>
    <definedName name="Slicer_Genre1">#N/A</definedName>
    <definedName name="Slicer_Year1">#N/A</definedName>
  </definedNames>
  <calcPr calcId="191029"/>
  <pivotCaches>
    <pivotCache cacheId="2" r:id="rId9"/>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4:slicerCache r:id="rId11"/>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4" l="1"/>
  <c r="I2" i="4" s="1" a="1"/>
  <c r="I2" i="4" s="1"/>
  <c r="J3" i="7"/>
  <c r="J2" i="7"/>
  <c r="L3" i="6"/>
  <c r="L4" i="6"/>
  <c r="L5" i="6"/>
  <c r="L6" i="6"/>
  <c r="L7" i="6"/>
  <c r="L8" i="6"/>
  <c r="L9" i="6"/>
  <c r="L10" i="6"/>
  <c r="L11" i="6"/>
  <c r="L12" i="6"/>
  <c r="L2" i="6"/>
  <c r="J5" i="5"/>
  <c r="J4" i="5"/>
  <c r="O3" i="5"/>
  <c r="Q2" i="5"/>
  <c r="S4" i="5" s="1" a="1"/>
  <c r="S4" i="5" s="1"/>
  <c r="P2" i="5"/>
  <c r="R2" i="5" s="1" a="1"/>
  <c r="R2" i="5" s="1"/>
  <c r="O2" i="5"/>
  <c r="N2" i="5"/>
  <c r="K2" i="5"/>
  <c r="L2" i="5" s="1"/>
  <c r="J2" i="5"/>
  <c r="I2" i="5"/>
  <c r="H2" i="5"/>
  <c r="H2" i="1"/>
  <c r="I4" i="1" s="1" a="1"/>
  <c r="I4" i="1" s="1"/>
  <c r="I2" i="3" a="1"/>
  <c r="I2" i="3" s="1"/>
  <c r="H2" i="3"/>
  <c r="H8" i="2"/>
  <c r="H2" i="2"/>
  <c r="I2" i="2" s="1" a="1"/>
  <c r="I2"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<sst xmlns="http://schemas.openxmlformats.org/spreadsheetml/2006/main" count="13350" uniqueCount="657">
  <si>
    <t>Name</t>
  </si>
  <si>
    <t>User Rating</t>
  </si>
  <si>
    <t>Reviews</t>
  </si>
  <si>
    <t>Price</t>
  </si>
  <si>
    <t>Year</t>
  </si>
  <si>
    <t>Genre</t>
  </si>
  <si>
    <t>10-Day Green Smoothie Cleanse</t>
  </si>
  <si>
    <t>JJ Smith</t>
  </si>
  <si>
    <t>Non Fiction</t>
  </si>
  <si>
    <t>Stephen King</t>
  </si>
  <si>
    <t>Fiction</t>
  </si>
  <si>
    <t>12 Rules for Life: An Antidote to Chaos</t>
  </si>
  <si>
    <t>Jordan B. Peterson</t>
  </si>
  <si>
    <t>1984 (Signet Classics)</t>
  </si>
  <si>
    <t>George Orwell</t>
  </si>
  <si>
    <t>5,000 Awesome Facts (About Everything!) (National Geographic Kids)</t>
  </si>
  <si>
    <t>National Geographic Kids</t>
  </si>
  <si>
    <t>A Dance with Dragons (A Song of Ice and Fire)</t>
  </si>
  <si>
    <t>George R. R. Martin</t>
  </si>
  <si>
    <t>A Game of Thrones / A Clash of Kings / A Storm of Swords / A Feast of Crows / A Dance with Dragons</t>
  </si>
  <si>
    <t>A Gentleman in Moscow: A Novel</t>
  </si>
  <si>
    <t>Amor Towles</t>
  </si>
  <si>
    <t>A Higher Loyalty: Truth, Lies, and Leadership</t>
  </si>
  <si>
    <t>James Comey</t>
  </si>
  <si>
    <t>A Man Called Ove: A Novel</t>
  </si>
  <si>
    <t>Fredrik Backman</t>
  </si>
  <si>
    <t>A Patriot's History of the United States: From Columbus's Great Discovery to the War on Terror</t>
  </si>
  <si>
    <t>Larry Schweikart</t>
  </si>
  <si>
    <t>A Stolen Life: A Memoir</t>
  </si>
  <si>
    <t>Jaycee Dugard</t>
  </si>
  <si>
    <t>A Wrinkle in Time (Time Quintet)</t>
  </si>
  <si>
    <t>Madeleine L'Engle</t>
  </si>
  <si>
    <t>Act Like a Lady, Think Like a Man: What Men Really Think About Love, Relationships, Intimacy, and Commitment</t>
  </si>
  <si>
    <t>Steve Harvey</t>
  </si>
  <si>
    <t>Adult Coloring Book Designs: Stress Relief Coloring Book: Garden Designs, Mandalas, Animals, and Paisley Patterns</t>
  </si>
  <si>
    <t>Adult Coloring Book Designs</t>
  </si>
  <si>
    <t>Adult Coloring Book: Stress Relieving Animal Designs</t>
  </si>
  <si>
    <t>Blue Star Coloring</t>
  </si>
  <si>
    <t>Adult Coloring Book: Stress Relieving Patterns</t>
  </si>
  <si>
    <t>Adult Coloring Books: A Coloring Book for Adults Featuring Mandalas and Henna Inspired Flowers, Animals, and Paisleyâ€¦</t>
  </si>
  <si>
    <t>Coloring Books for Adults</t>
  </si>
  <si>
    <t>Alexander Hamilton</t>
  </si>
  <si>
    <t>Ron Chernow</t>
  </si>
  <si>
    <t>All the Light We Cannot See</t>
  </si>
  <si>
    <t>Anthony Doerr</t>
  </si>
  <si>
    <t>Allegiant</t>
  </si>
  <si>
    <t>Veronica Roth</t>
  </si>
  <si>
    <t>American Sniper: The Autobiography of the Most Lethal Sniper in U.S. Military History</t>
  </si>
  <si>
    <t>Chris Kyle</t>
  </si>
  <si>
    <t>And the Mountains Echoed</t>
  </si>
  <si>
    <t>Khaled Hosseini</t>
  </si>
  <si>
    <t>Arguing with Idiots: How to Stop Small Minds and Big Government</t>
  </si>
  <si>
    <t>Glenn Beck</t>
  </si>
  <si>
    <t>Astrophysics for People in a Hurry</t>
  </si>
  <si>
    <t>Neil deGrasse Tyson</t>
  </si>
  <si>
    <t>Autobiography of Mark Twain, Vol. 1</t>
  </si>
  <si>
    <t>Mark Twain</t>
  </si>
  <si>
    <t>Baby Touch and Feel: Animals</t>
  </si>
  <si>
    <t>DK</t>
  </si>
  <si>
    <t>Balance (Angie's Extreme Stress Menders)</t>
  </si>
  <si>
    <t>Angie Grace</t>
  </si>
  <si>
    <t>Barefoot Contessa Foolproof: Recipes You Can Trust: A Cookbook</t>
  </si>
  <si>
    <t>Ina Garten</t>
  </si>
  <si>
    <t>Barefoot Contessa, How Easy Is That?: Fabulous Recipes &amp; Easy Tips</t>
  </si>
  <si>
    <t>Becoming</t>
  </si>
  <si>
    <t>Michelle Obama</t>
  </si>
  <si>
    <t>Being Mortal: Medicine and What Matters in the End</t>
  </si>
  <si>
    <t>Atul Gawande</t>
  </si>
  <si>
    <t>Between the World and Me</t>
  </si>
  <si>
    <t>Ta-Nehisi Coates</t>
  </si>
  <si>
    <t>Born to Run</t>
  </si>
  <si>
    <t>Bruce Springsteen</t>
  </si>
  <si>
    <t>Breaking Dawn (The Twilight Saga, Book 4)</t>
  </si>
  <si>
    <t>Stephenie Meyer</t>
  </si>
  <si>
    <t>Broke: The Plan to Restore Our Trust, Truth and Treasure</t>
  </si>
  <si>
    <t>Brown Bear, Brown Bear, What Do You See?</t>
  </si>
  <si>
    <t>Bill Martin Jr.</t>
  </si>
  <si>
    <t>Cabin Fever (Diary of a Wimpy Kid, Book 6)</t>
  </si>
  <si>
    <t>Jeff Kinney</t>
  </si>
  <si>
    <t>Calm the F*ck Down: An Irreverent Adult Coloring Book (Irreverent Book Series)</t>
  </si>
  <si>
    <t>Sasha O'Hara</t>
  </si>
  <si>
    <t>Can't Hurt Me: Master Your Mind and Defy the Odds</t>
  </si>
  <si>
    <t>David Goggins</t>
  </si>
  <si>
    <t>Capital in the Twenty First Century</t>
  </si>
  <si>
    <t>Thomas Piketty</t>
  </si>
  <si>
    <t>Catching Fire (The Hunger Games)</t>
  </si>
  <si>
    <t>Suzanne Collins</t>
  </si>
  <si>
    <t>Cravings: Recipes for All the Food You Want to Eat: A Cookbook</t>
  </si>
  <si>
    <t>Chrissy Teigen</t>
  </si>
  <si>
    <t>Crazy Love: Overwhelmed by a Relentless God</t>
  </si>
  <si>
    <t>Francis Chan</t>
  </si>
  <si>
    <t>Crazy Rich Asians (Crazy Rich Asians Trilogy)</t>
  </si>
  <si>
    <t>Kevin Kwan</t>
  </si>
  <si>
    <t>Creative Haven Creative Cats Coloring Book (Adult Coloring)</t>
  </si>
  <si>
    <t>Marjorie Sarnat</t>
  </si>
  <si>
    <t>Creative Haven Owls Coloring Book (Adult Coloring)</t>
  </si>
  <si>
    <t>Cutting for Stone</t>
  </si>
  <si>
    <t>Abraham Verghese</t>
  </si>
  <si>
    <t>Daring Greatly: How the Courage to Be Vulnerable Transforms the Way We Live, Love, Parent, and Lead</t>
  </si>
  <si>
    <t>BreneÌ Brown</t>
  </si>
  <si>
    <t>David and Goliath: Underdogs, Misfits, and the Art of Battling Giants</t>
  </si>
  <si>
    <t>Malcolm Gladwell</t>
  </si>
  <si>
    <t>Dead And Gone: A Sookie Stackhouse Novel (Sookie Stackhouse/True Blood)</t>
  </si>
  <si>
    <t>Charlaine Harris</t>
  </si>
  <si>
    <t>Dead in the Family (Sookie Stackhouse/True Blood, Book 10)</t>
  </si>
  <si>
    <t>Dead Reckoning (Sookie Stackhouse/True Blood, Book 11)</t>
  </si>
  <si>
    <t>Dear Zoo: A Lift-the-Flap Book</t>
  </si>
  <si>
    <t>Rod Campbell</t>
  </si>
  <si>
    <t>Decision Points</t>
  </si>
  <si>
    <t>George W. Bush</t>
  </si>
  <si>
    <t>Delivering Happiness: A Path to Profits, Passion, and Purpose</t>
  </si>
  <si>
    <t>Tony Hsieh</t>
  </si>
  <si>
    <t>Diagnostic and Statistical Manual of Mental Disorders, 5th Edition: DSM-5</t>
  </si>
  <si>
    <t>American Psychiatric Association</t>
  </si>
  <si>
    <t>Diary of a Wimpy Kid: Hard Luck, Book 8</t>
  </si>
  <si>
    <t>Diary of a Wimpy Kid: The Last Straw (Book 3)</t>
  </si>
  <si>
    <t>Diary of a Wimpy Kid: The Long Haul</t>
  </si>
  <si>
    <t>Difficult Riddles For Smart Kids: 300 Difficult Riddles And Brain Teasers Families Will Love (Books for Smart Kids)</t>
  </si>
  <si>
    <t>M Prefontaine</t>
  </si>
  <si>
    <t>Divergent</t>
  </si>
  <si>
    <t>Divergent / Insurgent</t>
  </si>
  <si>
    <t>Divine Soul Mind Body Healing and Transmission System: The Divine Way to Heal You, Humanity, Mother Earth, and Allâ€¦</t>
  </si>
  <si>
    <t>Zhi Gang Sha</t>
  </si>
  <si>
    <t>Doctor Sleep: A Novel</t>
  </si>
  <si>
    <t>Dog Days (Diary of a Wimpy Kid, Book 4) (Volume 4)</t>
  </si>
  <si>
    <t>Dog Man and Cat Kid: From the Creator of Captain Underpants (Dog Man #4)</t>
  </si>
  <si>
    <t>Dav Pilkey</t>
  </si>
  <si>
    <t>Dog Man: A Tale of Two Kitties: From the Creator of Captain Underpants (Dog Man #3)</t>
  </si>
  <si>
    <t>Dog Man: Brawl of the Wild: From the Creator of Captain Underpants (Dog Man #6)</t>
  </si>
  <si>
    <t>Dog Man: Fetch-22: From the Creator of Captain Underpants (Dog Man #8)</t>
  </si>
  <si>
    <t>Dog Man: For Whom the Ball Rolls: From the Creator of Captain Underpants (Dog Man #7)</t>
  </si>
  <si>
    <t>Dog Man: Lord of the Fleas: From the Creator of Captain Underpants (Dog Man #5)</t>
  </si>
  <si>
    <t>Double Down (Diary of a Wimpy Kid #11)</t>
  </si>
  <si>
    <t>Dover Creative Haven Art Nouveau Animal Designs Coloring Book (Creative Haven Coloring Books)</t>
  </si>
  <si>
    <t>Marty Noble</t>
  </si>
  <si>
    <t>Drive: The Surprising Truth About What Motivates Us</t>
  </si>
  <si>
    <t>Daniel H. Pink</t>
  </si>
  <si>
    <t>Eat This Not That! Supermarket Survival Guide: The No-Diet Weight Loss Solution</t>
  </si>
  <si>
    <t>David Zinczenko</t>
  </si>
  <si>
    <t>Eat This, Not That! Thousands of Simple Food Swaps that Can Save You 10, 20, 30 Pounds--or More!</t>
  </si>
  <si>
    <t>Eat to Live: The Amazing Nutrient-Rich Program for Fast and Sustained Weight Loss, Revised Edition</t>
  </si>
  <si>
    <t>Joel Fuhrman MD</t>
  </si>
  <si>
    <t>Eclipse (Twilight Sagas)</t>
  </si>
  <si>
    <t>Eclipse (Twilight)</t>
  </si>
  <si>
    <t>Educated: A Memoir</t>
  </si>
  <si>
    <t>Tara Westover</t>
  </si>
  <si>
    <t>Enchanted Forest: An Inky Quest and Coloring book (Activity Books, Mindfulness and Meditation, Illustrated Floral Printsâ€¦</t>
  </si>
  <si>
    <t>Johanna Basford</t>
  </si>
  <si>
    <t>Fahrenheit 451</t>
  </si>
  <si>
    <t>Ray Bradbury</t>
  </si>
  <si>
    <t>Fantastic Beasts and Where to Find Them: The Original Screenplay (Harry Potter)</t>
  </si>
  <si>
    <t>J.K. Rowling</t>
  </si>
  <si>
    <t>Fear: Trump in the White House</t>
  </si>
  <si>
    <t>Bob Woodward</t>
  </si>
  <si>
    <t>Fifty Shades Darker</t>
  </si>
  <si>
    <t>E L James</t>
  </si>
  <si>
    <t>Fifty Shades Freed: Book Three of the Fifty Shades Trilogy (Fifty Shades of Grey Series) (English Edition)</t>
  </si>
  <si>
    <t>Fifty Shades of Grey: Book One of the Fifty Shades Trilogy (Fifty Shades of Grey Series)</t>
  </si>
  <si>
    <t>Fifty Shades Trilogy (Fifty Shades of Grey / Fifty Shades Darker / Fifty Shades Freed)</t>
  </si>
  <si>
    <t>Fire and Fury: Inside the Trump White House</t>
  </si>
  <si>
    <t>Michael Wolff</t>
  </si>
  <si>
    <t>First 100 Words</t>
  </si>
  <si>
    <t>Roger Priddy</t>
  </si>
  <si>
    <t>Food Rules: An Eater's Manual</t>
  </si>
  <si>
    <t>Michael Pollan</t>
  </si>
  <si>
    <t>Frozen (Little Golden Book)</t>
  </si>
  <si>
    <t>RH Disney</t>
  </si>
  <si>
    <t>Game Change: Obama and the Clintons, McCain and Palin, and the Race of a Lifetime</t>
  </si>
  <si>
    <t>John Heilemann</t>
  </si>
  <si>
    <t>Game of Thrones Boxed Set: A Game of Thrones/A Clash of Kings/A Storm of Swords/A Feast for Crows</t>
  </si>
  <si>
    <t>George R.R. Martin</t>
  </si>
  <si>
    <t>George Washington's Sacred Fire</t>
  </si>
  <si>
    <t>Peter A. Lillback</t>
  </si>
  <si>
    <t>George Washington's Secret Six: The Spy Ring That Saved the American Revolution</t>
  </si>
  <si>
    <t>Brian Kilmeade</t>
  </si>
  <si>
    <t>Giraffes Can't Dance</t>
  </si>
  <si>
    <t>Giles Andreae</t>
  </si>
  <si>
    <t>Girl, Stop Apologizing: A Shame-Free Plan for Embracing and Achieving Your Goals</t>
  </si>
  <si>
    <t>Rachel Hollis</t>
  </si>
  <si>
    <t>Girl, Wash Your Face: Stop Believing the Lies About Who You Are So You Can Become Who You Were Meant to Be</t>
  </si>
  <si>
    <t>Glenn Beck's Common Sense: The Case Against an Out-of-Control Government, Inspired by Thomas Paine</t>
  </si>
  <si>
    <t>Go Set a Watchman: A Novel</t>
  </si>
  <si>
    <t>Harper Lee</t>
  </si>
  <si>
    <t>Go the F**k to Sleep</t>
  </si>
  <si>
    <t>Adam Mansbach</t>
  </si>
  <si>
    <t>Going Rogue: An American Life</t>
  </si>
  <si>
    <t>Sarah Palin</t>
  </si>
  <si>
    <t>Gone Girl</t>
  </si>
  <si>
    <t>Gillian Flynn</t>
  </si>
  <si>
    <t>Good Days Start With Gratitude: A 52 Week Guide To Cultivate An Attitude Of Gratitude: Gratitude Journal</t>
  </si>
  <si>
    <t>Pretty Simple Press</t>
  </si>
  <si>
    <t>Good to Great: Why Some Companies Make the Leap and Others Don't</t>
  </si>
  <si>
    <t>Jim Collins</t>
  </si>
  <si>
    <t>Goodnight Moon</t>
  </si>
  <si>
    <t>Margaret Wise Brown</t>
  </si>
  <si>
    <t>Goodnight, Goodnight Construction Site (Hardcover Books for Toddlers, Preschool Books for Kids)</t>
  </si>
  <si>
    <t>Sherri Duskey Rinker</t>
  </si>
  <si>
    <t>Grain Brain: The Surprising Truth about Wheat, Carbs, and Sugar--Your Brain's Silent Killers</t>
  </si>
  <si>
    <t>David Perlmutter MD</t>
  </si>
  <si>
    <t>Grey: Fifty Shades of Grey as Told by Christian (Fifty Shades of Grey Series)</t>
  </si>
  <si>
    <t>Guts</t>
  </si>
  <si>
    <t>Raina Telgemeier</t>
  </si>
  <si>
    <t>Hamilton: The Revolution</t>
  </si>
  <si>
    <t>Lin-Manuel Miranda</t>
  </si>
  <si>
    <t>Happy, Happy, Happy: My Life and Legacy as the Duck Commander</t>
  </si>
  <si>
    <t>Phil Robertson</t>
  </si>
  <si>
    <t>Harry Potter and the Chamber of Secrets: The Illustrated Edition (Harry Potter, Book 2)</t>
  </si>
  <si>
    <t>Harry Potter and the Cursed Child, Parts 1 &amp; 2, Special Rehearsal Edition Script</t>
  </si>
  <si>
    <t>Harry Potter and the Goblet of Fire: The Illustrated Edition (Harry Potter, Book 4) (4)</t>
  </si>
  <si>
    <t>J. K. Rowling</t>
  </si>
  <si>
    <t>Harry Potter and the Prisoner of Azkaban: The Illustrated Edition (Harry Potter, Book 3)</t>
  </si>
  <si>
    <t>Harry Potter and the Sorcerer's Stone: The Illustrated Edition (Harry Potter, Book 1)</t>
  </si>
  <si>
    <t>Harry Potter Coloring Book</t>
  </si>
  <si>
    <t>Scholastic</t>
  </si>
  <si>
    <t>Harry Potter Paperback Box Set (Books 1-7)</t>
  </si>
  <si>
    <t>Have a Little Faith: A True Story</t>
  </si>
  <si>
    <t>Mitch Albom</t>
  </si>
  <si>
    <t>Heaven is for Real: A Little Boy's Astounding Story of His Trip to Heaven and Back</t>
  </si>
  <si>
    <t>Todd Burpo</t>
  </si>
  <si>
    <t>Hillbilly Elegy: A Memoir of a Family and Culture in Crisis</t>
  </si>
  <si>
    <t>J. D. Vance</t>
  </si>
  <si>
    <t>Homebody: A Guide to Creating Spaces You Never Want to Leave</t>
  </si>
  <si>
    <t>Joanna Gaines</t>
  </si>
  <si>
    <t>How to Win Friends &amp; Influence People</t>
  </si>
  <si>
    <t>Dale Carnegie</t>
  </si>
  <si>
    <t>Howard Stern Comes Again</t>
  </si>
  <si>
    <t>Howard Stern</t>
  </si>
  <si>
    <t>Humans of New York</t>
  </si>
  <si>
    <t>Brandon Stanton</t>
  </si>
  <si>
    <t>Humans of New York : Stories</t>
  </si>
  <si>
    <t>Hyperbole and a Half: Unfortunate Situations, Flawed Coping Mechanisms, Mayhem, and Other Things That Happened</t>
  </si>
  <si>
    <t>Allie Brosh</t>
  </si>
  <si>
    <t>I Am Confident, Brave &amp; Beautiful: A Coloring Book for Girls</t>
  </si>
  <si>
    <t>Hopscotch Girls</t>
  </si>
  <si>
    <t>I, Alex Cross</t>
  </si>
  <si>
    <t>James Patterson</t>
  </si>
  <si>
    <t>If Animals Kissed Good Night</t>
  </si>
  <si>
    <t>Ann Whitford Paul</t>
  </si>
  <si>
    <t>If I Stay</t>
  </si>
  <si>
    <t>Gayle Forman</t>
  </si>
  <si>
    <t>In the Garden of Beasts: Love, Terror, and an American Family in Hitler's Berlin</t>
  </si>
  <si>
    <t>Eric Larson</t>
  </si>
  <si>
    <t>Inferno</t>
  </si>
  <si>
    <t>Dan Brown</t>
  </si>
  <si>
    <t>Inheritance: Book IV (Inheritance Cycle)</t>
  </si>
  <si>
    <t>Christopher Paolini</t>
  </si>
  <si>
    <t>Instant Pot Pressure Cooker Cookbook: 500 Everyday Recipes for Beginners and Advanced Users. Try Easy and Healthyâ€¦</t>
  </si>
  <si>
    <t>Jennifer Smith</t>
  </si>
  <si>
    <t>It's Not Supposed to Be This Way: Finding Unexpected Strength When Disappointments Leave You Shattered</t>
  </si>
  <si>
    <t>Lysa TerKeurst</t>
  </si>
  <si>
    <t>Jesus Calling: Enjoying Peace in His Presence (with Scripture References)</t>
  </si>
  <si>
    <t>Sarah Young</t>
  </si>
  <si>
    <t>JOURNEY TO THE ICE P</t>
  </si>
  <si>
    <t>Joyland (Hard Case Crime)</t>
  </si>
  <si>
    <t>Killers of the Flower Moon: The Osage Murders and the Birth of the FBI</t>
  </si>
  <si>
    <t>David Grann</t>
  </si>
  <si>
    <t>Killing Jesus (Bill O'Reilly's Killing Series)</t>
  </si>
  <si>
    <t>Bill O'Reilly</t>
  </si>
  <si>
    <t>Killing Kennedy: The End of Camelot</t>
  </si>
  <si>
    <t>Killing Lincoln: The Shocking Assassination that Changed America Forever (Bill O'Reilly's Killing Series)</t>
  </si>
  <si>
    <t>Killing Patton: The Strange Death of World War II's Most Audacious General (Bill O'Reilly's Killing Series)</t>
  </si>
  <si>
    <t>Killing Reagan: The Violent Assault That Changed a Presidency (Bill O'Reilly's Killing Series)</t>
  </si>
  <si>
    <t>Killing the Rising Sun: How America Vanquished World War II Japan (Bill O'Reilly's Killing Series)</t>
  </si>
  <si>
    <t>Kitchen Confidential Updated Edition: Adventures in the Culinary Underbelly (P.S.)</t>
  </si>
  <si>
    <t>Anthony Bourdain</t>
  </si>
  <si>
    <t>Knock-Knock Jokes for Kids</t>
  </si>
  <si>
    <t>Rob Elliott</t>
  </si>
  <si>
    <t>Last Week Tonight with John Oliver Presents A Day in the Life of Marlon Bundo (Better Bundo Book, LGBT ChildrenÂ’s Book)</t>
  </si>
  <si>
    <t>Jill Twiss</t>
  </si>
  <si>
    <t>Laugh-Out-Loud Jokes for Kids</t>
  </si>
  <si>
    <t>Lean In: Women, Work, and the Will to Lead</t>
  </si>
  <si>
    <t>Sheryl Sandberg</t>
  </si>
  <si>
    <t>Leonardo da Vinci</t>
  </si>
  <si>
    <t>Walter Isaacson</t>
  </si>
  <si>
    <t>Lettering and Modern Calligraphy: A Beginner's Guide: Learn Hand Lettering and Brush Lettering</t>
  </si>
  <si>
    <t>Paper Peony Press</t>
  </si>
  <si>
    <t>Liberty and Tyranny: A Conservative Manifesto</t>
  </si>
  <si>
    <t>Mark R. Levin</t>
  </si>
  <si>
    <t>Life</t>
  </si>
  <si>
    <t>Keith Richards</t>
  </si>
  <si>
    <t>Little Bee: A Novel</t>
  </si>
  <si>
    <t>Chris Cleave</t>
  </si>
  <si>
    <t>Little Blue Truck</t>
  </si>
  <si>
    <t>Alice Schertle</t>
  </si>
  <si>
    <t>Little Fires Everywhere</t>
  </si>
  <si>
    <t>Celeste Ng</t>
  </si>
  <si>
    <t>Looking for Alaska</t>
  </si>
  <si>
    <t>John Green</t>
  </si>
  <si>
    <t>Love Wins: A Book About Heaven, Hell, and the Fate of Every Person Who Ever Lived</t>
  </si>
  <si>
    <t>Rob Bell</t>
  </si>
  <si>
    <t>Love You Forever</t>
  </si>
  <si>
    <t>Robert Munsch</t>
  </si>
  <si>
    <t>Magnolia Table: A Collection of Recipes for Gathering</t>
  </si>
  <si>
    <t>Make It Ahead: A Barefoot Contessa Cookbook</t>
  </si>
  <si>
    <t>Make Your Bed: Little Things That Can Change Your Life...And Maybe the World</t>
  </si>
  <si>
    <t>Admiral William H. McRaven</t>
  </si>
  <si>
    <t>Mastering the Art of French Cooking, Vol. 2</t>
  </si>
  <si>
    <t>Julia Child</t>
  </si>
  <si>
    <t>Milk and Honey</t>
  </si>
  <si>
    <t>Rupi Kaur</t>
  </si>
  <si>
    <t>Milk and Vine: Inspirational Quotes From Classic Vines</t>
  </si>
  <si>
    <t>Adam Gasiewski</t>
  </si>
  <si>
    <t>Mindset: The New Psychology of Success</t>
  </si>
  <si>
    <t>Carol S. Dweck</t>
  </si>
  <si>
    <t>Mockingjay (The Hunger Games)</t>
  </si>
  <si>
    <t>National Geographic Kids Why?: Over 1,111 Answers to Everything</t>
  </si>
  <si>
    <t>Crispin Boyer</t>
  </si>
  <si>
    <t>National Geographic Little Kids First Big Book of Why (National Geographic Little Kids First Big Books)</t>
  </si>
  <si>
    <t>Amy Shields</t>
  </si>
  <si>
    <t>New Moon (The Twilight Saga)</t>
  </si>
  <si>
    <t>Night (Night)</t>
  </si>
  <si>
    <t>Elie Wiesel</t>
  </si>
  <si>
    <t>No Easy Day: The Autobiography of a Navy Seal: The Firsthand Account of the Mission That Killed Osama Bin Laden</t>
  </si>
  <si>
    <t>Mark Owen</t>
  </si>
  <si>
    <t>Obama: An Intimate Portrait</t>
  </si>
  <si>
    <t>Pete Souza</t>
  </si>
  <si>
    <t>Oh, the Places You'll Go!</t>
  </si>
  <si>
    <t>Dr. Seuss</t>
  </si>
  <si>
    <t>Old School (Diary of a Wimpy Kid #10)</t>
  </si>
  <si>
    <t>Olive Kitteridge</t>
  </si>
  <si>
    <t>Elizabeth Strout</t>
  </si>
  <si>
    <t>One Thousand Gifts: A Dare to Live Fully Right Where You Are</t>
  </si>
  <si>
    <t>Ann Voskamp</t>
  </si>
  <si>
    <t>Option B: Facing Adversity, Building Resilience, and Finding Joy</t>
  </si>
  <si>
    <t>Origin: A Novel (Robert Langdon)</t>
  </si>
  <si>
    <t>Orphan Train</t>
  </si>
  <si>
    <t>Christina Baker Kline</t>
  </si>
  <si>
    <t>Outliers: The Story of Success</t>
  </si>
  <si>
    <t>P is for Potty! (Sesame Street) (Lift-the-Flap)</t>
  </si>
  <si>
    <t>Naomi Kleinberg</t>
  </si>
  <si>
    <t>Percy Jackson and the Olympians Paperback Boxed Set (Books 1-3)</t>
  </si>
  <si>
    <t>Rick Riordan</t>
  </si>
  <si>
    <t>Player's Handbook (Dungeons &amp; Dragons)</t>
  </si>
  <si>
    <t>Wizards RPG Team</t>
  </si>
  <si>
    <t>PokÃ©mon Deluxe Essential Handbook: The Need-to-Know Stats and Facts on Over 700 PokÃ©mon</t>
  </si>
  <si>
    <t>Proof of Heaven: A Neurosurgeon's Journey into the Afterlife</t>
  </si>
  <si>
    <t>Eben Alexander</t>
  </si>
  <si>
    <t>Publication Manual of the American Psychological Association, 6th Edition</t>
  </si>
  <si>
    <t>American Psychological Association</t>
  </si>
  <si>
    <t>Puppy Birthday to You! (Paw Patrol) (Little Golden Book)</t>
  </si>
  <si>
    <t>Golden Books</t>
  </si>
  <si>
    <t>Quiet: The Power of Introverts in a World That Can't Stop Talking</t>
  </si>
  <si>
    <t>Susan Cain</t>
  </si>
  <si>
    <t>Radical: Taking Back Your Faith from the American Dream</t>
  </si>
  <si>
    <t>David Platt</t>
  </si>
  <si>
    <t>Ready Player One: A Novel</t>
  </si>
  <si>
    <t>Ernest Cline</t>
  </si>
  <si>
    <t>Rush Revere and the Brave Pilgrims: Time-Travel Adventures with Exceptional Americans (1)</t>
  </si>
  <si>
    <t>Rush Limbaugh</t>
  </si>
  <si>
    <t>Rush Revere and the First Patriots: Time-Travel Adventures With Exceptional Americans (2)</t>
  </si>
  <si>
    <t>Salt, Fat, Acid, Heat: Mastering the Elements of Good Cooking</t>
  </si>
  <si>
    <t>Samin Nosrat</t>
  </si>
  <si>
    <t>Sarah's Key</t>
  </si>
  <si>
    <t>Tatiana de Rosnay</t>
  </si>
  <si>
    <t>School Zone - Big Preschool Workbook - Ages 4 and Up, Colors, Shapes, Numbers 1-10, Alphabet, Pre-Writing, Pre-Readingâ€¦</t>
  </si>
  <si>
    <t>School Zone</t>
  </si>
  <si>
    <t>Secret Garden: An Inky Treasure Hunt and Coloring Book (For Adults, mindfulness coloring)</t>
  </si>
  <si>
    <t>Sh*t My Dad Says</t>
  </si>
  <si>
    <t>Justin Halpern</t>
  </si>
  <si>
    <t>Ship of Fools: How a Selfish Ruling Class Is Bringing America to the Brink of Revolution</t>
  </si>
  <si>
    <t>Tucker Carlson</t>
  </si>
  <si>
    <t>Shred: The Revolutionary Diet: 6 Weeks 4 Inches 2 Sizes</t>
  </si>
  <si>
    <t>Ian K. Smith M.D.</t>
  </si>
  <si>
    <t>Sookie Stackhouse</t>
  </si>
  <si>
    <t>Soul Healing Miracles: Ancient and New Sacred Wisdom, Knowledge, and Practical Techniques for Healing the Spiritualâ€¦</t>
  </si>
  <si>
    <t>Steve Jobs</t>
  </si>
  <si>
    <t>Strange Planet (Strange Planet Series)</t>
  </si>
  <si>
    <t>Nathan W. Pyle</t>
  </si>
  <si>
    <t>StrengthsFinder 2.0</t>
  </si>
  <si>
    <t>Gallup</t>
  </si>
  <si>
    <t>Super Freakonomics: Global Cooling, Patriotic Prostitutes, and Why Suicide Bombers Should Buy Life Insurance</t>
  </si>
  <si>
    <t>Steven D. Levitt</t>
  </si>
  <si>
    <t>Switch: How to Change Things When Change Is Hard</t>
  </si>
  <si>
    <t>Chip Heath</t>
  </si>
  <si>
    <t>Sycamore Row (Jake Brigance)</t>
  </si>
  <si>
    <t>John Grisham</t>
  </si>
  <si>
    <t>Teach Like a Champion: 49 Techniques that Put Students on the Path to College</t>
  </si>
  <si>
    <t>Doug Lemov</t>
  </si>
  <si>
    <t>The 17 Day Diet: A Doctor's Plan Designed for Rapid Results</t>
  </si>
  <si>
    <t>Mike Moreno</t>
  </si>
  <si>
    <t>The 4 Hour Body: An Uncommon Guide to Rapid Fat Loss, Incredible Sex and Becoming Superhuman</t>
  </si>
  <si>
    <t>Timothy Ferriss</t>
  </si>
  <si>
    <t>The 5 Love Languages: The Secret to Love That Lasts</t>
  </si>
  <si>
    <t>Gary Chapman</t>
  </si>
  <si>
    <t>The 5 Love Languages: The Secret to Love that Lasts</t>
  </si>
  <si>
    <t>The 5000 Year Leap</t>
  </si>
  <si>
    <t>W. Cleon Skousen</t>
  </si>
  <si>
    <t>The 7 Habits of Highly Effective People: Powerful Lessons in Personal Change</t>
  </si>
  <si>
    <t>Stephen R. Covey</t>
  </si>
  <si>
    <t>The Alchemist</t>
  </si>
  <si>
    <t>Paulo Coelho</t>
  </si>
  <si>
    <t>The Amateur</t>
  </si>
  <si>
    <t>Edward Klein</t>
  </si>
  <si>
    <t>The Art of Racing in the Rain: A Novel</t>
  </si>
  <si>
    <t>Garth Stein</t>
  </si>
  <si>
    <t>The Big Short: Inside the Doomsday Machine</t>
  </si>
  <si>
    <t>Michael Lewis</t>
  </si>
  <si>
    <t>The Blood of Olympus (The Heroes of Olympus (5))</t>
  </si>
  <si>
    <t>The Blood Sugar Solution: The UltraHealthy Program for Losing Weight, Preventing Disease, and Feeling Great Now!</t>
  </si>
  <si>
    <t>Mark Hyman M.D.</t>
  </si>
  <si>
    <t>The Body Keeps the Score: Brain, Mind, and Body in the Healing of Trauma</t>
  </si>
  <si>
    <t>Bessel van der Kolk M.D.</t>
  </si>
  <si>
    <t>The Book of Basketball: The NBA According to The Sports Guy</t>
  </si>
  <si>
    <t>Bill Simmons</t>
  </si>
  <si>
    <t>The Book Thief</t>
  </si>
  <si>
    <t>Markus Zusak</t>
  </si>
  <si>
    <t>The Book with No Pictures</t>
  </si>
  <si>
    <t>B. J. Novak</t>
  </si>
  <si>
    <t>The Boys in the Boat: Nine Americans and Their Epic Quest for Gold at the 1936 Berlin Olympics</t>
  </si>
  <si>
    <t>Daniel James Brown</t>
  </si>
  <si>
    <t>The Casual Vacancy</t>
  </si>
  <si>
    <t>The China Study: The Most Comprehensive Study of Nutrition Ever Conducted And the Startling Implications for Dietâ€¦</t>
  </si>
  <si>
    <t>Thomas Campbell</t>
  </si>
  <si>
    <t>The Complete Ketogenic Diet for Beginners: Your Essential Guide to Living the Keto Lifestyle</t>
  </si>
  <si>
    <t>Amy Ramos</t>
  </si>
  <si>
    <t>The Confession: A Novel</t>
  </si>
  <si>
    <t>The Constitution of the United States</t>
  </si>
  <si>
    <t>Delegates of the ConstitutionalÂ…</t>
  </si>
  <si>
    <t>The Daily Show with Jon Stewart Presents Earth (The Book): A Visitor's Guide to the Human Race</t>
  </si>
  <si>
    <t>Jon Stewart</t>
  </si>
  <si>
    <t>The Day the Crayons Quit</t>
  </si>
  <si>
    <t>Drew Daywalt</t>
  </si>
  <si>
    <t>The Dukan Diet: 2 Steps to Lose the Weight, 2 Steps to Keep It Off Forever</t>
  </si>
  <si>
    <t>Pierre Dukan</t>
  </si>
  <si>
    <t>The Elegance of the Hedgehog</t>
  </si>
  <si>
    <t>Muriel Barbery</t>
  </si>
  <si>
    <t>The Fault in Our Stars</t>
  </si>
  <si>
    <t>The Five Dysfunctions of a Team: A Leadership Fable</t>
  </si>
  <si>
    <t>Patrick Lencioni</t>
  </si>
  <si>
    <t>The Five Love Languages: How to Express Heartfelt Commitment to Your Mate</t>
  </si>
  <si>
    <t>The Four Agreements: A Practical Guide to Personal Freedom (A Toltec Wisdom Book)</t>
  </si>
  <si>
    <t>Don Miguel Ruiz</t>
  </si>
  <si>
    <t>The Getaway</t>
  </si>
  <si>
    <t>The Girl on the Train</t>
  </si>
  <si>
    <t>Paula Hawkins</t>
  </si>
  <si>
    <t>The Girl Who Kicked the Hornet's Nest (Millennium Trilogy)</t>
  </si>
  <si>
    <t>Stieg Larsson</t>
  </si>
  <si>
    <t>The Girl Who Played with Fire (Millennium Series)</t>
  </si>
  <si>
    <t>The Girl Who Played with Fire (Millennium)</t>
  </si>
  <si>
    <t>The Girl with the Dragon Tattoo (Millennium Series)</t>
  </si>
  <si>
    <t>The Going-To-Bed Book</t>
  </si>
  <si>
    <t>Sandra Boynton</t>
  </si>
  <si>
    <t>The Goldfinch: A Novel (Pulitzer Prize for Fiction)</t>
  </si>
  <si>
    <t>Donna Tartt</t>
  </si>
  <si>
    <t>The Great Gatsby</t>
  </si>
  <si>
    <t>F. Scott Fitzgerald</t>
  </si>
  <si>
    <t>The Guardians: A Novel</t>
  </si>
  <si>
    <t>The Guernsey Literary and Potato Peel Pie Society</t>
  </si>
  <si>
    <t>Mary Ann Shaffer</t>
  </si>
  <si>
    <t>The Handmaid's Tale</t>
  </si>
  <si>
    <t>Margaret Atwood</t>
  </si>
  <si>
    <t>The Harbinger: The Ancient Mystery that Holds the Secret of America's Future</t>
  </si>
  <si>
    <t>Jonathan Cahn</t>
  </si>
  <si>
    <t>The Hate U Give</t>
  </si>
  <si>
    <t>Angie Thomas</t>
  </si>
  <si>
    <t>The Help</t>
  </si>
  <si>
    <t>Kathryn Stockett</t>
  </si>
  <si>
    <t>The House of Hades (Heroes of Olympus, Book 4)</t>
  </si>
  <si>
    <t>The Hunger Games</t>
  </si>
  <si>
    <t>The Hunger Games (Book 1)</t>
  </si>
  <si>
    <t>The Hunger Games Trilogy Boxed Set (1)</t>
  </si>
  <si>
    <t>The Immortal Life of Henrietta Lacks</t>
  </si>
  <si>
    <t>Rebecca Skloot</t>
  </si>
  <si>
    <t>The Instant Pot Electric Pressure Cooker Cookbook: Easy Recipes for Fast &amp; Healthy Meals</t>
  </si>
  <si>
    <t>Laurel Randolph</t>
  </si>
  <si>
    <t>The Last Lecture</t>
  </si>
  <si>
    <t>Randy Pausch</t>
  </si>
  <si>
    <t>The Last Olympian (Percy Jackson and the Olympians, Book 5)</t>
  </si>
  <si>
    <t>The Legend of Zelda: Hyrule Historia</t>
  </si>
  <si>
    <t>Patrick Thorpe</t>
  </si>
  <si>
    <t>The Lego Ideas Book: Unlock Your Imagination</t>
  </si>
  <si>
    <t>Daniel Lipkowitz</t>
  </si>
  <si>
    <t>The Life-Changing Magic of Tidying Up: The Japanese Art of Decluttering and Organizing</t>
  </si>
  <si>
    <t>Marie KondÅ</t>
  </si>
  <si>
    <t>The Litigators</t>
  </si>
  <si>
    <t>The Lost Hero (Heroes of Olympus, Book 1)</t>
  </si>
  <si>
    <t>The Lost Symbol</t>
  </si>
  <si>
    <t>The Love Dare</t>
  </si>
  <si>
    <t>Stephen Kendrick</t>
  </si>
  <si>
    <t>The Magnolia Story</t>
  </si>
  <si>
    <t>Chip Gaines</t>
  </si>
  <si>
    <t>The Mark of Athena (Heroes of Olympus, Book 3)</t>
  </si>
  <si>
    <t>The Martian</t>
  </si>
  <si>
    <t>Andy Weir</t>
  </si>
  <si>
    <t>The Maze Runner (Book 1)</t>
  </si>
  <si>
    <t>James Dashner</t>
  </si>
  <si>
    <t>The Meltdown (Diary of a Wimpy Kid Book 13)</t>
  </si>
  <si>
    <t>The Mueller Report</t>
  </si>
  <si>
    <t>The Washington Post</t>
  </si>
  <si>
    <t>The Nightingale: A Novel</t>
  </si>
  <si>
    <t>Kristin Hannah</t>
  </si>
  <si>
    <t>The Official SAT Study Guide</t>
  </si>
  <si>
    <t>The College Board</t>
  </si>
  <si>
    <t>The Official SAT Study Guide, 2016 Edition (Official Study Guide for the New Sat)</t>
  </si>
  <si>
    <t>The Paris Wife: A Novel</t>
  </si>
  <si>
    <t>Paula McLain</t>
  </si>
  <si>
    <t>The Pioneer Woman Cooks: A Year of Holidays: 140 Step-by-Step Recipes for Simple, Scrumptious Celebrations</t>
  </si>
  <si>
    <t>Ree Drummond</t>
  </si>
  <si>
    <t>The Pioneer Woman Cooks: Dinnertime - Comfort Classics, Freezer Food, 16-minute Meals, and Other Delicious Ways to Solveâ€¦</t>
  </si>
  <si>
    <t>The Pioneer Woman Cooks: Food from My Frontier</t>
  </si>
  <si>
    <t>The Plant Paradox Cookbook: 100 Delicious Recipes to Help You Lose Weight, Heal Your Gut, and Live Lectin-Free</t>
  </si>
  <si>
    <t>Dr. Steven R Gundry MD</t>
  </si>
  <si>
    <t>The Plant Paradox: The Hidden Dangers in "Healthy" Foods That Cause Disease and Weight Gain</t>
  </si>
  <si>
    <t>The Pout-Pout Fish</t>
  </si>
  <si>
    <t>Deborah Diesen</t>
  </si>
  <si>
    <t>The Power of Habit: Why We Do What We Do in Life and Business</t>
  </si>
  <si>
    <t>Charles Duhigg</t>
  </si>
  <si>
    <t>The President Is Missing: A Novel</t>
  </si>
  <si>
    <t>The Racketeer</t>
  </si>
  <si>
    <t>The Red Pyramid (The Kane Chronicles, Book 1)</t>
  </si>
  <si>
    <t>The Road to Serfdom: Text and Documents--The Definitive Edition (The Collected Works of F. A. Hayek, Volume 2)</t>
  </si>
  <si>
    <t>F. A. Hayek</t>
  </si>
  <si>
    <t>The Serpent's Shadow (The Kane Chronicles, Book 3)</t>
  </si>
  <si>
    <t>The Shack: Where Tragedy Confronts Eternity</t>
  </si>
  <si>
    <t>William P. Young</t>
  </si>
  <si>
    <t>The Short Second Life of Bree Tanner: An Eclipse Novella (The Twilight Saga)</t>
  </si>
  <si>
    <t>The Silent Patient</t>
  </si>
  <si>
    <t>Alex Michaelides</t>
  </si>
  <si>
    <t>The Son of Neptune (Heroes of Olympus, Book 2)</t>
  </si>
  <si>
    <t>The Subtle Art of Not Giving a F*ck: A Counterintuitive Approach to Living a Good Life</t>
  </si>
  <si>
    <t>Mark Manson</t>
  </si>
  <si>
    <t>The Sun and Her Flowers</t>
  </si>
  <si>
    <t>The Third Wheel (Diary of a Wimpy Kid, Book 7)</t>
  </si>
  <si>
    <t>The Throne of Fire (The Kane Chronicles, Book 2)</t>
  </si>
  <si>
    <t>The Time Traveler's Wife</t>
  </si>
  <si>
    <t>Audrey Niffenegger</t>
  </si>
  <si>
    <t>The Tipping Point: How Little Things Can Make a Big Difference</t>
  </si>
  <si>
    <t>The Total Money Makeover: Classic Edition: A Proven Plan for Financial Fitness</t>
  </si>
  <si>
    <t>Dave Ramsey</t>
  </si>
  <si>
    <t>The Twilight Saga Collection</t>
  </si>
  <si>
    <t>The Ugly Truth (Diary of a Wimpy Kid, Book 5)</t>
  </si>
  <si>
    <t>The Unofficial Harry Potter Cookbook: From Cauldron Cakes to Knickerbocker Glory--More Than 150 Magical Recipes forâ€¦</t>
  </si>
  <si>
    <t>Dinah Bucholz</t>
  </si>
  <si>
    <t>The Very Hungry Caterpillar</t>
  </si>
  <si>
    <t>Eric Carle</t>
  </si>
  <si>
    <t>The Whole30: The 30-Day Guide to Total Health and Food Freedom</t>
  </si>
  <si>
    <t>Melissa Hartwig Urban</t>
  </si>
  <si>
    <t>The Wonderful Things You Will Be</t>
  </si>
  <si>
    <t>Emily Winfield Martin</t>
  </si>
  <si>
    <t>The Wonky Donkey</t>
  </si>
  <si>
    <t>Craig Smith</t>
  </si>
  <si>
    <t>The Wright Brothers</t>
  </si>
  <si>
    <t>David McCullough</t>
  </si>
  <si>
    <t>Things That Matter: Three Decades of Passions, Pastimes and Politics [Deckled Edge]</t>
  </si>
  <si>
    <t>Charles Krauthammer</t>
  </si>
  <si>
    <t>Thinking, Fast and Slow</t>
  </si>
  <si>
    <t>Daniel Kahneman</t>
  </si>
  <si>
    <t>Thirteen Reasons Why</t>
  </si>
  <si>
    <t>Jay Asher</t>
  </si>
  <si>
    <t>Thomas Jefferson: The Art of Power</t>
  </si>
  <si>
    <t>Jon Meacham</t>
  </si>
  <si>
    <t>Three Cups of Tea: One Man's Mission to Promote Peace - One School at a Time</t>
  </si>
  <si>
    <t>Greg Mortenson</t>
  </si>
  <si>
    <t>Thug Kitchen: The Official Cookbook: Eat Like You Give a F*ck (Thug Kitchen Cookbooks)</t>
  </si>
  <si>
    <t>Thug Kitchen</t>
  </si>
  <si>
    <t>Tina Fey: Bossypants</t>
  </si>
  <si>
    <t>Tina Fey</t>
  </si>
  <si>
    <t>To Kill a Mockingbird</t>
  </si>
  <si>
    <t>Tools of Titans: The Tactics, Routines, and Habits of Billionaires, Icons, and World-Class Performers</t>
  </si>
  <si>
    <t>Towers of Midnight (Wheel of Time, Book Thirteen)</t>
  </si>
  <si>
    <t>Robert Jordan</t>
  </si>
  <si>
    <t>True Compass: A Memoir</t>
  </si>
  <si>
    <t>Edward M. Kennedy</t>
  </si>
  <si>
    <t>Twilight (The Twilight Saga, Book 1)</t>
  </si>
  <si>
    <t>Ultimate Sticker Book: Frozen: More Than 60 Reusable Full-Color Stickers</t>
  </si>
  <si>
    <t>Unbroken: A World War II Story of Survival, Resilience, and Redemption</t>
  </si>
  <si>
    <t>Laura Hillenbrand</t>
  </si>
  <si>
    <t>Under the Dome: A Novel</t>
  </si>
  <si>
    <t>Unfreedom of the Press</t>
  </si>
  <si>
    <t>Unicorn Coloring Book: For Kids Ages 4-8 (US Edition) (Silly Bear Coloring Books)</t>
  </si>
  <si>
    <t>Silly Bear</t>
  </si>
  <si>
    <t>Uninvited: Living Loved When You Feel Less Than, Left Out, and Lonely</t>
  </si>
  <si>
    <t>Watchmen</t>
  </si>
  <si>
    <t>Alan Moore</t>
  </si>
  <si>
    <t>Water for Elephants: A Novel</t>
  </si>
  <si>
    <t>Sara Gruen</t>
  </si>
  <si>
    <t>What Happened</t>
  </si>
  <si>
    <t>Hillary Rodham Clinton</t>
  </si>
  <si>
    <t>What If?: Serious Scientific Answers to Absurd Hypothetical Questions</t>
  </si>
  <si>
    <t>Randall Munroe</t>
  </si>
  <si>
    <t>What Pet Should I Get? (Classic Seuss)</t>
  </si>
  <si>
    <t>What Should Danny Do? (The Power to Choose Series)</t>
  </si>
  <si>
    <t>Adir Levy</t>
  </si>
  <si>
    <t>What to Expect When You're Expecting</t>
  </si>
  <si>
    <t>Heidi Murkoff</t>
  </si>
  <si>
    <t>Wheat Belly: Lose the Wheat, Lose the Weight, and Find Your Path Back to Health</t>
  </si>
  <si>
    <t>William Davis</t>
  </si>
  <si>
    <t>When Breath Becomes Air</t>
  </si>
  <si>
    <t>Paul Kalanithi</t>
  </si>
  <si>
    <t>Where the Crawdads Sing</t>
  </si>
  <si>
    <t>Delia Owens</t>
  </si>
  <si>
    <t>Where the Wild Things Are</t>
  </si>
  <si>
    <t>Maurice Sendak</t>
  </si>
  <si>
    <t>Whose Boat Is This Boat?: Comments That Don't Help in the Aftermath of a Hurricane</t>
  </si>
  <si>
    <t>The Staff of The Late Show withÂ…</t>
  </si>
  <si>
    <t>Wild: From Lost to Found on the Pacific Crest Trail</t>
  </si>
  <si>
    <t>Cheryl Strayed</t>
  </si>
  <si>
    <t>Winter of the World: Book Two of the Century Trilogy</t>
  </si>
  <si>
    <t>Ken Follett</t>
  </si>
  <si>
    <t>Women Food and God: An Unexpected Path to Almost Everything</t>
  </si>
  <si>
    <t>Geneen Roth</t>
  </si>
  <si>
    <t>Wonder</t>
  </si>
  <si>
    <t>R. J. Palacio</t>
  </si>
  <si>
    <t>Wrecking Ball (Diary of a Wimpy Kid Book 14)</t>
  </si>
  <si>
    <t>You Are a Badass: How to Stop Doubting Your Greatness and Start Living an Awesome Life</t>
  </si>
  <si>
    <t>Jen Sincero</t>
  </si>
  <si>
    <t xml:space="preserve"> A Novel</t>
  </si>
  <si>
    <t>average rating</t>
  </si>
  <si>
    <t>max</t>
  </si>
  <si>
    <t>min</t>
  </si>
  <si>
    <t>Author</t>
  </si>
  <si>
    <t>most user review</t>
  </si>
  <si>
    <t>4.9 max</t>
  </si>
  <si>
    <t>3.3 min</t>
  </si>
  <si>
    <t>characteristics of user review</t>
  </si>
  <si>
    <t>user rating 4.8</t>
  </si>
  <si>
    <t>review 87841</t>
  </si>
  <si>
    <t>price 15</t>
  </si>
  <si>
    <t>year 2019</t>
  </si>
  <si>
    <t>Genre friction</t>
  </si>
  <si>
    <t>Max</t>
  </si>
  <si>
    <t>average book price</t>
  </si>
  <si>
    <t>comparison of Non friction vs friction</t>
  </si>
  <si>
    <t xml:space="preserve"> is 10.85</t>
  </si>
  <si>
    <t xml:space="preserve">Non frictions 14.8 and average price of friction </t>
  </si>
  <si>
    <t xml:space="preserve">The comparison shows that average price of  </t>
  </si>
  <si>
    <t>min Rated</t>
  </si>
  <si>
    <t>max Rated</t>
  </si>
  <si>
    <t>Max price</t>
  </si>
  <si>
    <t>Min price</t>
  </si>
  <si>
    <t>Most Expensive Book</t>
  </si>
  <si>
    <t>Least expensive Book</t>
  </si>
  <si>
    <t>count</t>
  </si>
  <si>
    <t>Avearge user rating</t>
  </si>
  <si>
    <t>Row Labels</t>
  </si>
  <si>
    <t>Grand Total</t>
  </si>
  <si>
    <t>Sum of Reviews</t>
  </si>
  <si>
    <t>Average User Rating</t>
  </si>
  <si>
    <t xml:space="preserve">Pivot Table </t>
  </si>
  <si>
    <t>Higher priced books are not rated better than other books. Though they are rated above 4.0</t>
  </si>
  <si>
    <t>Authors with best rating based on average ratings  of 4.9 are:</t>
  </si>
  <si>
    <t>a.</t>
  </si>
  <si>
    <t>m.</t>
  </si>
  <si>
    <t>h.</t>
  </si>
  <si>
    <t>i.</t>
  </si>
  <si>
    <t>l.</t>
  </si>
  <si>
    <t>e.</t>
  </si>
  <si>
    <t>b.</t>
  </si>
  <si>
    <t>c.</t>
  </si>
  <si>
    <t>d.</t>
  </si>
  <si>
    <t>f.</t>
  </si>
  <si>
    <t>g.</t>
  </si>
  <si>
    <t>j.</t>
  </si>
  <si>
    <t>k.</t>
  </si>
  <si>
    <t>n.</t>
  </si>
  <si>
    <t>It is not a guaranttee that books with more reviews will have higher rating</t>
  </si>
  <si>
    <t>BlinkIT can focus more on Fiction because it has a higher reviews and user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</si>
</sst>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2">
    <xf numFmtId="0" fontId="0" fillId="0" borderId="0" xfId="0"/>
    <xf numFmtId="0" fontId="16" fillId="0" borderId="0" xfId="0" applyFont="1"/>
    <xf numFmtId="0" fontId="18" fillId="0" borderId="0" xfId="0" applyFont="1"/>
    <xf numFmtId="9" fontId="0" fillId="0" borderId="0" xfId="42" applyFont="1"/>
    <xf numFmtId="0" fontId="0" fillId="33" borderId="0" xfId="0" applyFill="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65" fontId="0" fillId="0" borderId="0" xfId="0" applyNumberFormat="1"/>
    <xf numFmtId="0" fontId="0" fillId="0" borderId="0" xfId="0" applyAlignment="1">
      <alignment horizontal="center"/>
    </xf>
    <xf numFmtId="0" fontId="16" fillId="33"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6">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Chat Showing Reviews</a:t>
            </a:r>
            <a:r>
              <a:rPr lang="en-US" baseline="0"/>
              <a:t> Per Book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'Task 3 visualisation'!$D$1</c:f>
              <c:strCache>
                <c:ptCount val="1"/>
                <c:pt idx="0">
                  <c:v>Reviews</c:v>
                </c:pt>
              </c:strCache>
            </c:strRef>
          </c:tx>
          <c:spPr>
            <a:solidFill>
              <a:schemeClr val="accent1"/>
            </a:solidFill>
            <a:ln>
              <a:noFill/>
            </a:ln>
            <a:effectLst/>
          </c:spPr>
          <c:invertIfNegative val="0"/>
          <c:cat>
            <c:strRef>
              <c:f>'Task 3 visualisation'!$A$2:$A$563</c:f>
              <c:strCache>
                <c:ptCount val="550"/>
                <c:pt idx="0">
                  <c:v>10-Day Green Smoothie Cleanse</c:v>
                </c:pt>
                <c:pt idx="1">
                  <c:v> A Novel</c:v>
                </c:pt>
                <c:pt idx="2">
                  <c:v>12 Rules for Life: An Antidote to Chaos</c:v>
                </c:pt>
                <c:pt idx="3">
                  <c:v>1984 (Signet Classics)</c:v>
                </c:pt>
                <c:pt idx="4">
                  <c:v>5,000 Awesome Facts (About Everything!) (National Geographic Kids)</c:v>
                </c:pt>
                <c:pt idx="5">
                  <c:v>A Dance with Dragons (A Song of Ice and Fire)</c:v>
                </c:pt>
                <c:pt idx="6">
                  <c:v>A Game of Thrones / A Clash of Kings / A Storm of Swords / A Feast of Crows / A Dance with Dragons</c:v>
                </c:pt>
                <c:pt idx="7">
                  <c:v>A Gentleman in Moscow: A Novel</c:v>
                </c:pt>
                <c:pt idx="8">
                  <c:v>A Higher Loyalty: Truth, Lies, and Leadership</c:v>
                </c:pt>
                <c:pt idx="9">
                  <c:v>A Man Called Ove: A Novel</c:v>
                </c:pt>
                <c:pt idx="10">
                  <c:v>A Man Called Ove: A Novel</c:v>
                </c:pt>
                <c:pt idx="11">
                  <c:v>A Patriot's History of the United States: From Columbus's Great Discovery to the War on Terror</c:v>
                </c:pt>
                <c:pt idx="12">
                  <c:v>A Stolen Life: A Memoir</c:v>
                </c:pt>
                <c:pt idx="13">
                  <c:v>A Wrinkle in Time (Time Quintet)</c:v>
                </c:pt>
                <c:pt idx="14">
                  <c:v>Act Like a Lady, Think Like a Man: What Men Really Think About Love, Relationships, Intimacy, and Commitment</c:v>
                </c:pt>
                <c:pt idx="15">
                  <c:v>Adult Coloring Book Designs: Stress Relief Coloring Book: Garden Designs, Mandalas, Animals, and Paisley Patterns</c:v>
                </c:pt>
                <c:pt idx="16">
                  <c:v>Adult Coloring Book: Stress Relieving Animal Designs</c:v>
                </c:pt>
                <c:pt idx="17">
                  <c:v>Adult Coloring Book: Stress Relieving Patterns</c:v>
                </c:pt>
                <c:pt idx="18">
                  <c:v>Adult Coloring Books: A Coloring Book for Adults Featuring Mandalas and Henna Inspired Flowers, Animals, and Paisleyâ€¦</c:v>
                </c:pt>
                <c:pt idx="19">
                  <c:v>Alexander Hamilton</c:v>
                </c:pt>
                <c:pt idx="20">
                  <c:v>All the Light We Cannot See</c:v>
                </c:pt>
                <c:pt idx="21">
                  <c:v>All the Light We Cannot See</c:v>
                </c:pt>
                <c:pt idx="22">
                  <c:v>Allegiant</c:v>
                </c:pt>
                <c:pt idx="23">
                  <c:v>American Sniper: The Autobiography of the Most Lethal Sniper in U.S. Military History</c:v>
                </c:pt>
                <c:pt idx="24">
                  <c:v>And the Mountains Echoed</c:v>
                </c:pt>
                <c:pt idx="25">
                  <c:v>Arguing with Idiots: How to Stop Small Minds and Big Government</c:v>
                </c:pt>
                <c:pt idx="26">
                  <c:v>Astrophysics for People in a Hurry</c:v>
                </c:pt>
                <c:pt idx="27">
                  <c:v>Autobiography of Mark Twain, Vol. 1</c:v>
                </c:pt>
                <c:pt idx="28">
                  <c:v>Baby Touch and Feel: Animals</c:v>
                </c:pt>
                <c:pt idx="29">
                  <c:v>Balance (Angie's Extreme Stress Menders)</c:v>
                </c:pt>
                <c:pt idx="30">
                  <c:v>Barefoot Contessa Foolproof: Recipes You Can Trust: A Cookbook</c:v>
                </c:pt>
                <c:pt idx="31">
                  <c:v>Barefoot Contessa, How Easy Is That?: Fabulous Recipes &amp; Easy Tips</c:v>
                </c:pt>
                <c:pt idx="32">
                  <c:v>Becoming</c:v>
                </c:pt>
                <c:pt idx="33">
                  <c:v>Becoming</c:v>
                </c:pt>
                <c:pt idx="34">
                  <c:v>Being Mortal: Medicine and What Matters in the End</c:v>
                </c:pt>
                <c:pt idx="35">
                  <c:v>Between the World and Me</c:v>
                </c:pt>
                <c:pt idx="36">
                  <c:v>Between the World and Me</c:v>
                </c:pt>
                <c:pt idx="37">
                  <c:v>Born to Run</c:v>
                </c:pt>
                <c:pt idx="38">
                  <c:v>Breaking Dawn (The Twilight Saga, Book 4)</c:v>
                </c:pt>
                <c:pt idx="39">
                  <c:v>Broke: The Plan to Restore Our Trust, Truth and Treasure</c:v>
                </c:pt>
                <c:pt idx="40">
                  <c:v>Brown Bear, Brown Bear, What Do You See?</c:v>
                </c:pt>
                <c:pt idx="41">
                  <c:v>Brown Bear, Brown Bear, What Do You See?</c:v>
                </c:pt>
                <c:pt idx="42">
                  <c:v>Cabin Fever (Diary of a Wimpy Kid, Book 6)</c:v>
                </c:pt>
                <c:pt idx="43">
                  <c:v>Calm the F*ck Down: An Irreverent Adult Coloring Book (Irreverent Book Series)</c:v>
                </c:pt>
                <c:pt idx="44">
                  <c:v>Can't Hurt Me: Master Your Mind and Defy the Odds</c:v>
                </c:pt>
                <c:pt idx="45">
                  <c:v>Capital in the Twenty First Century</c:v>
                </c:pt>
                <c:pt idx="46">
                  <c:v>Catching Fire (The Hunger Games)</c:v>
                </c:pt>
                <c:pt idx="47">
                  <c:v>Catching Fire (The Hunger Games)</c:v>
                </c:pt>
                <c:pt idx="48">
                  <c:v>Catching Fire (The Hunger Games)</c:v>
                </c:pt>
                <c:pt idx="49">
                  <c:v>Cravings: Recipes for All the Food You Want to Eat: A Cookbook</c:v>
                </c:pt>
                <c:pt idx="50">
                  <c:v>Crazy Love: Overwhelmed by a Relentless God</c:v>
                </c:pt>
                <c:pt idx="51">
                  <c:v>Crazy Love: Overwhelmed by a Relentless God</c:v>
                </c:pt>
                <c:pt idx="52">
                  <c:v>Crazy Love: Overwhelmed by a Relentless God</c:v>
                </c:pt>
                <c:pt idx="53">
                  <c:v>Crazy Rich Asians (Crazy Rich Asians Trilogy)</c:v>
                </c:pt>
                <c:pt idx="54">
                  <c:v>Creative Haven Creative Cats Coloring Book (Adult Coloring)</c:v>
                </c:pt>
                <c:pt idx="55">
                  <c:v>Creative Haven Owls Coloring Book (Adult Coloring)</c:v>
                </c:pt>
                <c:pt idx="56">
                  <c:v>Cutting for Stone</c:v>
                </c:pt>
                <c:pt idx="57">
                  <c:v>Cutting for Stone</c:v>
                </c:pt>
                <c:pt idx="58">
                  <c:v>Daring Greatly: How the Courage to Be Vulnerable Transforms the Way We Live, Love, Parent, and Lead</c:v>
                </c:pt>
                <c:pt idx="59">
                  <c:v>David and Goliath: Underdogs, Misfits, and the Art of Battling Giants</c:v>
                </c:pt>
                <c:pt idx="60">
                  <c:v>Dead And Gone: A Sookie Stackhouse Novel (Sookie Stackhouse/True Blood)</c:v>
                </c:pt>
                <c:pt idx="61">
                  <c:v>Dead in the Family (Sookie Stackhouse/True Blood, Book 10)</c:v>
                </c:pt>
                <c:pt idx="62">
                  <c:v>Dead Reckoning (Sookie Stackhouse/True Blood, Book 11)</c:v>
                </c:pt>
                <c:pt idx="63">
                  <c:v>Dear Zoo: A Lift-the-Flap Book</c:v>
                </c:pt>
                <c:pt idx="64">
                  <c:v>Dear Zoo: A Lift-the-Flap Book</c:v>
                </c:pt>
                <c:pt idx="65">
                  <c:v>Dear Zoo: A Lift-the-Flap Book</c:v>
                </c:pt>
                <c:pt idx="66">
                  <c:v>Dear Zoo: A Lift-the-Flap Book</c:v>
                </c:pt>
                <c:pt idx="67">
                  <c:v>Decision Points</c:v>
                </c:pt>
                <c:pt idx="68">
                  <c:v>Delivering Happiness: A Path to Profits, Passion, and Purpose</c:v>
                </c:pt>
                <c:pt idx="69">
                  <c:v>Diagnostic and Statistical Manual of Mental Disorders, 5th Edition: DSM-5</c:v>
                </c:pt>
                <c:pt idx="70">
                  <c:v>Diagnostic and Statistical Manual of Mental Disorders, 5th Edition: DSM-5</c:v>
                </c:pt>
                <c:pt idx="71">
                  <c:v>Diary of a Wimpy Kid: Hard Luck, Book 8</c:v>
                </c:pt>
                <c:pt idx="72">
                  <c:v>Diary of a Wimpy Kid: The Last Straw (Book 3)</c:v>
                </c:pt>
                <c:pt idx="73">
                  <c:v>Diary of a Wimpy Kid: The Long Haul</c:v>
                </c:pt>
                <c:pt idx="74">
                  <c:v>Difficult Riddles For Smart Kids: 300 Difficult Riddles And Brain Teasers Families Will Love (Books for Smart Kids)</c:v>
                </c:pt>
                <c:pt idx="75">
                  <c:v>Divergent</c:v>
                </c:pt>
                <c:pt idx="76">
                  <c:v>Divergent</c:v>
                </c:pt>
                <c:pt idx="77">
                  <c:v>Divergent / Insurgent</c:v>
                </c:pt>
                <c:pt idx="78">
                  <c:v>Divine Soul Mind Body Healing and Transmission System: The Divine Way to Heal You, Humanity, Mother Earth, and Allâ€¦</c:v>
                </c:pt>
                <c:pt idx="79">
                  <c:v>Doctor Sleep: A Novel</c:v>
                </c:pt>
                <c:pt idx="80">
                  <c:v>Dog Days (Diary of a Wimpy Kid, Book 4) (Volume 4)</c:v>
                </c:pt>
                <c:pt idx="81">
                  <c:v>Dog Man and Cat Kid: From the Creator of Captain Underpants (Dog Man #4)</c:v>
                </c:pt>
                <c:pt idx="82">
                  <c:v>Dog Man: A Tale of Two Kitties: From the Creator of Captain Underpants (Dog Man #3)</c:v>
                </c:pt>
                <c:pt idx="83">
                  <c:v>Dog Man: Brawl of the Wild: From the Creator of Captain Underpants (Dog Man #6)</c:v>
                </c:pt>
                <c:pt idx="84">
                  <c:v>Dog Man: Brawl of the Wild: From the Creator of Captain Underpants (Dog Man #6)</c:v>
                </c:pt>
                <c:pt idx="85">
                  <c:v>Dog Man: Fetch-22: From the Creator of Captain Underpants (Dog Man #8)</c:v>
                </c:pt>
                <c:pt idx="86">
                  <c:v>Dog Man: For Whom the Ball Rolls: From the Creator of Captain Underpants (Dog Man #7)</c:v>
                </c:pt>
                <c:pt idx="87">
                  <c:v>Dog Man: Lord of the Fleas: From the Creator of Captain Underpants (Dog Man #5)</c:v>
                </c:pt>
                <c:pt idx="88">
                  <c:v>Double Down (Diary of a Wimpy Kid #11)</c:v>
                </c:pt>
                <c:pt idx="89">
                  <c:v>Dover Creative Haven Art Nouveau Animal Designs Coloring Book (Creative Haven Coloring Books)</c:v>
                </c:pt>
                <c:pt idx="90">
                  <c:v>Drive: The Surprising Truth About What Motivates Us</c:v>
                </c:pt>
                <c:pt idx="91">
                  <c:v>Eat This Not That! Supermarket Survival Guide: The No-Diet Weight Loss Solution</c:v>
                </c:pt>
                <c:pt idx="92">
                  <c:v>Eat This, Not That! Thousands of Simple Food Swaps that Can Save You 10, 20, 30 Pounds--or More!</c:v>
                </c:pt>
                <c:pt idx="93">
                  <c:v>Eat to Live: The Amazing Nutrient-Rich Program for Fast and Sustained Weight Loss, Revised Edition</c:v>
                </c:pt>
                <c:pt idx="94">
                  <c:v>Eat to Live: The Amazing Nutrient-Rich Program for Fast and Sustained Weight Loss, Revised Edition</c:v>
                </c:pt>
                <c:pt idx="95">
                  <c:v>Eclipse (Twilight Sagas)</c:v>
                </c:pt>
                <c:pt idx="96">
                  <c:v>Eclipse (Twilight)</c:v>
                </c:pt>
                <c:pt idx="97">
                  <c:v>Educated: A Memoir</c:v>
                </c:pt>
                <c:pt idx="98">
                  <c:v>Educated: A Memoir</c:v>
                </c:pt>
                <c:pt idx="99">
                  <c:v>Enchanted Forest: An Inky Quest and Coloring book (Activity Books, Mindfulness and Meditation, Illustrated Floral Printsâ€¦</c:v>
                </c:pt>
                <c:pt idx="100">
                  <c:v>Fahrenheit 451</c:v>
                </c:pt>
                <c:pt idx="101">
                  <c:v>Fahrenheit 451</c:v>
                </c:pt>
                <c:pt idx="102">
                  <c:v>Fantastic Beasts and Where to Find Them: The Original Screenplay (Harry Potter)</c:v>
                </c:pt>
                <c:pt idx="103">
                  <c:v>Fear: Trump in the White House</c:v>
                </c:pt>
                <c:pt idx="104">
                  <c:v>Fifty Shades Darker</c:v>
                </c:pt>
                <c:pt idx="105">
                  <c:v>Fifty Shades Freed: Book Three of the Fifty Shades Trilogy (Fifty Shades of Grey Series) (English Edition)</c:v>
                </c:pt>
                <c:pt idx="106">
                  <c:v>Fifty Shades of Grey: Book One of the Fifty Shades Trilogy (Fifty Shades of Grey Series)</c:v>
                </c:pt>
                <c:pt idx="107">
                  <c:v>Fifty Shades of Grey: Book One of the Fifty Shades Trilogy (Fifty Shades of Grey Series)</c:v>
                </c:pt>
                <c:pt idx="108">
                  <c:v>Fifty Shades Trilogy (Fifty Shades of Grey / Fifty Shades Darker / Fifty Shades Freed)</c:v>
                </c:pt>
                <c:pt idx="109">
                  <c:v>Fire and Fury: Inside the Trump White House</c:v>
                </c:pt>
                <c:pt idx="110">
                  <c:v>First 100 Words</c:v>
                </c:pt>
                <c:pt idx="111">
                  <c:v>First 100 Words</c:v>
                </c:pt>
                <c:pt idx="112">
                  <c:v>First 100 Words</c:v>
                </c:pt>
                <c:pt idx="113">
                  <c:v>First 100 Words</c:v>
                </c:pt>
                <c:pt idx="114">
                  <c:v>First 100 Words</c:v>
                </c:pt>
                <c:pt idx="115">
                  <c:v>Food Rules: An Eater's Manual</c:v>
                </c:pt>
                <c:pt idx="116">
                  <c:v>Frozen (Little Golden Book)</c:v>
                </c:pt>
                <c:pt idx="117">
                  <c:v>Game Change: Obama and the Clintons, McCain and Palin, and the Race of a Lifetime</c:v>
                </c:pt>
                <c:pt idx="118">
                  <c:v>Game of Thrones Boxed Set: A Game of Thrones/A Clash of Kings/A Storm of Swords/A Feast for Crows</c:v>
                </c:pt>
                <c:pt idx="119">
                  <c:v>Game of Thrones Boxed Set: A Game of Thrones/A Clash of Kings/A Storm of Swords/A Feast for Crows</c:v>
                </c:pt>
                <c:pt idx="120">
                  <c:v>Game of Thrones Boxed Set: A Game of Thrones/A Clash of Kings/A Storm of Swords/A Feast for Crows</c:v>
                </c:pt>
                <c:pt idx="121">
                  <c:v>George Washington's Sacred Fire</c:v>
                </c:pt>
                <c:pt idx="122">
                  <c:v>George Washington's Secret Six: The Spy Ring That Saved the American Revolution</c:v>
                </c:pt>
                <c:pt idx="123">
                  <c:v>Giraffes Can't Dance</c:v>
                </c:pt>
                <c:pt idx="124">
                  <c:v>Giraffes Can't Dance</c:v>
                </c:pt>
                <c:pt idx="125">
                  <c:v>Giraffes Can't Dance</c:v>
                </c:pt>
                <c:pt idx="126">
                  <c:v>Giraffes Can't Dance</c:v>
                </c:pt>
                <c:pt idx="127">
                  <c:v>Giraffes Can't Dance</c:v>
                </c:pt>
                <c:pt idx="128">
                  <c:v>Girl, Stop Apologizing: A Shame-Free Plan for Embracing and Achieving Your Goals</c:v>
                </c:pt>
                <c:pt idx="129">
                  <c:v>Girl, Wash Your Face: Stop Believing the Lies About Who You Are So You Can Become Who You Were Meant to Be</c:v>
                </c:pt>
                <c:pt idx="130">
                  <c:v>Girl, Wash Your Face: Stop Believing the Lies About Who You Are So You Can Become Who You Were Meant to Be</c:v>
                </c:pt>
                <c:pt idx="131">
                  <c:v>Glenn Beck's Common Sense: The Case Against an Out-of-Control Government, Inspired by Thomas Paine</c:v>
                </c:pt>
                <c:pt idx="132">
                  <c:v>Go Set a Watchman: A Novel</c:v>
                </c:pt>
                <c:pt idx="133">
                  <c:v>Go the F**k to Sleep</c:v>
                </c:pt>
                <c:pt idx="134">
                  <c:v>Going Rogue: An American Life</c:v>
                </c:pt>
                <c:pt idx="135">
                  <c:v>Gone Girl</c:v>
                </c:pt>
                <c:pt idx="136">
                  <c:v>Gone Girl</c:v>
                </c:pt>
                <c:pt idx="137">
                  <c:v>Gone Girl</c:v>
                </c:pt>
                <c:pt idx="138">
                  <c:v>Good Days Start With Gratitude: A 52 Week Guide To Cultivate An Attitude Of Gratitude: Gratitude Journal</c:v>
                </c:pt>
                <c:pt idx="139">
                  <c:v>Good to Great: Why Some Companies Make the Leap and Others Don't</c:v>
                </c:pt>
                <c:pt idx="140">
                  <c:v>Good to Great: Why Some Companies Make the Leap and Others Don't</c:v>
                </c:pt>
                <c:pt idx="141">
                  <c:v>Good to Great: Why Some Companies Make the Leap and Others Don't</c:v>
                </c:pt>
                <c:pt idx="142">
                  <c:v>Good to Great: Why Some Companies Make the Leap and Others Don't</c:v>
                </c:pt>
                <c:pt idx="143">
                  <c:v>Goodnight Moon</c:v>
                </c:pt>
                <c:pt idx="144">
                  <c:v>Goodnight Moon</c:v>
                </c:pt>
                <c:pt idx="145">
                  <c:v>Goodnight Moon</c:v>
                </c:pt>
                <c:pt idx="146">
                  <c:v>Goodnight, Goodnight Construction Site (Hardcover Books for Toddlers, Preschool Books for Kids)</c:v>
                </c:pt>
                <c:pt idx="147">
                  <c:v>Goodnight, Goodnight Construction Site (Hardcover Books for Toddlers, Preschool Books for Kids)</c:v>
                </c:pt>
                <c:pt idx="148">
                  <c:v>Grain Brain: The Surprising Truth about Wheat, Carbs, and Sugar--Your Brain's Silent Killers</c:v>
                </c:pt>
                <c:pt idx="149">
                  <c:v>Grey: Fifty Shades of Grey as Told by Christian (Fifty Shades of Grey Series)</c:v>
                </c:pt>
                <c:pt idx="150">
                  <c:v>Guts</c:v>
                </c:pt>
                <c:pt idx="151">
                  <c:v>Hamilton: The Revolution</c:v>
                </c:pt>
                <c:pt idx="152">
                  <c:v>Happy, Happy, Happy: My Life and Legacy as the Duck Commander</c:v>
                </c:pt>
                <c:pt idx="153">
                  <c:v>Harry Potter and the Chamber of Secrets: The Illustrated Edition (Harry Potter, Book 2)</c:v>
                </c:pt>
                <c:pt idx="154">
                  <c:v>Harry Potter and the Cursed Child, Parts 1 &amp; 2, Special Rehearsal Edition Script</c:v>
                </c:pt>
                <c:pt idx="155">
                  <c:v>Harry Potter and the Goblet of Fire: The Illustrated Edition (Harry Potter, Book 4) (4)</c:v>
                </c:pt>
                <c:pt idx="156">
                  <c:v>Harry Potter and the Prisoner of Azkaban: The Illustrated Edition (Harry Potter, Book 3)</c:v>
                </c:pt>
                <c:pt idx="157">
                  <c:v>Harry Potter and the Sorcerer's Stone: The Illustrated Edition (Harry Potter, Book 1)</c:v>
                </c:pt>
                <c:pt idx="158">
                  <c:v>Harry Potter Coloring Book</c:v>
                </c:pt>
                <c:pt idx="159">
                  <c:v>Harry Potter Paperback Box Set (Books 1-7)</c:v>
                </c:pt>
                <c:pt idx="160">
                  <c:v>Have a Little Faith: A True Story</c:v>
                </c:pt>
                <c:pt idx="161">
                  <c:v>Heaven is for Real: A Little Boy's Astounding Story of His Trip to Heaven and Back</c:v>
                </c:pt>
                <c:pt idx="162">
                  <c:v>Heaven is for Real: A Little Boy's Astounding Story of His Trip to Heaven and Back</c:v>
                </c:pt>
                <c:pt idx="163">
                  <c:v>Hillbilly Elegy: A Memoir of a Family and Culture in Crisis</c:v>
                </c:pt>
                <c:pt idx="164">
                  <c:v>Hillbilly Elegy: A Memoir of a Family and Culture in Crisis</c:v>
                </c:pt>
                <c:pt idx="165">
                  <c:v>Homebody: A Guide to Creating Spaces You Never Want to Leave</c:v>
                </c:pt>
                <c:pt idx="166">
                  <c:v>How to Win Friends &amp; Influence People</c:v>
                </c:pt>
                <c:pt idx="167">
                  <c:v>How to Win Friends &amp; Influence People</c:v>
                </c:pt>
                <c:pt idx="168">
                  <c:v>How to Win Friends &amp; Influence People</c:v>
                </c:pt>
                <c:pt idx="169">
                  <c:v>How to Win Friends &amp; Influence People</c:v>
                </c:pt>
                <c:pt idx="170">
                  <c:v>How to Win Friends &amp; Influence People</c:v>
                </c:pt>
                <c:pt idx="171">
                  <c:v>Howard Stern Comes Again</c:v>
                </c:pt>
                <c:pt idx="172">
                  <c:v>Humans of New York</c:v>
                </c:pt>
                <c:pt idx="173">
                  <c:v>Humans of New York</c:v>
                </c:pt>
                <c:pt idx="174">
                  <c:v>Humans of New York : Stories</c:v>
                </c:pt>
                <c:pt idx="175">
                  <c:v>Hyperbole and a Half: Unfortunate Situations, Flawed Coping Mechanisms, Mayhem, and Other Things That Happened</c:v>
                </c:pt>
                <c:pt idx="176">
                  <c:v>I Am Confident, Brave &amp; Beautiful: A Coloring Book for Girls</c:v>
                </c:pt>
                <c:pt idx="177">
                  <c:v>I, Alex Cross</c:v>
                </c:pt>
                <c:pt idx="178">
                  <c:v>If Animals Kissed Good Night</c:v>
                </c:pt>
                <c:pt idx="179">
                  <c:v>If Animals Kissed Good Night</c:v>
                </c:pt>
                <c:pt idx="180">
                  <c:v>If I Stay</c:v>
                </c:pt>
                <c:pt idx="181">
                  <c:v>In the Garden of Beasts: Love, Terror, and an American Family in Hitler's Berlin</c:v>
                </c:pt>
                <c:pt idx="182">
                  <c:v>Inferno</c:v>
                </c:pt>
                <c:pt idx="183">
                  <c:v>Inheritance: Book IV (Inheritance Cycle)</c:v>
                </c:pt>
                <c:pt idx="184">
                  <c:v>Instant Pot Pressure Cooker Cookbook: 500 Everyday Recipes for Beginners and Advanced Users. Try Easy and Healthyâ€¦</c:v>
                </c:pt>
                <c:pt idx="185">
                  <c:v>Instant Pot Pressure Cooker Cookbook: 500 Everyday Recipes for Beginners and Advanced Users. Try Easy and Healthyâ€¦</c:v>
                </c:pt>
                <c:pt idx="186">
                  <c:v>It's Not Supposed to Be This Way: Finding Unexpected Strength When Disappointments Leave You Shattered</c:v>
                </c:pt>
                <c:pt idx="187">
                  <c:v>Jesus Calling: Enjoying Peace in His Presence (with Scripture References)</c:v>
                </c:pt>
                <c:pt idx="188">
                  <c:v>Jesus Calling: Enjoying Peace in His Presence (with Scripture References)</c:v>
                </c:pt>
                <c:pt idx="189">
                  <c:v>Jesus Calling: Enjoying Peace in His Presence (with Scripture References)</c:v>
                </c:pt>
                <c:pt idx="190">
                  <c:v>Jesus Calling: Enjoying Peace in His Presence (with Scripture References)</c:v>
                </c:pt>
                <c:pt idx="191">
                  <c:v>Jesus Calling: Enjoying Peace in His Presence (with Scripture References)</c:v>
                </c:pt>
                <c:pt idx="192">
                  <c:v>Jesus Calling: Enjoying Peace in His Presence (with Scripture References)</c:v>
                </c:pt>
                <c:pt idx="193">
                  <c:v>JOURNEY TO THE ICE P</c:v>
                </c:pt>
                <c:pt idx="194">
                  <c:v>Joyland (Hard Case Crime)</c:v>
                </c:pt>
                <c:pt idx="195">
                  <c:v>Killers of the Flower Moon: The Osage Murders and the Birth of the FBI</c:v>
                </c:pt>
                <c:pt idx="196">
                  <c:v>Killing Jesus (Bill O'Reilly's Killing Series)</c:v>
                </c:pt>
                <c:pt idx="197">
                  <c:v>Killing Kennedy: The End of Camelot</c:v>
                </c:pt>
                <c:pt idx="198">
                  <c:v>Killing Lincoln: The Shocking Assassination that Changed America Forever (Bill O'Reilly's Killing Series)</c:v>
                </c:pt>
                <c:pt idx="199">
                  <c:v>Killing Lincoln: The Shocking Assassination that Changed America Forever (Bill O'Reilly's Killing Series)</c:v>
                </c:pt>
                <c:pt idx="200">
                  <c:v>Killing Patton: The Strange Death of World War II's Most Audacious General (Bill O'Reilly's Killing Series)</c:v>
                </c:pt>
                <c:pt idx="201">
                  <c:v>Killing Reagan: The Violent Assault That Changed a Presidency (Bill O'Reilly's Killing Series)</c:v>
                </c:pt>
                <c:pt idx="202">
                  <c:v>Killing the Rising Sun: How America Vanquished World War II Japan (Bill O'Reilly's Killing Series)</c:v>
                </c:pt>
                <c:pt idx="203">
                  <c:v>Kitchen Confidential Updated Edition: Adventures in the Culinary Underbelly (P.S.)</c:v>
                </c:pt>
                <c:pt idx="204">
                  <c:v>Knock-Knock Jokes for Kids</c:v>
                </c:pt>
                <c:pt idx="205">
                  <c:v>Knock-Knock Jokes for Kids</c:v>
                </c:pt>
                <c:pt idx="206">
                  <c:v>Knock-Knock Jokes for Kids</c:v>
                </c:pt>
                <c:pt idx="207">
                  <c:v>Last Week Tonight with John Oliver Presents A Day in the Life of Marlon Bundo (Better Bundo Book, LGBT ChildrenÂ’s Book)</c:v>
                </c:pt>
                <c:pt idx="208">
                  <c:v>Laugh-Out-Loud Jokes for Kids</c:v>
                </c:pt>
                <c:pt idx="209">
                  <c:v>Laugh-Out-Loud Jokes for Kids</c:v>
                </c:pt>
                <c:pt idx="210">
                  <c:v>Laugh-Out-Loud Jokes for Kids</c:v>
                </c:pt>
                <c:pt idx="211">
                  <c:v>Laugh-Out-Loud Jokes for Kids</c:v>
                </c:pt>
                <c:pt idx="212">
                  <c:v>Laugh-Out-Loud Jokes for Kids</c:v>
                </c:pt>
                <c:pt idx="213">
                  <c:v>Lean In: Women, Work, and the Will to Lead</c:v>
                </c:pt>
                <c:pt idx="214">
                  <c:v>Leonardo da Vinci</c:v>
                </c:pt>
                <c:pt idx="215">
                  <c:v>Lettering and Modern Calligraphy: A Beginner's Guide: Learn Hand Lettering and Brush Lettering</c:v>
                </c:pt>
                <c:pt idx="216">
                  <c:v>Liberty and Tyranny: A Conservative Manifesto</c:v>
                </c:pt>
                <c:pt idx="217">
                  <c:v>Life</c:v>
                </c:pt>
                <c:pt idx="218">
                  <c:v>Little Bee: A Novel</c:v>
                </c:pt>
                <c:pt idx="219">
                  <c:v>Little Blue Truck</c:v>
                </c:pt>
                <c:pt idx="220">
                  <c:v>Little Fires Everywhere</c:v>
                </c:pt>
                <c:pt idx="221">
                  <c:v>Looking for Alaska</c:v>
                </c:pt>
                <c:pt idx="222">
                  <c:v>Love Wins: A Book About Heaven, Hell, and the Fate of Every Person Who Ever Lived</c:v>
                </c:pt>
                <c:pt idx="223">
                  <c:v>Love You Forever</c:v>
                </c:pt>
                <c:pt idx="224">
                  <c:v>Love You Forever</c:v>
                </c:pt>
                <c:pt idx="225">
                  <c:v>Magnolia Table: A Collection of Recipes for Gathering</c:v>
                </c:pt>
                <c:pt idx="226">
                  <c:v>Make It Ahead: A Barefoot Contessa Cookbook</c:v>
                </c:pt>
                <c:pt idx="227">
                  <c:v>Make Your Bed: Little Things That Can Change Your Life...And Maybe the World</c:v>
                </c:pt>
                <c:pt idx="228">
                  <c:v>Mastering the Art of French Cooking, Vol. 2</c:v>
                </c:pt>
                <c:pt idx="229">
                  <c:v>Milk and Honey</c:v>
                </c:pt>
                <c:pt idx="230">
                  <c:v>Milk and Honey</c:v>
                </c:pt>
                <c:pt idx="231">
                  <c:v>Milk and Honey</c:v>
                </c:pt>
                <c:pt idx="232">
                  <c:v>Milk and Vine: Inspirational Quotes From Classic Vines</c:v>
                </c:pt>
                <c:pt idx="233">
                  <c:v>Mindset: The New Psychology of Success</c:v>
                </c:pt>
                <c:pt idx="234">
                  <c:v>Mindset: The New Psychology of Success</c:v>
                </c:pt>
                <c:pt idx="235">
                  <c:v>Mindset: The New Psychology of Success</c:v>
                </c:pt>
                <c:pt idx="236">
                  <c:v>Mockingjay (The Hunger Games)</c:v>
                </c:pt>
                <c:pt idx="237">
                  <c:v>Mockingjay (The Hunger Games)</c:v>
                </c:pt>
                <c:pt idx="238">
                  <c:v>Mockingjay (The Hunger Games)</c:v>
                </c:pt>
                <c:pt idx="239">
                  <c:v>National Geographic Kids Why?: Over 1,111 Answers to Everything</c:v>
                </c:pt>
                <c:pt idx="240">
                  <c:v>National Geographic Little Kids First Big Book of Why (National Geographic Little Kids First Big Books)</c:v>
                </c:pt>
                <c:pt idx="241">
                  <c:v>New Moon (The Twilight Saga)</c:v>
                </c:pt>
                <c:pt idx="242">
                  <c:v>Night (Night)</c:v>
                </c:pt>
                <c:pt idx="243">
                  <c:v>No Easy Day: The Autobiography of a Navy Seal: The Firsthand Account of the Mission That Killed Osama Bin Laden</c:v>
                </c:pt>
                <c:pt idx="244">
                  <c:v>Obama: An Intimate Portrait</c:v>
                </c:pt>
                <c:pt idx="245">
                  <c:v>Oh, the Places You'll Go!</c:v>
                </c:pt>
                <c:pt idx="246">
                  <c:v>Oh, the Places You'll Go!</c:v>
                </c:pt>
                <c:pt idx="247">
                  <c:v>Oh, the Places You'll Go!</c:v>
                </c:pt>
                <c:pt idx="248">
                  <c:v>Oh, the Places You'll Go!</c:v>
                </c:pt>
                <c:pt idx="249">
                  <c:v>Oh, the Places You'll Go!</c:v>
                </c:pt>
                <c:pt idx="250">
                  <c:v>Oh, the Places You'll Go!</c:v>
                </c:pt>
                <c:pt idx="251">
                  <c:v>Oh, the Places You'll Go!</c:v>
                </c:pt>
                <c:pt idx="252">
                  <c:v>Oh, the Places You'll Go!</c:v>
                </c:pt>
                <c:pt idx="253">
                  <c:v>Old School (Diary of a Wimpy Kid #10)</c:v>
                </c:pt>
                <c:pt idx="254">
                  <c:v>Olive Kitteridge</c:v>
                </c:pt>
                <c:pt idx="255">
                  <c:v>One Thousand Gifts: A Dare to Live Fully Right Where You Are</c:v>
                </c:pt>
                <c:pt idx="256">
                  <c:v>One Thousand Gifts: A Dare to Live Fully Right Where You Are</c:v>
                </c:pt>
                <c:pt idx="257">
                  <c:v>Option B: Facing Adversity, Building Resilience, and Finding Joy</c:v>
                </c:pt>
                <c:pt idx="258">
                  <c:v>Origin: A Novel (Robert Langdon)</c:v>
                </c:pt>
                <c:pt idx="259">
                  <c:v>Orphan Train</c:v>
                </c:pt>
                <c:pt idx="260">
                  <c:v>Outliers: The Story of Success</c:v>
                </c:pt>
                <c:pt idx="261">
                  <c:v>Outliers: The Story of Success</c:v>
                </c:pt>
                <c:pt idx="262">
                  <c:v>P is for Potty! (Sesame Street) (Lift-the-Flap)</c:v>
                </c:pt>
                <c:pt idx="263">
                  <c:v>P is for Potty! (Sesame Street) (Lift-the-Flap)</c:v>
                </c:pt>
                <c:pt idx="264">
                  <c:v>Percy Jackson and the Olympians Paperback Boxed Set (Books 1-3)</c:v>
                </c:pt>
                <c:pt idx="265">
                  <c:v>Player's Handbook (Dungeons &amp; Dragons)</c:v>
                </c:pt>
                <c:pt idx="266">
                  <c:v>Player's Handbook (Dungeons &amp; Dragons)</c:v>
                </c:pt>
                <c:pt idx="267">
                  <c:v>Player's Handbook (Dungeons &amp; Dragons)</c:v>
                </c:pt>
                <c:pt idx="268">
                  <c:v>PokÃ©mon Deluxe Essential Handbook: The Need-to-Know Stats and Facts on Over 700 PokÃ©mon</c:v>
                </c:pt>
                <c:pt idx="269">
                  <c:v>Proof of Heaven: A Neurosurgeon's Journey into the Afterlife</c:v>
                </c:pt>
                <c:pt idx="270">
                  <c:v>Proof of Heaven: A Neurosurgeon's Journey into the Afterlife</c:v>
                </c:pt>
                <c:pt idx="271">
                  <c:v>Publication Manual of the American Psychological Association, 6th Edition</c:v>
                </c:pt>
                <c:pt idx="272">
                  <c:v>Publication Manual of the American Psychological Association, 6th Edition</c:v>
                </c:pt>
                <c:pt idx="273">
                  <c:v>Publication Manual of the American Psychological Association, 6th Edition</c:v>
                </c:pt>
                <c:pt idx="274">
                  <c:v>Publication Manual of the American Psychological Association, 6th Edition</c:v>
                </c:pt>
                <c:pt idx="275">
                  <c:v>Publication Manual of the American Psychological Association, 6th Edition</c:v>
                </c:pt>
                <c:pt idx="276">
                  <c:v>Publication Manual of the American Psychological Association, 6th Edition</c:v>
                </c:pt>
                <c:pt idx="277">
                  <c:v>Publication Manual of the American Psychological Association, 6th Edition</c:v>
                </c:pt>
                <c:pt idx="278">
                  <c:v>Publication Manual of the American Psychological Association, 6th Edition</c:v>
                </c:pt>
                <c:pt idx="279">
                  <c:v>Publication Manual of the American Psychological Association, 6th Edition</c:v>
                </c:pt>
                <c:pt idx="280">
                  <c:v>Publication Manual of the American Psychological Association, 6th Edition</c:v>
                </c:pt>
                <c:pt idx="281">
                  <c:v>Puppy Birthday to You! (Paw Patrol) (Little Golden Book)</c:v>
                </c:pt>
                <c:pt idx="282">
                  <c:v>Quiet: The Power of Introverts in a World That Can't Stop Talking</c:v>
                </c:pt>
                <c:pt idx="283">
                  <c:v>Quiet: The Power of Introverts in a World That Can't Stop Talking</c:v>
                </c:pt>
                <c:pt idx="284">
                  <c:v>Radical: Taking Back Your Faith from the American Dream</c:v>
                </c:pt>
                <c:pt idx="285">
                  <c:v>Radical: Taking Back Your Faith from the American Dream</c:v>
                </c:pt>
                <c:pt idx="286">
                  <c:v>Ready Player One: A Novel</c:v>
                </c:pt>
                <c:pt idx="287">
                  <c:v>Ready Player One: A Novel</c:v>
                </c:pt>
                <c:pt idx="288">
                  <c:v>Rush Revere and the Brave Pilgrims: Time-Travel Adventures with Exceptional Americans (1)</c:v>
                </c:pt>
                <c:pt idx="289">
                  <c:v>Rush Revere and the First Patriots: Time-Travel Adventures With Exceptional Americans (2)</c:v>
                </c:pt>
                <c:pt idx="290">
                  <c:v>Salt, Fat, Acid, Heat: Mastering the Elements of Good Cooking</c:v>
                </c:pt>
                <c:pt idx="291">
                  <c:v>Salt, Fat, Acid, Heat: Mastering the Elements of Good Cooking</c:v>
                </c:pt>
                <c:pt idx="292">
                  <c:v>Sarah's Key</c:v>
                </c:pt>
                <c:pt idx="293">
                  <c:v>School Zone - Big Preschool Workbook - Ages 4 and Up, Colors, Shapes, Numbers 1-10, Alphabet, Pre-Writing, Pre-Readingâ€¦</c:v>
                </c:pt>
                <c:pt idx="294">
                  <c:v>School Zone - Big Preschool Workbook - Ages 4 and Up, Colors, Shapes, Numbers 1-10, Alphabet, Pre-Writing, Pre-Readingâ€¦</c:v>
                </c:pt>
                <c:pt idx="295">
                  <c:v>Secret Garden: An Inky Treasure Hunt and Coloring Book (For Adults, mindfulness coloring)</c:v>
                </c:pt>
                <c:pt idx="296">
                  <c:v>Sh*t My Dad Says</c:v>
                </c:pt>
                <c:pt idx="297">
                  <c:v>Ship of Fools: How a Selfish Ruling Class Is Bringing America to the Brink of Revolution</c:v>
                </c:pt>
                <c:pt idx="298">
                  <c:v>Shred: The Revolutionary Diet: 6 Weeks 4 Inches 2 Sizes</c:v>
                </c:pt>
                <c:pt idx="299">
                  <c:v>Sookie Stackhouse</c:v>
                </c:pt>
                <c:pt idx="300">
                  <c:v>Soul Healing Miracles: Ancient and New Sacred Wisdom, Knowledge, and Practical Techniques for Healing the Spiritualâ€¦</c:v>
                </c:pt>
                <c:pt idx="301">
                  <c:v>Steve Jobs</c:v>
                </c:pt>
                <c:pt idx="302">
                  <c:v>Steve Jobs</c:v>
                </c:pt>
                <c:pt idx="303">
                  <c:v>Strange Planet (Strange Planet Series)</c:v>
                </c:pt>
                <c:pt idx="304">
                  <c:v>StrengthsFinder 2.0</c:v>
                </c:pt>
                <c:pt idx="305">
                  <c:v>StrengthsFinder 2.0</c:v>
                </c:pt>
                <c:pt idx="306">
                  <c:v>StrengthsFinder 2.0</c:v>
                </c:pt>
                <c:pt idx="307">
                  <c:v>StrengthsFinder 2.0</c:v>
                </c:pt>
                <c:pt idx="308">
                  <c:v>StrengthsFinder 2.0</c:v>
                </c:pt>
                <c:pt idx="309">
                  <c:v>StrengthsFinder 2.0</c:v>
                </c:pt>
                <c:pt idx="310">
                  <c:v>StrengthsFinder 2.0</c:v>
                </c:pt>
                <c:pt idx="311">
                  <c:v>StrengthsFinder 2.0</c:v>
                </c:pt>
                <c:pt idx="312">
                  <c:v>StrengthsFinder 2.0</c:v>
                </c:pt>
                <c:pt idx="313">
                  <c:v>Super Freakonomics: Global Cooling, Patriotic Prostitutes, and Why Suicide Bombers Should Buy Life Insurance</c:v>
                </c:pt>
                <c:pt idx="314">
                  <c:v>Switch: How to Change Things When Change Is Hard</c:v>
                </c:pt>
                <c:pt idx="315">
                  <c:v>Sycamore Row (Jake Brigance)</c:v>
                </c:pt>
                <c:pt idx="316">
                  <c:v>Teach Like a Champion: 49 Techniques that Put Students on the Path to College</c:v>
                </c:pt>
                <c:pt idx="317">
                  <c:v>Teach Like a Champion: 49 Techniques that Put Students on the Path to College</c:v>
                </c:pt>
                <c:pt idx="318">
                  <c:v>The 17 Day Diet: A Doctor's Plan Designed for Rapid Results</c:v>
                </c:pt>
                <c:pt idx="319">
                  <c:v>The 4 Hour Body: An Uncommon Guide to Rapid Fat Loss, Incredible Sex and Becoming Superhuman</c:v>
                </c:pt>
                <c:pt idx="320">
                  <c:v>The 5 Love Languages: The Secret to Love That Lasts</c:v>
                </c:pt>
                <c:pt idx="321">
                  <c:v>The 5 Love Languages: The Secret to Love That Lasts</c:v>
                </c:pt>
                <c:pt idx="322">
                  <c:v>The 5 Love Languages: The Secret to Love That Lasts</c:v>
                </c:pt>
                <c:pt idx="323">
                  <c:v>The 5 Love Languages: The Secret to Love That Lasts</c:v>
                </c:pt>
                <c:pt idx="324">
                  <c:v>The 5 Love Languages: The Secret to Love That Lasts</c:v>
                </c:pt>
                <c:pt idx="325">
                  <c:v>The 5 Love Languages: The Secret to Love that Lasts</c:v>
                </c:pt>
                <c:pt idx="326">
                  <c:v>The 5 Love Languages: The Secret to Love that Lasts</c:v>
                </c:pt>
                <c:pt idx="327">
                  <c:v>The 5 Love Languages: The Secret to Love that Lasts</c:v>
                </c:pt>
                <c:pt idx="328">
                  <c:v>The 5 Love Languages: The Secret to Love that Lasts</c:v>
                </c:pt>
                <c:pt idx="329">
                  <c:v>The 5 Love Languages: The Secret to Love that Lasts</c:v>
                </c:pt>
                <c:pt idx="330">
                  <c:v>The 5000 Year Leap</c:v>
                </c:pt>
                <c:pt idx="331">
                  <c:v>The 7 Habits of Highly Effective People: Powerful Lessons in Personal Change</c:v>
                </c:pt>
                <c:pt idx="332">
                  <c:v>The 7 Habits of Highly Effective People: Powerful Lessons in Personal Change</c:v>
                </c:pt>
                <c:pt idx="333">
                  <c:v>The 7 Habits of Highly Effective People: Powerful Lessons in Personal Change</c:v>
                </c:pt>
                <c:pt idx="334">
                  <c:v>The 7 Habits of Highly Effective People: Powerful Lessons in Personal Change</c:v>
                </c:pt>
                <c:pt idx="335">
                  <c:v>The 7 Habits of Highly Effective People: Powerful Lessons in Personal Change</c:v>
                </c:pt>
                <c:pt idx="336">
                  <c:v>The 7 Habits of Highly Effective People: Powerful Lessons in Personal Change</c:v>
                </c:pt>
                <c:pt idx="337">
                  <c:v>The 7 Habits of Highly Effective People: Powerful Lessons in Personal Change</c:v>
                </c:pt>
                <c:pt idx="338">
                  <c:v>The Alchemist</c:v>
                </c:pt>
                <c:pt idx="339">
                  <c:v>The Amateur</c:v>
                </c:pt>
                <c:pt idx="340">
                  <c:v>The Art of Racing in the Rain: A Novel</c:v>
                </c:pt>
                <c:pt idx="341">
                  <c:v>The Art of Racing in the Rain: A Novel</c:v>
                </c:pt>
                <c:pt idx="342">
                  <c:v>The Big Short: Inside the Doomsday Machine</c:v>
                </c:pt>
                <c:pt idx="343">
                  <c:v>The Blood of Olympus (The Heroes of Olympus (5))</c:v>
                </c:pt>
                <c:pt idx="344">
                  <c:v>The Blood Sugar Solution: The UltraHealthy Program for Losing Weight, Preventing Disease, and Feeling Great Now!</c:v>
                </c:pt>
                <c:pt idx="345">
                  <c:v>The Body Keeps the Score: Brain, Mind, and Body in the Healing of Trauma</c:v>
                </c:pt>
                <c:pt idx="346">
                  <c:v>The Book of Basketball: The NBA According to The Sports Guy</c:v>
                </c:pt>
                <c:pt idx="347">
                  <c:v>The Book Thief</c:v>
                </c:pt>
                <c:pt idx="348">
                  <c:v>The Book Thief</c:v>
                </c:pt>
                <c:pt idx="349">
                  <c:v>The Book with No Pictures</c:v>
                </c:pt>
                <c:pt idx="350">
                  <c:v>The Book with No Pictures</c:v>
                </c:pt>
                <c:pt idx="351">
                  <c:v>The Boys in the Boat: Nine Americans and Their Epic Quest for Gold at the 1936 Berlin Olympics</c:v>
                </c:pt>
                <c:pt idx="352">
                  <c:v>The Boys in the Boat: Nine Americans and Their Epic Quest for Gold at the 1936 Berlin Olympics</c:v>
                </c:pt>
                <c:pt idx="353">
                  <c:v>The Casual Vacancy</c:v>
                </c:pt>
                <c:pt idx="354">
                  <c:v>The China Study: The Most Comprehensive Study of Nutrition Ever Conducted And the Startling Implications for Dietâ€¦</c:v>
                </c:pt>
                <c:pt idx="355">
                  <c:v>The Complete Ketogenic Diet for Beginners: Your Essential Guide to Living the Keto Lifestyle</c:v>
                </c:pt>
                <c:pt idx="356">
                  <c:v>The Complete Ketogenic Diet for Beginners: Your Essential Guide to Living the Keto Lifestyle</c:v>
                </c:pt>
                <c:pt idx="357">
                  <c:v>The Confession: A Novel</c:v>
                </c:pt>
                <c:pt idx="358">
                  <c:v>The Constitution of the United States</c:v>
                </c:pt>
                <c:pt idx="359">
                  <c:v>The Daily Show with Jon Stewart Presents Earth (The Book): A Visitor's Guide to the Human Race</c:v>
                </c:pt>
                <c:pt idx="360">
                  <c:v>The Day the Crayons Quit</c:v>
                </c:pt>
                <c:pt idx="361">
                  <c:v>The Day the Crayons Quit</c:v>
                </c:pt>
                <c:pt idx="362">
                  <c:v>The Day the Crayons Quit</c:v>
                </c:pt>
                <c:pt idx="363">
                  <c:v>The Dukan Diet: 2 Steps to Lose the Weight, 2 Steps to Keep It Off Forever</c:v>
                </c:pt>
                <c:pt idx="364">
                  <c:v>The Elegance of the Hedgehog</c:v>
                </c:pt>
                <c:pt idx="365">
                  <c:v>The Fault in Our Stars</c:v>
                </c:pt>
                <c:pt idx="366">
                  <c:v>The Fault in Our Stars</c:v>
                </c:pt>
                <c:pt idx="367">
                  <c:v>The Fault in Our Stars</c:v>
                </c:pt>
                <c:pt idx="368">
                  <c:v>The Fault in Our Stars</c:v>
                </c:pt>
                <c:pt idx="369">
                  <c:v>The Five Dysfunctions of a Team: A Leadership Fable</c:v>
                </c:pt>
                <c:pt idx="370">
                  <c:v>The Five Dysfunctions of a Team: A Leadership Fable</c:v>
                </c:pt>
                <c:pt idx="371">
                  <c:v>The Five Dysfunctions of a Team: A Leadership Fable</c:v>
                </c:pt>
                <c:pt idx="372">
                  <c:v>The Five Dysfunctions of a Team: A Leadership Fable</c:v>
                </c:pt>
                <c:pt idx="373">
                  <c:v>The Five Dysfunctions of a Team: A Leadership Fable</c:v>
                </c:pt>
                <c:pt idx="374">
                  <c:v>The Five Love Languages: How to Express Heartfelt Commitment to Your Mate</c:v>
                </c:pt>
                <c:pt idx="375">
                  <c:v>The Four Agreements: A Practical Guide to Personal Freedom (A Toltec Wisdom Book)</c:v>
                </c:pt>
                <c:pt idx="376">
                  <c:v>The Four Agreements: A Practical Guide to Personal Freedom (A Toltec Wisdom Book)</c:v>
                </c:pt>
                <c:pt idx="377">
                  <c:v>The Four Agreements: A Practical Guide to Personal Freedom (A Toltec Wisdom Book)</c:v>
                </c:pt>
                <c:pt idx="378">
                  <c:v>The Four Agreements: A Practical Guide to Personal Freedom (A Toltec Wisdom Book)</c:v>
                </c:pt>
                <c:pt idx="379">
                  <c:v>The Four Agreements: A Practical Guide to Personal Freedom (A Toltec Wisdom Book)</c:v>
                </c:pt>
                <c:pt idx="380">
                  <c:v>The Four Agreements: A Practical Guide to Personal Freedom (A Toltec Wisdom Book)</c:v>
                </c:pt>
                <c:pt idx="381">
                  <c:v>The Getaway</c:v>
                </c:pt>
                <c:pt idx="382">
                  <c:v>The Girl on the Train</c:v>
                </c:pt>
                <c:pt idx="383">
                  <c:v>The Girl on the Train</c:v>
                </c:pt>
                <c:pt idx="384">
                  <c:v>The Girl Who Kicked the Hornet's Nest (Millennium Trilogy)</c:v>
                </c:pt>
                <c:pt idx="385">
                  <c:v>The Girl Who Kicked the Hornet's Nest (Millennium Trilogy)</c:v>
                </c:pt>
                <c:pt idx="386">
                  <c:v>The Girl Who Played with Fire (Millennium Series)</c:v>
                </c:pt>
                <c:pt idx="387">
                  <c:v>The Girl Who Played with Fire (Millennium)</c:v>
                </c:pt>
                <c:pt idx="388">
                  <c:v>The Girl with the Dragon Tattoo (Millennium Series)</c:v>
                </c:pt>
                <c:pt idx="389">
                  <c:v>The Girl with the Dragon Tattoo (Millennium Series)</c:v>
                </c:pt>
                <c:pt idx="390">
                  <c:v>The Going-To-Bed Book</c:v>
                </c:pt>
                <c:pt idx="391">
                  <c:v>The Going-To-Bed Book</c:v>
                </c:pt>
                <c:pt idx="392">
                  <c:v>The Goldfinch: A Novel (Pulitzer Prize for Fiction)</c:v>
                </c:pt>
                <c:pt idx="393">
                  <c:v>The Goldfinch: A Novel (Pulitzer Prize for Fiction)</c:v>
                </c:pt>
                <c:pt idx="394">
                  <c:v>The Great Gatsby</c:v>
                </c:pt>
                <c:pt idx="395">
                  <c:v>The Great Gatsby</c:v>
                </c:pt>
                <c:pt idx="396">
                  <c:v>The Great Gatsby</c:v>
                </c:pt>
                <c:pt idx="397">
                  <c:v>The Guardians: A Novel</c:v>
                </c:pt>
                <c:pt idx="398">
                  <c:v>The Guernsey Literary and Potato Peel Pie Society</c:v>
                </c:pt>
                <c:pt idx="399">
                  <c:v>The Handmaid's Tale</c:v>
                </c:pt>
                <c:pt idx="400">
                  <c:v>The Harbinger: The Ancient Mystery that Holds the Secret of America's Future</c:v>
                </c:pt>
                <c:pt idx="401">
                  <c:v>The Hate U Give</c:v>
                </c:pt>
                <c:pt idx="402">
                  <c:v>The Help</c:v>
                </c:pt>
                <c:pt idx="403">
                  <c:v>The Help</c:v>
                </c:pt>
                <c:pt idx="404">
                  <c:v>The Help</c:v>
                </c:pt>
                <c:pt idx="405">
                  <c:v>The Help</c:v>
                </c:pt>
                <c:pt idx="406">
                  <c:v>The House of Hades (Heroes of Olympus, Book 4)</c:v>
                </c:pt>
                <c:pt idx="407">
                  <c:v>The Hunger Games</c:v>
                </c:pt>
                <c:pt idx="408">
                  <c:v>The Hunger Games (Book 1)</c:v>
                </c:pt>
                <c:pt idx="409">
                  <c:v>The Hunger Games (Book 1)</c:v>
                </c:pt>
                <c:pt idx="410">
                  <c:v>The Hunger Games Trilogy Boxed Set (1)</c:v>
                </c:pt>
                <c:pt idx="411">
                  <c:v>The Hunger Games Trilogy Boxed Set (1)</c:v>
                </c:pt>
                <c:pt idx="412">
                  <c:v>The Immortal Life of Henrietta Lacks</c:v>
                </c:pt>
                <c:pt idx="413">
                  <c:v>The Immortal Life of Henrietta Lacks</c:v>
                </c:pt>
                <c:pt idx="414">
                  <c:v>The Immortal Life of Henrietta Lacks</c:v>
                </c:pt>
                <c:pt idx="415">
                  <c:v>The Instant Pot Electric Pressure Cooker Cookbook: Easy Recipes for Fast &amp; Healthy Meals</c:v>
                </c:pt>
                <c:pt idx="416">
                  <c:v>The Instant Pot Electric Pressure Cooker Cookbook: Easy Recipes for Fast &amp; Healthy Meals</c:v>
                </c:pt>
                <c:pt idx="417">
                  <c:v>The Last Lecture</c:v>
                </c:pt>
                <c:pt idx="418">
                  <c:v>The Last Olympian (Percy Jackson and the Olympians, Book 5)</c:v>
                </c:pt>
                <c:pt idx="419">
                  <c:v>The Last Olympian (Percy Jackson and the Olympians, Book 5)</c:v>
                </c:pt>
                <c:pt idx="420">
                  <c:v>The Legend of Zelda: Hyrule Historia</c:v>
                </c:pt>
                <c:pt idx="421">
                  <c:v>The Lego Ideas Book: Unlock Your Imagination</c:v>
                </c:pt>
                <c:pt idx="422">
                  <c:v>The Lego Ideas Book: Unlock Your Imagination</c:v>
                </c:pt>
                <c:pt idx="423">
                  <c:v>The Life-Changing Magic of Tidying Up: The Japanese Art of Decluttering and Organizing</c:v>
                </c:pt>
                <c:pt idx="424">
                  <c:v>The Life-Changing Magic of Tidying Up: The Japanese Art of Decluttering and Organizing</c:v>
                </c:pt>
                <c:pt idx="425">
                  <c:v>The Life-Changing Magic of Tidying Up: The Japanese Art of Decluttering and Organizing</c:v>
                </c:pt>
                <c:pt idx="426">
                  <c:v>The Life-Changing Magic of Tidying Up: The Japanese Art of Decluttering and Organizing</c:v>
                </c:pt>
                <c:pt idx="427">
                  <c:v>The Litigators</c:v>
                </c:pt>
                <c:pt idx="428">
                  <c:v>The Lost Hero (Heroes of Olympus, Book 1)</c:v>
                </c:pt>
                <c:pt idx="429">
                  <c:v>The Lost Symbol</c:v>
                </c:pt>
                <c:pt idx="430">
                  <c:v>The Love Dare</c:v>
                </c:pt>
                <c:pt idx="431">
                  <c:v>The Magnolia Story</c:v>
                </c:pt>
                <c:pt idx="432">
                  <c:v>The Mark of Athena (Heroes of Olympus, Book 3)</c:v>
                </c:pt>
                <c:pt idx="433">
                  <c:v>The Martian</c:v>
                </c:pt>
                <c:pt idx="434">
                  <c:v>The Maze Runner (Book 1)</c:v>
                </c:pt>
                <c:pt idx="435">
                  <c:v>The Meltdown (Diary of a Wimpy Kid Book 13)</c:v>
                </c:pt>
                <c:pt idx="436">
                  <c:v>The Mueller Report</c:v>
                </c:pt>
                <c:pt idx="437">
                  <c:v>The Nightingale: A Novel</c:v>
                </c:pt>
                <c:pt idx="438">
                  <c:v>The Nightingale: A Novel</c:v>
                </c:pt>
                <c:pt idx="439">
                  <c:v>The Official SAT Study Guide</c:v>
                </c:pt>
                <c:pt idx="440">
                  <c:v>The Official SAT Study Guide</c:v>
                </c:pt>
                <c:pt idx="441">
                  <c:v>The Official SAT Study Guide</c:v>
                </c:pt>
                <c:pt idx="442">
                  <c:v>The Official SAT Study Guide</c:v>
                </c:pt>
                <c:pt idx="443">
                  <c:v>The Official SAT Study Guide</c:v>
                </c:pt>
                <c:pt idx="444">
                  <c:v>The Official SAT Study Guide, 2016 Edition (Official Study Guide for the New Sat)</c:v>
                </c:pt>
                <c:pt idx="445">
                  <c:v>The Paris Wife: A Novel</c:v>
                </c:pt>
                <c:pt idx="446">
                  <c:v>The Pioneer Woman Cooks: A Year of Holidays: 140 Step-by-Step Recipes for Simple, Scrumptious Celebrations</c:v>
                </c:pt>
                <c:pt idx="447">
                  <c:v>The Pioneer Woman Cooks: Dinnertime - Comfort Classics, Freezer Food, 16-minute Meals, and Other Delicious Ways to Solveâ€¦</c:v>
                </c:pt>
                <c:pt idx="448">
                  <c:v>The Pioneer Woman Cooks: Food from My Frontier</c:v>
                </c:pt>
                <c:pt idx="449">
                  <c:v>The Plant Paradox Cookbook: 100 Delicious Recipes to Help You Lose Weight, Heal Your Gut, and Live Lectin-Free</c:v>
                </c:pt>
                <c:pt idx="450">
                  <c:v>The Plant Paradox: The Hidden Dangers in "Healthy" Foods That Cause Disease and Weight Gain</c:v>
                </c:pt>
                <c:pt idx="451">
                  <c:v>The Pout-Pout Fish</c:v>
                </c:pt>
                <c:pt idx="452">
                  <c:v>The Pout-Pout Fish</c:v>
                </c:pt>
                <c:pt idx="453">
                  <c:v>The Power of Habit: Why We Do What We Do in Life and Business</c:v>
                </c:pt>
                <c:pt idx="454">
                  <c:v>The President Is Missing: A Novel</c:v>
                </c:pt>
                <c:pt idx="455">
                  <c:v>The Racketeer</c:v>
                </c:pt>
                <c:pt idx="456">
                  <c:v>The Red Pyramid (The Kane Chronicles, Book 1)</c:v>
                </c:pt>
                <c:pt idx="457">
                  <c:v>The Road to Serfdom: Text and Documents--The Definitive Edition (The Collected Works of F. A. Hayek, Volume 2)</c:v>
                </c:pt>
                <c:pt idx="458">
                  <c:v>The Serpent's Shadow (The Kane Chronicles, Book 3)</c:v>
                </c:pt>
                <c:pt idx="459">
                  <c:v>The Shack: Where Tragedy Confronts Eternity</c:v>
                </c:pt>
                <c:pt idx="460">
                  <c:v>The Shack: Where Tragedy Confronts Eternity</c:v>
                </c:pt>
                <c:pt idx="461">
                  <c:v>The Short Second Life of Bree Tanner: An Eclipse Novella (The Twilight Saga)</c:v>
                </c:pt>
                <c:pt idx="462">
                  <c:v>The Silent Patient</c:v>
                </c:pt>
                <c:pt idx="463">
                  <c:v>The Son of Neptune (Heroes of Olympus, Book 2)</c:v>
                </c:pt>
                <c:pt idx="464">
                  <c:v>The Subtle Art of Not Giving a F*ck: A Counterintuitive Approach to Living a Good Life</c:v>
                </c:pt>
                <c:pt idx="465">
                  <c:v>The Subtle Art of Not Giving a F*ck: A Counterintuitive Approach to Living a Good Life</c:v>
                </c:pt>
                <c:pt idx="466">
                  <c:v>The Subtle Art of Not Giving a F*ck: A Counterintuitive Approach to Living a Good Life</c:v>
                </c:pt>
                <c:pt idx="467">
                  <c:v>The Sun and Her Flowers</c:v>
                </c:pt>
                <c:pt idx="468">
                  <c:v>The Third Wheel (Diary of a Wimpy Kid, Book 7)</c:v>
                </c:pt>
                <c:pt idx="469">
                  <c:v>The Throne of Fire (The Kane Chronicles, Book 2)</c:v>
                </c:pt>
                <c:pt idx="470">
                  <c:v>The Time Traveler's Wife</c:v>
                </c:pt>
                <c:pt idx="471">
                  <c:v>The Tipping Point: How Little Things Can Make a Big Difference</c:v>
                </c:pt>
                <c:pt idx="472">
                  <c:v>The Total Money Makeover: Classic Edition: A Proven Plan for Financial Fitness</c:v>
                </c:pt>
                <c:pt idx="473">
                  <c:v>The Twilight Saga Collection</c:v>
                </c:pt>
                <c:pt idx="474">
                  <c:v>The Ugly Truth (Diary of a Wimpy Kid, Book 5)</c:v>
                </c:pt>
                <c:pt idx="475">
                  <c:v>The Unofficial Harry Potter Cookbook: From Cauldron Cakes to Knickerbocker Glory--More Than 150 Magical Recipes forâ€¦</c:v>
                </c:pt>
                <c:pt idx="476">
                  <c:v>The Very Hungry Caterpillar</c:v>
                </c:pt>
                <c:pt idx="477">
                  <c:v>The Very Hungry Caterpillar</c:v>
                </c:pt>
                <c:pt idx="478">
                  <c:v>The Very Hungry Caterpillar</c:v>
                </c:pt>
                <c:pt idx="479">
                  <c:v>The Very Hungry Caterpillar</c:v>
                </c:pt>
                <c:pt idx="480">
                  <c:v>The Very Hungry Caterpillar</c:v>
                </c:pt>
                <c:pt idx="481">
                  <c:v>The Very Hungry Caterpillar</c:v>
                </c:pt>
                <c:pt idx="482">
                  <c:v>The Very Hungry Caterpillar</c:v>
                </c:pt>
                <c:pt idx="483">
                  <c:v>The Whole30: The 30-Day Guide to Total Health and Food Freedom</c:v>
                </c:pt>
                <c:pt idx="484">
                  <c:v>The Whole30: The 30-Day Guide to Total Health and Food Freedom</c:v>
                </c:pt>
                <c:pt idx="485">
                  <c:v>The Whole30: The 30-Day Guide to Total Health and Food Freedom</c:v>
                </c:pt>
                <c:pt idx="486">
                  <c:v>The Wonderful Things You Will Be</c:v>
                </c:pt>
                <c:pt idx="487">
                  <c:v>The Wonderful Things You Will Be</c:v>
                </c:pt>
                <c:pt idx="488">
                  <c:v>The Wonderful Things You Will Be</c:v>
                </c:pt>
                <c:pt idx="489">
                  <c:v>The Wonderful Things You Will Be</c:v>
                </c:pt>
                <c:pt idx="490">
                  <c:v>The Wonky Donkey</c:v>
                </c:pt>
                <c:pt idx="491">
                  <c:v>The Wonky Donkey</c:v>
                </c:pt>
                <c:pt idx="492">
                  <c:v>The Wright Brothers</c:v>
                </c:pt>
                <c:pt idx="493">
                  <c:v>Things That Matter: Three Decades of Passions, Pastimes and Politics [Deckled Edge]</c:v>
                </c:pt>
                <c:pt idx="494">
                  <c:v>Thinking, Fast and Slow</c:v>
                </c:pt>
                <c:pt idx="495">
                  <c:v>Thinking, Fast and Slow</c:v>
                </c:pt>
                <c:pt idx="496">
                  <c:v>Thirteen Reasons Why</c:v>
                </c:pt>
                <c:pt idx="497">
                  <c:v>Thomas Jefferson: The Art of Power</c:v>
                </c:pt>
                <c:pt idx="498">
                  <c:v>Three Cups of Tea: One Man's Mission to Promote Peace - One School at a Time</c:v>
                </c:pt>
                <c:pt idx="499">
                  <c:v>Three Cups of Tea: One Man's Mission to Promote Peace - One School at a Time</c:v>
                </c:pt>
                <c:pt idx="500">
                  <c:v>Thug Kitchen: The Official Cookbook: Eat Like You Give a F*ck (Thug Kitchen Cookbooks)</c:v>
                </c:pt>
                <c:pt idx="501">
                  <c:v>Thug Kitchen: The Official Cookbook: Eat Like You Give a F*ck (Thug Kitchen Cookbooks)</c:v>
                </c:pt>
                <c:pt idx="502">
                  <c:v>Thug Kitchen: The Official Cookbook: Eat Like You Give a F*ck (Thug Kitchen Cookbooks)</c:v>
                </c:pt>
                <c:pt idx="503">
                  <c:v>Thug Kitchen: The Official Cookbook: Eat Like You Give a F*ck (Thug Kitchen Cookbooks)</c:v>
                </c:pt>
                <c:pt idx="504">
                  <c:v>Tina Fey: Bossypants</c:v>
                </c:pt>
                <c:pt idx="505">
                  <c:v>To Kill a Mockingbird</c:v>
                </c:pt>
                <c:pt idx="506">
                  <c:v>To Kill a Mockingbird</c:v>
                </c:pt>
                <c:pt idx="507">
                  <c:v>To Kill a Mockingbird</c:v>
                </c:pt>
                <c:pt idx="508">
                  <c:v>To Kill a Mockingbird</c:v>
                </c:pt>
                <c:pt idx="509">
                  <c:v>To Kill a Mockingbird</c:v>
                </c:pt>
                <c:pt idx="510">
                  <c:v>Tools of Titans: The Tactics, Routines, and Habits of Billionaires, Icons, and World-Class Performers</c:v>
                </c:pt>
                <c:pt idx="511">
                  <c:v>Towers of Midnight (Wheel of Time, Book Thirteen)</c:v>
                </c:pt>
                <c:pt idx="512">
                  <c:v>True Compass: A Memoir</c:v>
                </c:pt>
                <c:pt idx="513">
                  <c:v>Twilight (The Twilight Saga, Book 1)</c:v>
                </c:pt>
                <c:pt idx="514">
                  <c:v>Ultimate Sticker Book: Frozen: More Than 60 Reusable Full-Color Stickers</c:v>
                </c:pt>
                <c:pt idx="515">
                  <c:v>Unbroken: A World War II Story of Survival, Resilience, and Redemption</c:v>
                </c:pt>
                <c:pt idx="516">
                  <c:v>Unbroken: A World War II Story of Survival, Resilience, and Redemption</c:v>
                </c:pt>
                <c:pt idx="517">
                  <c:v>Unbroken: A World War II Story of Survival, Resilience, and Redemption</c:v>
                </c:pt>
                <c:pt idx="518">
                  <c:v>Unbroken: A World War II Story of Survival, Resilience, and Redemption</c:v>
                </c:pt>
                <c:pt idx="519">
                  <c:v>Unbroken: A World War II Story of Survival, Resilience, and Redemption</c:v>
                </c:pt>
                <c:pt idx="520">
                  <c:v>Under the Dome: A Novel</c:v>
                </c:pt>
                <c:pt idx="521">
                  <c:v>Unfreedom of the Press</c:v>
                </c:pt>
                <c:pt idx="522">
                  <c:v>Unicorn Coloring Book: For Kids Ages 4-8 (US Edition) (Silly Bear Coloring Books)</c:v>
                </c:pt>
                <c:pt idx="523">
                  <c:v>Uninvited: Living Loved When You Feel Less Than, Left Out, and Lonely</c:v>
                </c:pt>
                <c:pt idx="524">
                  <c:v>Watchmen</c:v>
                </c:pt>
                <c:pt idx="525">
                  <c:v>Water for Elephants: A Novel</c:v>
                </c:pt>
                <c:pt idx="526">
                  <c:v>What Happened</c:v>
                </c:pt>
                <c:pt idx="527">
                  <c:v>What If?: Serious Scientific Answers to Absurd Hypothetical Questions</c:v>
                </c:pt>
                <c:pt idx="528">
                  <c:v>What Pet Should I Get? (Classic Seuss)</c:v>
                </c:pt>
                <c:pt idx="529">
                  <c:v>What Should Danny Do? (The Power to Choose Series)</c:v>
                </c:pt>
                <c:pt idx="530">
                  <c:v>What to Expect When You're Expecting</c:v>
                </c:pt>
                <c:pt idx="531">
                  <c:v>Wheat Belly: Lose the Wheat, Lose the Weight, and Find Your Path Back to Health</c:v>
                </c:pt>
                <c:pt idx="532">
                  <c:v>Wheat Belly: Lose the Wheat, Lose the Weight, and Find Your Path Back to Health</c:v>
                </c:pt>
                <c:pt idx="533">
                  <c:v>When Breath Becomes Air</c:v>
                </c:pt>
                <c:pt idx="534">
                  <c:v>Where the Crawdads Sing</c:v>
                </c:pt>
                <c:pt idx="535">
                  <c:v>Where the Wild Things Are</c:v>
                </c:pt>
                <c:pt idx="536">
                  <c:v>Whose Boat Is This Boat?: Comments That Don't Help in the Aftermath of a Hurricane</c:v>
                </c:pt>
                <c:pt idx="537">
                  <c:v>Wild: From Lost to Found on the Pacific Crest Trail</c:v>
                </c:pt>
                <c:pt idx="538">
                  <c:v>Winter of the World: Book Two of the Century Trilogy</c:v>
                </c:pt>
                <c:pt idx="539">
                  <c:v>Women Food and God: An Unexpected Path to Almost Everything</c:v>
                </c:pt>
                <c:pt idx="540">
                  <c:v>Wonder</c:v>
                </c:pt>
                <c:pt idx="541">
                  <c:v>Wonder</c:v>
                </c:pt>
                <c:pt idx="542">
                  <c:v>Wonder</c:v>
                </c:pt>
                <c:pt idx="543">
                  <c:v>Wonder</c:v>
                </c:pt>
                <c:pt idx="544">
                  <c:v>Wonder</c:v>
                </c:pt>
                <c:pt idx="545">
                  <c:v>Wrecking Ball (Diary of a Wimpy Kid Book 14)</c:v>
                </c:pt>
                <c:pt idx="546">
                  <c:v>You Are a Badass: How to Stop Doubting Your Greatness and Start Living an Awesome Life</c:v>
                </c:pt>
                <c:pt idx="547">
                  <c:v>You Are a Badass: How to Stop Doubting Your Greatness and Start Living an Awesome Life</c:v>
                </c:pt>
                <c:pt idx="548">
                  <c:v>You Are a Badass: How to Stop Doubting Your Greatness and Start Living an Awesome Life</c:v>
                </c:pt>
                <c:pt idx="549">
                  <c:v>You Are a Badass: How to Stop Doubting Your Greatness and Start Living an Awesome Life</c:v>
                </c:pt>
              </c:strCache>
            </c:strRef>
          </c:cat>
          <c:val>
            <c:numRef>
              <c:f>'Task 3 visualisation'!$D$2:$D$563</c:f>
              <c:numCache>
                <c:formatCode>General</c:formatCode>
                <c:ptCount val="562"/>
                <c:pt idx="0">
                  <c:v>17350</c:v>
                </c:pt>
                <c:pt idx="1">
                  <c:v>2052</c:v>
                </c:pt>
                <c:pt idx="2">
                  <c:v>18979</c:v>
                </c:pt>
                <c:pt idx="3">
                  <c:v>21424</c:v>
                </c:pt>
                <c:pt idx="4">
                  <c:v>7665</c:v>
                </c:pt>
                <c:pt idx="5">
                  <c:v>12643</c:v>
                </c:pt>
                <c:pt idx="6">
                  <c:v>19735</c:v>
                </c:pt>
                <c:pt idx="7">
                  <c:v>19699</c:v>
                </c:pt>
                <c:pt idx="8">
                  <c:v>5983</c:v>
                </c:pt>
                <c:pt idx="9">
                  <c:v>23848</c:v>
                </c:pt>
                <c:pt idx="10">
                  <c:v>23848</c:v>
                </c:pt>
                <c:pt idx="11">
                  <c:v>460</c:v>
                </c:pt>
                <c:pt idx="12">
                  <c:v>4149</c:v>
                </c:pt>
                <c:pt idx="13">
                  <c:v>5153</c:v>
                </c:pt>
                <c:pt idx="14">
                  <c:v>5013</c:v>
                </c:pt>
                <c:pt idx="15">
                  <c:v>2313</c:v>
                </c:pt>
                <c:pt idx="16">
                  <c:v>2925</c:v>
                </c:pt>
                <c:pt idx="17">
                  <c:v>2951</c:v>
                </c:pt>
                <c:pt idx="18">
                  <c:v>2426</c:v>
                </c:pt>
                <c:pt idx="19">
                  <c:v>9198</c:v>
                </c:pt>
                <c:pt idx="20">
                  <c:v>36348</c:v>
                </c:pt>
                <c:pt idx="21">
                  <c:v>36348</c:v>
                </c:pt>
                <c:pt idx="22">
                  <c:v>6310</c:v>
                </c:pt>
                <c:pt idx="23">
                  <c:v>15921</c:v>
                </c:pt>
                <c:pt idx="24">
                  <c:v>12159</c:v>
                </c:pt>
                <c:pt idx="25">
                  <c:v>798</c:v>
                </c:pt>
                <c:pt idx="26">
                  <c:v>9374</c:v>
                </c:pt>
                <c:pt idx="27">
                  <c:v>491</c:v>
                </c:pt>
                <c:pt idx="28">
                  <c:v>5360</c:v>
                </c:pt>
                <c:pt idx="29">
                  <c:v>1909</c:v>
                </c:pt>
                <c:pt idx="30">
                  <c:v>1296</c:v>
                </c:pt>
                <c:pt idx="31">
                  <c:v>615</c:v>
                </c:pt>
                <c:pt idx="32">
                  <c:v>61133</c:v>
                </c:pt>
                <c:pt idx="33">
                  <c:v>61133</c:v>
                </c:pt>
                <c:pt idx="34">
                  <c:v>11113</c:v>
                </c:pt>
                <c:pt idx="35">
                  <c:v>10070</c:v>
                </c:pt>
                <c:pt idx="36">
                  <c:v>10070</c:v>
                </c:pt>
                <c:pt idx="37">
                  <c:v>3729</c:v>
                </c:pt>
                <c:pt idx="38">
                  <c:v>9769</c:v>
                </c:pt>
                <c:pt idx="39">
                  <c:v>471</c:v>
                </c:pt>
                <c:pt idx="40">
                  <c:v>14344</c:v>
                </c:pt>
                <c:pt idx="41">
                  <c:v>14344</c:v>
                </c:pt>
                <c:pt idx="42">
                  <c:v>4505</c:v>
                </c:pt>
                <c:pt idx="43">
                  <c:v>10369</c:v>
                </c:pt>
                <c:pt idx="44">
                  <c:v>16244</c:v>
                </c:pt>
                <c:pt idx="45">
                  <c:v>2884</c:v>
                </c:pt>
                <c:pt idx="46">
                  <c:v>22614</c:v>
                </c:pt>
                <c:pt idx="47">
                  <c:v>22614</c:v>
                </c:pt>
                <c:pt idx="48">
                  <c:v>22614</c:v>
                </c:pt>
                <c:pt idx="49">
                  <c:v>4761</c:v>
                </c:pt>
                <c:pt idx="50">
                  <c:v>1542</c:v>
                </c:pt>
                <c:pt idx="51">
                  <c:v>1542</c:v>
                </c:pt>
                <c:pt idx="52">
                  <c:v>1542</c:v>
                </c:pt>
                <c:pt idx="53">
                  <c:v>6143</c:v>
                </c:pt>
                <c:pt idx="54">
                  <c:v>4022</c:v>
                </c:pt>
                <c:pt idx="55">
                  <c:v>3871</c:v>
                </c:pt>
                <c:pt idx="56">
                  <c:v>4866</c:v>
                </c:pt>
                <c:pt idx="57">
                  <c:v>4866</c:v>
                </c:pt>
                <c:pt idx="58">
                  <c:v>1329</c:v>
                </c:pt>
                <c:pt idx="59">
                  <c:v>4642</c:v>
                </c:pt>
                <c:pt idx="60">
                  <c:v>1541</c:v>
                </c:pt>
                <c:pt idx="61">
                  <c:v>1924</c:v>
                </c:pt>
                <c:pt idx="62">
                  <c:v>2094</c:v>
                </c:pt>
                <c:pt idx="63">
                  <c:v>10922</c:v>
                </c:pt>
                <c:pt idx="64">
                  <c:v>10922</c:v>
                </c:pt>
                <c:pt idx="65">
                  <c:v>10922</c:v>
                </c:pt>
                <c:pt idx="66">
                  <c:v>10922</c:v>
                </c:pt>
                <c:pt idx="67">
                  <c:v>2137</c:v>
                </c:pt>
                <c:pt idx="68">
                  <c:v>1651</c:v>
                </c:pt>
                <c:pt idx="69">
                  <c:v>6679</c:v>
                </c:pt>
                <c:pt idx="70">
                  <c:v>6679</c:v>
                </c:pt>
                <c:pt idx="71">
                  <c:v>6812</c:v>
                </c:pt>
                <c:pt idx="72">
                  <c:v>3837</c:v>
                </c:pt>
                <c:pt idx="73">
                  <c:v>6540</c:v>
                </c:pt>
                <c:pt idx="74">
                  <c:v>7955</c:v>
                </c:pt>
                <c:pt idx="75">
                  <c:v>27098</c:v>
                </c:pt>
                <c:pt idx="76">
                  <c:v>27098</c:v>
                </c:pt>
                <c:pt idx="77">
                  <c:v>17684</c:v>
                </c:pt>
                <c:pt idx="78">
                  <c:v>37</c:v>
                </c:pt>
                <c:pt idx="79">
                  <c:v>15845</c:v>
                </c:pt>
                <c:pt idx="80">
                  <c:v>3181</c:v>
                </c:pt>
                <c:pt idx="81">
                  <c:v>5062</c:v>
                </c:pt>
                <c:pt idx="82">
                  <c:v>4786</c:v>
                </c:pt>
                <c:pt idx="83">
                  <c:v>7235</c:v>
                </c:pt>
                <c:pt idx="84">
                  <c:v>7235</c:v>
                </c:pt>
                <c:pt idx="85">
                  <c:v>12619</c:v>
                </c:pt>
                <c:pt idx="86">
                  <c:v>9089</c:v>
                </c:pt>
                <c:pt idx="87">
                  <c:v>5470</c:v>
                </c:pt>
                <c:pt idx="88">
                  <c:v>5118</c:v>
                </c:pt>
                <c:pt idx="89">
                  <c:v>2134</c:v>
                </c:pt>
                <c:pt idx="90">
                  <c:v>2525</c:v>
                </c:pt>
                <c:pt idx="91">
                  <c:v>720</c:v>
                </c:pt>
                <c:pt idx="92">
                  <c:v>956</c:v>
                </c:pt>
                <c:pt idx="93">
                  <c:v>6346</c:v>
                </c:pt>
                <c:pt idx="94">
                  <c:v>6346</c:v>
                </c:pt>
                <c:pt idx="95">
                  <c:v>5505</c:v>
                </c:pt>
                <c:pt idx="96">
                  <c:v>5505</c:v>
                </c:pt>
                <c:pt idx="97">
                  <c:v>28729</c:v>
                </c:pt>
                <c:pt idx="98">
                  <c:v>28729</c:v>
                </c:pt>
                <c:pt idx="99">
                  <c:v>5413</c:v>
                </c:pt>
                <c:pt idx="100">
                  <c:v>10721</c:v>
                </c:pt>
                <c:pt idx="101">
                  <c:v>10721</c:v>
                </c:pt>
                <c:pt idx="102">
                  <c:v>4370</c:v>
                </c:pt>
                <c:pt idx="103">
                  <c:v>6042</c:v>
                </c:pt>
                <c:pt idx="104">
                  <c:v>23631</c:v>
                </c:pt>
                <c:pt idx="105">
                  <c:v>20262</c:v>
                </c:pt>
                <c:pt idx="106">
                  <c:v>47265</c:v>
                </c:pt>
                <c:pt idx="107">
                  <c:v>47265</c:v>
                </c:pt>
                <c:pt idx="108">
                  <c:v>13964</c:v>
                </c:pt>
                <c:pt idx="109">
                  <c:v>13677</c:v>
                </c:pt>
                <c:pt idx="110">
                  <c:v>17323</c:v>
                </c:pt>
                <c:pt idx="111">
                  <c:v>17323</c:v>
                </c:pt>
                <c:pt idx="112">
                  <c:v>17323</c:v>
                </c:pt>
                <c:pt idx="113">
                  <c:v>17323</c:v>
                </c:pt>
                <c:pt idx="114">
                  <c:v>17323</c:v>
                </c:pt>
                <c:pt idx="115">
                  <c:v>1555</c:v>
                </c:pt>
                <c:pt idx="116">
                  <c:v>3642</c:v>
                </c:pt>
                <c:pt idx="117">
                  <c:v>1215</c:v>
                </c:pt>
                <c:pt idx="118">
                  <c:v>5594</c:v>
                </c:pt>
                <c:pt idx="119">
                  <c:v>5594</c:v>
                </c:pt>
                <c:pt idx="120">
                  <c:v>5594</c:v>
                </c:pt>
                <c:pt idx="121">
                  <c:v>408</c:v>
                </c:pt>
                <c:pt idx="122">
                  <c:v>4799</c:v>
                </c:pt>
                <c:pt idx="123">
                  <c:v>14038</c:v>
                </c:pt>
                <c:pt idx="124">
                  <c:v>14038</c:v>
                </c:pt>
                <c:pt idx="125">
                  <c:v>14038</c:v>
                </c:pt>
                <c:pt idx="126">
                  <c:v>14038</c:v>
                </c:pt>
                <c:pt idx="127">
                  <c:v>14038</c:v>
                </c:pt>
                <c:pt idx="128">
                  <c:v>7660</c:v>
                </c:pt>
                <c:pt idx="129">
                  <c:v>22288</c:v>
                </c:pt>
                <c:pt idx="130">
                  <c:v>22288</c:v>
                </c:pt>
                <c:pt idx="131">
                  <c:v>1365</c:v>
                </c:pt>
                <c:pt idx="132">
                  <c:v>14982</c:v>
                </c:pt>
                <c:pt idx="133">
                  <c:v>9568</c:v>
                </c:pt>
                <c:pt idx="134">
                  <c:v>1636</c:v>
                </c:pt>
                <c:pt idx="135">
                  <c:v>57271</c:v>
                </c:pt>
                <c:pt idx="136">
                  <c:v>57271</c:v>
                </c:pt>
                <c:pt idx="137">
                  <c:v>57271</c:v>
                </c:pt>
                <c:pt idx="138">
                  <c:v>10141</c:v>
                </c:pt>
                <c:pt idx="139">
                  <c:v>3457</c:v>
                </c:pt>
                <c:pt idx="140">
                  <c:v>3457</c:v>
                </c:pt>
                <c:pt idx="141">
                  <c:v>3457</c:v>
                </c:pt>
                <c:pt idx="142">
                  <c:v>3457</c:v>
                </c:pt>
                <c:pt idx="143">
                  <c:v>8837</c:v>
                </c:pt>
                <c:pt idx="144">
                  <c:v>8837</c:v>
                </c:pt>
                <c:pt idx="145">
                  <c:v>8837</c:v>
                </c:pt>
                <c:pt idx="146">
                  <c:v>7038</c:v>
                </c:pt>
                <c:pt idx="147">
                  <c:v>7038</c:v>
                </c:pt>
                <c:pt idx="148">
                  <c:v>5972</c:v>
                </c:pt>
                <c:pt idx="149">
                  <c:v>25624</c:v>
                </c:pt>
                <c:pt idx="150">
                  <c:v>5476</c:v>
                </c:pt>
                <c:pt idx="151">
                  <c:v>5867</c:v>
                </c:pt>
                <c:pt idx="152">
                  <c:v>4148</c:v>
                </c:pt>
                <c:pt idx="153">
                  <c:v>19622</c:v>
                </c:pt>
                <c:pt idx="154">
                  <c:v>23973</c:v>
                </c:pt>
                <c:pt idx="155">
                  <c:v>7758</c:v>
                </c:pt>
                <c:pt idx="156">
                  <c:v>3146</c:v>
                </c:pt>
                <c:pt idx="157">
                  <c:v>10052</c:v>
                </c:pt>
                <c:pt idx="158">
                  <c:v>3564</c:v>
                </c:pt>
                <c:pt idx="159">
                  <c:v>13471</c:v>
                </c:pt>
                <c:pt idx="160">
                  <c:v>1930</c:v>
                </c:pt>
                <c:pt idx="161">
                  <c:v>15779</c:v>
                </c:pt>
                <c:pt idx="162">
                  <c:v>15779</c:v>
                </c:pt>
                <c:pt idx="163">
                  <c:v>15526</c:v>
                </c:pt>
                <c:pt idx="164">
                  <c:v>15526</c:v>
                </c:pt>
                <c:pt idx="165">
                  <c:v>3776</c:v>
                </c:pt>
                <c:pt idx="166">
                  <c:v>25001</c:v>
                </c:pt>
                <c:pt idx="167">
                  <c:v>25001</c:v>
                </c:pt>
                <c:pt idx="168">
                  <c:v>25001</c:v>
                </c:pt>
                <c:pt idx="169">
                  <c:v>25001</c:v>
                </c:pt>
                <c:pt idx="170">
                  <c:v>25001</c:v>
                </c:pt>
                <c:pt idx="171">
                  <c:v>5272</c:v>
                </c:pt>
                <c:pt idx="172">
                  <c:v>3490</c:v>
                </c:pt>
                <c:pt idx="173">
                  <c:v>3490</c:v>
                </c:pt>
                <c:pt idx="174">
                  <c:v>2812</c:v>
                </c:pt>
                <c:pt idx="175">
                  <c:v>4896</c:v>
                </c:pt>
                <c:pt idx="176">
                  <c:v>9737</c:v>
                </c:pt>
                <c:pt idx="177">
                  <c:v>1320</c:v>
                </c:pt>
                <c:pt idx="178">
                  <c:v>16643</c:v>
                </c:pt>
                <c:pt idx="179">
                  <c:v>16643</c:v>
                </c:pt>
                <c:pt idx="180">
                  <c:v>7153</c:v>
                </c:pt>
                <c:pt idx="181">
                  <c:v>4571</c:v>
                </c:pt>
                <c:pt idx="182">
                  <c:v>29651</c:v>
                </c:pt>
                <c:pt idx="183">
                  <c:v>5299</c:v>
                </c:pt>
                <c:pt idx="184">
                  <c:v>7396</c:v>
                </c:pt>
                <c:pt idx="185">
                  <c:v>7396</c:v>
                </c:pt>
                <c:pt idx="186">
                  <c:v>7062</c:v>
                </c:pt>
                <c:pt idx="187">
                  <c:v>19576</c:v>
                </c:pt>
                <c:pt idx="188">
                  <c:v>19576</c:v>
                </c:pt>
                <c:pt idx="189">
                  <c:v>19576</c:v>
                </c:pt>
                <c:pt idx="190">
                  <c:v>19576</c:v>
                </c:pt>
                <c:pt idx="191">
                  <c:v>19576</c:v>
                </c:pt>
                <c:pt idx="192">
                  <c:v>19576</c:v>
                </c:pt>
                <c:pt idx="193">
                  <c:v>978</c:v>
                </c:pt>
                <c:pt idx="194">
                  <c:v>4748</c:v>
                </c:pt>
                <c:pt idx="195">
                  <c:v>8393</c:v>
                </c:pt>
                <c:pt idx="196">
                  <c:v>11391</c:v>
                </c:pt>
                <c:pt idx="197">
                  <c:v>8634</c:v>
                </c:pt>
                <c:pt idx="198">
                  <c:v>9342</c:v>
                </c:pt>
                <c:pt idx="199">
                  <c:v>9342</c:v>
                </c:pt>
                <c:pt idx="200">
                  <c:v>10927</c:v>
                </c:pt>
                <c:pt idx="201">
                  <c:v>5235</c:v>
                </c:pt>
                <c:pt idx="202">
                  <c:v>8916</c:v>
                </c:pt>
                <c:pt idx="203">
                  <c:v>2507</c:v>
                </c:pt>
                <c:pt idx="204">
                  <c:v>3673</c:v>
                </c:pt>
                <c:pt idx="205">
                  <c:v>3673</c:v>
                </c:pt>
                <c:pt idx="206">
                  <c:v>3673</c:v>
                </c:pt>
                <c:pt idx="207">
                  <c:v>11881</c:v>
                </c:pt>
                <c:pt idx="208">
                  <c:v>6990</c:v>
                </c:pt>
                <c:pt idx="209">
                  <c:v>6990</c:v>
                </c:pt>
                <c:pt idx="210">
                  <c:v>6990</c:v>
                </c:pt>
                <c:pt idx="211">
                  <c:v>6990</c:v>
                </c:pt>
                <c:pt idx="212">
                  <c:v>6990</c:v>
                </c:pt>
                <c:pt idx="213">
                  <c:v>6132</c:v>
                </c:pt>
                <c:pt idx="214">
                  <c:v>3014</c:v>
                </c:pt>
                <c:pt idx="215">
                  <c:v>7550</c:v>
                </c:pt>
                <c:pt idx="216">
                  <c:v>3828</c:v>
                </c:pt>
                <c:pt idx="217">
                  <c:v>2752</c:v>
                </c:pt>
                <c:pt idx="218">
                  <c:v>1467</c:v>
                </c:pt>
                <c:pt idx="219">
                  <c:v>1884</c:v>
                </c:pt>
                <c:pt idx="220">
                  <c:v>25706</c:v>
                </c:pt>
                <c:pt idx="221">
                  <c:v>8491</c:v>
                </c:pt>
                <c:pt idx="222">
                  <c:v>1649</c:v>
                </c:pt>
                <c:pt idx="223">
                  <c:v>18613</c:v>
                </c:pt>
                <c:pt idx="224">
                  <c:v>18613</c:v>
                </c:pt>
                <c:pt idx="225">
                  <c:v>9867</c:v>
                </c:pt>
                <c:pt idx="226">
                  <c:v>1386</c:v>
                </c:pt>
                <c:pt idx="227">
                  <c:v>10199</c:v>
                </c:pt>
                <c:pt idx="228">
                  <c:v>2926</c:v>
                </c:pt>
                <c:pt idx="229">
                  <c:v>17739</c:v>
                </c:pt>
                <c:pt idx="230">
                  <c:v>17739</c:v>
                </c:pt>
                <c:pt idx="231">
                  <c:v>17739</c:v>
                </c:pt>
                <c:pt idx="232">
                  <c:v>3113</c:v>
                </c:pt>
                <c:pt idx="233">
                  <c:v>5542</c:v>
                </c:pt>
                <c:pt idx="234">
                  <c:v>5542</c:v>
                </c:pt>
                <c:pt idx="235">
                  <c:v>5542</c:v>
                </c:pt>
                <c:pt idx="236">
                  <c:v>26741</c:v>
                </c:pt>
                <c:pt idx="237">
                  <c:v>26741</c:v>
                </c:pt>
                <c:pt idx="238">
                  <c:v>26741</c:v>
                </c:pt>
                <c:pt idx="239">
                  <c:v>5347</c:v>
                </c:pt>
                <c:pt idx="240">
                  <c:v>7866</c:v>
                </c:pt>
                <c:pt idx="241">
                  <c:v>5680</c:v>
                </c:pt>
                <c:pt idx="242">
                  <c:v>5178</c:v>
                </c:pt>
                <c:pt idx="243">
                  <c:v>8093</c:v>
                </c:pt>
                <c:pt idx="244">
                  <c:v>3192</c:v>
                </c:pt>
                <c:pt idx="245">
                  <c:v>21834</c:v>
                </c:pt>
                <c:pt idx="246">
                  <c:v>21834</c:v>
                </c:pt>
                <c:pt idx="247">
                  <c:v>21834</c:v>
                </c:pt>
                <c:pt idx="248">
                  <c:v>21834</c:v>
                </c:pt>
                <c:pt idx="249">
                  <c:v>21834</c:v>
                </c:pt>
                <c:pt idx="250">
                  <c:v>21834</c:v>
                </c:pt>
                <c:pt idx="251">
                  <c:v>21834</c:v>
                </c:pt>
                <c:pt idx="252">
                  <c:v>21834</c:v>
                </c:pt>
                <c:pt idx="253">
                  <c:v>6169</c:v>
                </c:pt>
                <c:pt idx="254">
                  <c:v>4519</c:v>
                </c:pt>
                <c:pt idx="255">
                  <c:v>3163</c:v>
                </c:pt>
                <c:pt idx="256">
                  <c:v>3163</c:v>
                </c:pt>
                <c:pt idx="257">
                  <c:v>1831</c:v>
                </c:pt>
                <c:pt idx="258">
                  <c:v>18904</c:v>
                </c:pt>
                <c:pt idx="259">
                  <c:v>21930</c:v>
                </c:pt>
                <c:pt idx="260">
                  <c:v>10426</c:v>
                </c:pt>
                <c:pt idx="261">
                  <c:v>10426</c:v>
                </c:pt>
                <c:pt idx="262">
                  <c:v>10820</c:v>
                </c:pt>
                <c:pt idx="263">
                  <c:v>10820</c:v>
                </c:pt>
                <c:pt idx="264">
                  <c:v>548</c:v>
                </c:pt>
                <c:pt idx="265">
                  <c:v>16990</c:v>
                </c:pt>
                <c:pt idx="266">
                  <c:v>16990</c:v>
                </c:pt>
                <c:pt idx="267">
                  <c:v>16990</c:v>
                </c:pt>
                <c:pt idx="268">
                  <c:v>3503</c:v>
                </c:pt>
                <c:pt idx="269">
                  <c:v>13616</c:v>
                </c:pt>
                <c:pt idx="270">
                  <c:v>13616</c:v>
                </c:pt>
                <c:pt idx="271">
                  <c:v>8580</c:v>
                </c:pt>
                <c:pt idx="272">
                  <c:v>8580</c:v>
                </c:pt>
                <c:pt idx="273">
                  <c:v>8580</c:v>
                </c:pt>
                <c:pt idx="274">
                  <c:v>8580</c:v>
                </c:pt>
                <c:pt idx="275">
                  <c:v>8580</c:v>
                </c:pt>
                <c:pt idx="276">
                  <c:v>8580</c:v>
                </c:pt>
                <c:pt idx="277">
                  <c:v>8580</c:v>
                </c:pt>
                <c:pt idx="278">
                  <c:v>8580</c:v>
                </c:pt>
                <c:pt idx="279">
                  <c:v>8580</c:v>
                </c:pt>
                <c:pt idx="280">
                  <c:v>8580</c:v>
                </c:pt>
                <c:pt idx="281">
                  <c:v>4757</c:v>
                </c:pt>
                <c:pt idx="282">
                  <c:v>10009</c:v>
                </c:pt>
                <c:pt idx="283">
                  <c:v>10009</c:v>
                </c:pt>
                <c:pt idx="284">
                  <c:v>1985</c:v>
                </c:pt>
                <c:pt idx="285">
                  <c:v>1985</c:v>
                </c:pt>
                <c:pt idx="286">
                  <c:v>22536</c:v>
                </c:pt>
                <c:pt idx="287">
                  <c:v>22536</c:v>
                </c:pt>
                <c:pt idx="288">
                  <c:v>7150</c:v>
                </c:pt>
                <c:pt idx="289">
                  <c:v>3836</c:v>
                </c:pt>
                <c:pt idx="290">
                  <c:v>7802</c:v>
                </c:pt>
                <c:pt idx="291">
                  <c:v>7802</c:v>
                </c:pt>
                <c:pt idx="292">
                  <c:v>3619</c:v>
                </c:pt>
                <c:pt idx="293">
                  <c:v>23047</c:v>
                </c:pt>
                <c:pt idx="294">
                  <c:v>23047</c:v>
                </c:pt>
                <c:pt idx="295">
                  <c:v>9366</c:v>
                </c:pt>
                <c:pt idx="296">
                  <c:v>1265</c:v>
                </c:pt>
                <c:pt idx="297">
                  <c:v>3923</c:v>
                </c:pt>
                <c:pt idx="298">
                  <c:v>2272</c:v>
                </c:pt>
                <c:pt idx="299">
                  <c:v>973</c:v>
                </c:pt>
                <c:pt idx="300">
                  <c:v>220</c:v>
                </c:pt>
                <c:pt idx="301">
                  <c:v>7827</c:v>
                </c:pt>
                <c:pt idx="302">
                  <c:v>7827</c:v>
                </c:pt>
                <c:pt idx="303">
                  <c:v>9382</c:v>
                </c:pt>
                <c:pt idx="304">
                  <c:v>5069</c:v>
                </c:pt>
                <c:pt idx="305">
                  <c:v>5069</c:v>
                </c:pt>
                <c:pt idx="306">
                  <c:v>5069</c:v>
                </c:pt>
                <c:pt idx="307">
                  <c:v>5069</c:v>
                </c:pt>
                <c:pt idx="308">
                  <c:v>5069</c:v>
                </c:pt>
                <c:pt idx="309">
                  <c:v>5069</c:v>
                </c:pt>
                <c:pt idx="310">
                  <c:v>5069</c:v>
                </c:pt>
                <c:pt idx="311">
                  <c:v>5069</c:v>
                </c:pt>
                <c:pt idx="312">
                  <c:v>5069</c:v>
                </c:pt>
                <c:pt idx="313">
                  <c:v>1583</c:v>
                </c:pt>
                <c:pt idx="314">
                  <c:v>1907</c:v>
                </c:pt>
                <c:pt idx="315">
                  <c:v>23114</c:v>
                </c:pt>
                <c:pt idx="316">
                  <c:v>637</c:v>
                </c:pt>
                <c:pt idx="317">
                  <c:v>637</c:v>
                </c:pt>
                <c:pt idx="318">
                  <c:v>2314</c:v>
                </c:pt>
                <c:pt idx="319">
                  <c:v>4587</c:v>
                </c:pt>
                <c:pt idx="320">
                  <c:v>3477</c:v>
                </c:pt>
                <c:pt idx="321">
                  <c:v>3477</c:v>
                </c:pt>
                <c:pt idx="322">
                  <c:v>3477</c:v>
                </c:pt>
                <c:pt idx="323">
                  <c:v>3477</c:v>
                </c:pt>
                <c:pt idx="324">
                  <c:v>3477</c:v>
                </c:pt>
                <c:pt idx="325">
                  <c:v>25554</c:v>
                </c:pt>
                <c:pt idx="326">
                  <c:v>25554</c:v>
                </c:pt>
                <c:pt idx="327">
                  <c:v>25554</c:v>
                </c:pt>
                <c:pt idx="328">
                  <c:v>25554</c:v>
                </c:pt>
                <c:pt idx="329">
                  <c:v>25554</c:v>
                </c:pt>
                <c:pt idx="330">
                  <c:v>1680</c:v>
                </c:pt>
                <c:pt idx="331">
                  <c:v>9325</c:v>
                </c:pt>
                <c:pt idx="332">
                  <c:v>9325</c:v>
                </c:pt>
                <c:pt idx="333">
                  <c:v>9325</c:v>
                </c:pt>
                <c:pt idx="334">
                  <c:v>9325</c:v>
                </c:pt>
                <c:pt idx="335">
                  <c:v>4725</c:v>
                </c:pt>
                <c:pt idx="336">
                  <c:v>4725</c:v>
                </c:pt>
                <c:pt idx="337">
                  <c:v>4725</c:v>
                </c:pt>
                <c:pt idx="338">
                  <c:v>35799</c:v>
                </c:pt>
                <c:pt idx="339">
                  <c:v>2580</c:v>
                </c:pt>
                <c:pt idx="340">
                  <c:v>11813</c:v>
                </c:pt>
                <c:pt idx="341">
                  <c:v>11813</c:v>
                </c:pt>
                <c:pt idx="342">
                  <c:v>3536</c:v>
                </c:pt>
                <c:pt idx="343">
                  <c:v>6600</c:v>
                </c:pt>
                <c:pt idx="344">
                  <c:v>1789</c:v>
                </c:pt>
                <c:pt idx="345">
                  <c:v>12361</c:v>
                </c:pt>
                <c:pt idx="346">
                  <c:v>858</c:v>
                </c:pt>
                <c:pt idx="347">
                  <c:v>23148</c:v>
                </c:pt>
                <c:pt idx="348">
                  <c:v>23148</c:v>
                </c:pt>
                <c:pt idx="349">
                  <c:v>8081</c:v>
                </c:pt>
                <c:pt idx="350">
                  <c:v>8081</c:v>
                </c:pt>
                <c:pt idx="351">
                  <c:v>23358</c:v>
                </c:pt>
                <c:pt idx="352">
                  <c:v>23358</c:v>
                </c:pt>
                <c:pt idx="353">
                  <c:v>9372</c:v>
                </c:pt>
                <c:pt idx="354">
                  <c:v>4633</c:v>
                </c:pt>
                <c:pt idx="355">
                  <c:v>13061</c:v>
                </c:pt>
                <c:pt idx="356">
                  <c:v>13061</c:v>
                </c:pt>
                <c:pt idx="357">
                  <c:v>3523</c:v>
                </c:pt>
                <c:pt idx="358">
                  <c:v>2774</c:v>
                </c:pt>
                <c:pt idx="359">
                  <c:v>440</c:v>
                </c:pt>
                <c:pt idx="360">
                  <c:v>8922</c:v>
                </c:pt>
                <c:pt idx="361">
                  <c:v>8922</c:v>
                </c:pt>
                <c:pt idx="362">
                  <c:v>8922</c:v>
                </c:pt>
                <c:pt idx="363">
                  <c:v>2023</c:v>
                </c:pt>
                <c:pt idx="364">
                  <c:v>1859</c:v>
                </c:pt>
                <c:pt idx="365">
                  <c:v>50482</c:v>
                </c:pt>
                <c:pt idx="366">
                  <c:v>50482</c:v>
                </c:pt>
                <c:pt idx="367">
                  <c:v>50482</c:v>
                </c:pt>
                <c:pt idx="368">
                  <c:v>50482</c:v>
                </c:pt>
                <c:pt idx="369">
                  <c:v>3207</c:v>
                </c:pt>
                <c:pt idx="370">
                  <c:v>3207</c:v>
                </c:pt>
                <c:pt idx="371">
                  <c:v>3207</c:v>
                </c:pt>
                <c:pt idx="372">
                  <c:v>3207</c:v>
                </c:pt>
                <c:pt idx="373">
                  <c:v>3207</c:v>
                </c:pt>
                <c:pt idx="374">
                  <c:v>803</c:v>
                </c:pt>
                <c:pt idx="375">
                  <c:v>23308</c:v>
                </c:pt>
                <c:pt idx="376">
                  <c:v>23308</c:v>
                </c:pt>
                <c:pt idx="377">
                  <c:v>23308</c:v>
                </c:pt>
                <c:pt idx="378">
                  <c:v>23308</c:v>
                </c:pt>
                <c:pt idx="379">
                  <c:v>23308</c:v>
                </c:pt>
                <c:pt idx="380">
                  <c:v>23308</c:v>
                </c:pt>
                <c:pt idx="381">
                  <c:v>5836</c:v>
                </c:pt>
                <c:pt idx="382">
                  <c:v>79446</c:v>
                </c:pt>
                <c:pt idx="383">
                  <c:v>79446</c:v>
                </c:pt>
                <c:pt idx="384">
                  <c:v>7747</c:v>
                </c:pt>
                <c:pt idx="385">
                  <c:v>7747</c:v>
                </c:pt>
                <c:pt idx="386">
                  <c:v>7251</c:v>
                </c:pt>
                <c:pt idx="387">
                  <c:v>7251</c:v>
                </c:pt>
                <c:pt idx="388">
                  <c:v>10559</c:v>
                </c:pt>
                <c:pt idx="389">
                  <c:v>10559</c:v>
                </c:pt>
                <c:pt idx="390">
                  <c:v>5249</c:v>
                </c:pt>
                <c:pt idx="391">
                  <c:v>5249</c:v>
                </c:pt>
                <c:pt idx="392">
                  <c:v>33844</c:v>
                </c:pt>
                <c:pt idx="393">
                  <c:v>33844</c:v>
                </c:pt>
                <c:pt idx="394">
                  <c:v>11616</c:v>
                </c:pt>
                <c:pt idx="395">
                  <c:v>11616</c:v>
                </c:pt>
                <c:pt idx="396">
                  <c:v>11616</c:v>
                </c:pt>
                <c:pt idx="397">
                  <c:v>13609</c:v>
                </c:pt>
                <c:pt idx="398">
                  <c:v>8587</c:v>
                </c:pt>
                <c:pt idx="399">
                  <c:v>29442</c:v>
                </c:pt>
                <c:pt idx="400">
                  <c:v>11098</c:v>
                </c:pt>
                <c:pt idx="401">
                  <c:v>9947</c:v>
                </c:pt>
                <c:pt idx="402">
                  <c:v>13871</c:v>
                </c:pt>
                <c:pt idx="403">
                  <c:v>13871</c:v>
                </c:pt>
                <c:pt idx="404">
                  <c:v>13871</c:v>
                </c:pt>
                <c:pt idx="405">
                  <c:v>13871</c:v>
                </c:pt>
                <c:pt idx="406">
                  <c:v>6982</c:v>
                </c:pt>
                <c:pt idx="407">
                  <c:v>32122</c:v>
                </c:pt>
                <c:pt idx="408">
                  <c:v>32122</c:v>
                </c:pt>
                <c:pt idx="409">
                  <c:v>32122</c:v>
                </c:pt>
                <c:pt idx="410">
                  <c:v>16949</c:v>
                </c:pt>
                <c:pt idx="411">
                  <c:v>16949</c:v>
                </c:pt>
                <c:pt idx="412">
                  <c:v>9289</c:v>
                </c:pt>
                <c:pt idx="413">
                  <c:v>9289</c:v>
                </c:pt>
                <c:pt idx="414">
                  <c:v>9289</c:v>
                </c:pt>
                <c:pt idx="415">
                  <c:v>7368</c:v>
                </c:pt>
                <c:pt idx="416">
                  <c:v>7368</c:v>
                </c:pt>
                <c:pt idx="417">
                  <c:v>4028</c:v>
                </c:pt>
                <c:pt idx="418">
                  <c:v>4628</c:v>
                </c:pt>
                <c:pt idx="419">
                  <c:v>4628</c:v>
                </c:pt>
                <c:pt idx="420">
                  <c:v>5396</c:v>
                </c:pt>
                <c:pt idx="421">
                  <c:v>4247</c:v>
                </c:pt>
                <c:pt idx="422">
                  <c:v>4247</c:v>
                </c:pt>
                <c:pt idx="423">
                  <c:v>22641</c:v>
                </c:pt>
                <c:pt idx="424">
                  <c:v>22641</c:v>
                </c:pt>
                <c:pt idx="425">
                  <c:v>22641</c:v>
                </c:pt>
                <c:pt idx="426">
                  <c:v>22641</c:v>
                </c:pt>
                <c:pt idx="427">
                  <c:v>6222</c:v>
                </c:pt>
                <c:pt idx="428">
                  <c:v>4506</c:v>
                </c:pt>
                <c:pt idx="429">
                  <c:v>8747</c:v>
                </c:pt>
                <c:pt idx="430">
                  <c:v>1655</c:v>
                </c:pt>
                <c:pt idx="431">
                  <c:v>7861</c:v>
                </c:pt>
                <c:pt idx="432">
                  <c:v>6247</c:v>
                </c:pt>
                <c:pt idx="433">
                  <c:v>39459</c:v>
                </c:pt>
                <c:pt idx="434">
                  <c:v>10101</c:v>
                </c:pt>
                <c:pt idx="435">
                  <c:v>5898</c:v>
                </c:pt>
                <c:pt idx="436">
                  <c:v>2744</c:v>
                </c:pt>
                <c:pt idx="437">
                  <c:v>49288</c:v>
                </c:pt>
                <c:pt idx="438">
                  <c:v>49288</c:v>
                </c:pt>
                <c:pt idx="439">
                  <c:v>1201</c:v>
                </c:pt>
                <c:pt idx="440">
                  <c:v>1201</c:v>
                </c:pt>
                <c:pt idx="441">
                  <c:v>1201</c:v>
                </c:pt>
                <c:pt idx="442">
                  <c:v>1201</c:v>
                </c:pt>
                <c:pt idx="443">
                  <c:v>1201</c:v>
                </c:pt>
                <c:pt idx="444">
                  <c:v>807</c:v>
                </c:pt>
                <c:pt idx="445">
                  <c:v>3759</c:v>
                </c:pt>
                <c:pt idx="446">
                  <c:v>2663</c:v>
                </c:pt>
                <c:pt idx="447">
                  <c:v>3428</c:v>
                </c:pt>
                <c:pt idx="448">
                  <c:v>2876</c:v>
                </c:pt>
                <c:pt idx="449">
                  <c:v>3601</c:v>
                </c:pt>
                <c:pt idx="450">
                  <c:v>7058</c:v>
                </c:pt>
                <c:pt idx="451">
                  <c:v>9784</c:v>
                </c:pt>
                <c:pt idx="452">
                  <c:v>9784</c:v>
                </c:pt>
                <c:pt idx="453">
                  <c:v>10795</c:v>
                </c:pt>
                <c:pt idx="454">
                  <c:v>10191</c:v>
                </c:pt>
                <c:pt idx="455">
                  <c:v>14493</c:v>
                </c:pt>
                <c:pt idx="456">
                  <c:v>2186</c:v>
                </c:pt>
                <c:pt idx="457">
                  <c:v>1204</c:v>
                </c:pt>
                <c:pt idx="458">
                  <c:v>2091</c:v>
                </c:pt>
                <c:pt idx="459">
                  <c:v>19720</c:v>
                </c:pt>
                <c:pt idx="460">
                  <c:v>19720</c:v>
                </c:pt>
                <c:pt idx="461">
                  <c:v>2122</c:v>
                </c:pt>
                <c:pt idx="462">
                  <c:v>27536</c:v>
                </c:pt>
                <c:pt idx="463">
                  <c:v>4290</c:v>
                </c:pt>
                <c:pt idx="464">
                  <c:v>26490</c:v>
                </c:pt>
                <c:pt idx="465">
                  <c:v>26490</c:v>
                </c:pt>
                <c:pt idx="466">
                  <c:v>26490</c:v>
                </c:pt>
                <c:pt idx="467">
                  <c:v>5487</c:v>
                </c:pt>
                <c:pt idx="468">
                  <c:v>6377</c:v>
                </c:pt>
                <c:pt idx="469">
                  <c:v>1463</c:v>
                </c:pt>
                <c:pt idx="470">
                  <c:v>3759</c:v>
                </c:pt>
                <c:pt idx="471">
                  <c:v>3503</c:v>
                </c:pt>
                <c:pt idx="472">
                  <c:v>11550</c:v>
                </c:pt>
                <c:pt idx="473">
                  <c:v>3801</c:v>
                </c:pt>
                <c:pt idx="474">
                  <c:v>3796</c:v>
                </c:pt>
                <c:pt idx="475">
                  <c:v>9030</c:v>
                </c:pt>
                <c:pt idx="476">
                  <c:v>19546</c:v>
                </c:pt>
                <c:pt idx="477">
                  <c:v>19546</c:v>
                </c:pt>
                <c:pt idx="478">
                  <c:v>19546</c:v>
                </c:pt>
                <c:pt idx="479">
                  <c:v>19546</c:v>
                </c:pt>
                <c:pt idx="480">
                  <c:v>19546</c:v>
                </c:pt>
                <c:pt idx="481">
                  <c:v>19546</c:v>
                </c:pt>
                <c:pt idx="482">
                  <c:v>19546</c:v>
                </c:pt>
                <c:pt idx="483">
                  <c:v>7508</c:v>
                </c:pt>
                <c:pt idx="484">
                  <c:v>7508</c:v>
                </c:pt>
                <c:pt idx="485">
                  <c:v>7508</c:v>
                </c:pt>
                <c:pt idx="486">
                  <c:v>8842</c:v>
                </c:pt>
                <c:pt idx="487">
                  <c:v>8842</c:v>
                </c:pt>
                <c:pt idx="488">
                  <c:v>8842</c:v>
                </c:pt>
                <c:pt idx="489">
                  <c:v>8842</c:v>
                </c:pt>
                <c:pt idx="490">
                  <c:v>30183</c:v>
                </c:pt>
                <c:pt idx="491">
                  <c:v>30183</c:v>
                </c:pt>
                <c:pt idx="492">
                  <c:v>6169</c:v>
                </c:pt>
                <c:pt idx="493">
                  <c:v>7034</c:v>
                </c:pt>
                <c:pt idx="494">
                  <c:v>11034</c:v>
                </c:pt>
                <c:pt idx="495">
                  <c:v>11034</c:v>
                </c:pt>
                <c:pt idx="496">
                  <c:v>7932</c:v>
                </c:pt>
                <c:pt idx="497">
                  <c:v>1904</c:v>
                </c:pt>
                <c:pt idx="498">
                  <c:v>3319</c:v>
                </c:pt>
                <c:pt idx="499">
                  <c:v>3319</c:v>
                </c:pt>
                <c:pt idx="500">
                  <c:v>11128</c:v>
                </c:pt>
                <c:pt idx="501">
                  <c:v>11128</c:v>
                </c:pt>
                <c:pt idx="502">
                  <c:v>11128</c:v>
                </c:pt>
                <c:pt idx="503">
                  <c:v>11128</c:v>
                </c:pt>
                <c:pt idx="504">
                  <c:v>5977</c:v>
                </c:pt>
                <c:pt idx="505">
                  <c:v>26234</c:v>
                </c:pt>
                <c:pt idx="506">
                  <c:v>26234</c:v>
                </c:pt>
                <c:pt idx="507">
                  <c:v>26234</c:v>
                </c:pt>
                <c:pt idx="508">
                  <c:v>26234</c:v>
                </c:pt>
                <c:pt idx="509">
                  <c:v>26234</c:v>
                </c:pt>
                <c:pt idx="510">
                  <c:v>4360</c:v>
                </c:pt>
                <c:pt idx="511">
                  <c:v>2282</c:v>
                </c:pt>
                <c:pt idx="512">
                  <c:v>438</c:v>
                </c:pt>
                <c:pt idx="513">
                  <c:v>11676</c:v>
                </c:pt>
                <c:pt idx="514">
                  <c:v>2586</c:v>
                </c:pt>
                <c:pt idx="515">
                  <c:v>29673</c:v>
                </c:pt>
                <c:pt idx="516">
                  <c:v>29673</c:v>
                </c:pt>
                <c:pt idx="517">
                  <c:v>29673</c:v>
                </c:pt>
                <c:pt idx="518">
                  <c:v>29673</c:v>
                </c:pt>
                <c:pt idx="519">
                  <c:v>29673</c:v>
                </c:pt>
                <c:pt idx="520">
                  <c:v>6740</c:v>
                </c:pt>
                <c:pt idx="521">
                  <c:v>5956</c:v>
                </c:pt>
                <c:pt idx="522">
                  <c:v>6108</c:v>
                </c:pt>
                <c:pt idx="523">
                  <c:v>4585</c:v>
                </c:pt>
                <c:pt idx="524">
                  <c:v>3829</c:v>
                </c:pt>
                <c:pt idx="525">
                  <c:v>8958</c:v>
                </c:pt>
                <c:pt idx="526">
                  <c:v>5492</c:v>
                </c:pt>
                <c:pt idx="527">
                  <c:v>9292</c:v>
                </c:pt>
                <c:pt idx="528">
                  <c:v>1873</c:v>
                </c:pt>
                <c:pt idx="529">
                  <c:v>8170</c:v>
                </c:pt>
                <c:pt idx="530">
                  <c:v>3341</c:v>
                </c:pt>
                <c:pt idx="531">
                  <c:v>7497</c:v>
                </c:pt>
                <c:pt idx="532">
                  <c:v>7497</c:v>
                </c:pt>
                <c:pt idx="533">
                  <c:v>13779</c:v>
                </c:pt>
                <c:pt idx="534">
                  <c:v>87841</c:v>
                </c:pt>
                <c:pt idx="535">
                  <c:v>9967</c:v>
                </c:pt>
                <c:pt idx="536">
                  <c:v>6669</c:v>
                </c:pt>
                <c:pt idx="537">
                  <c:v>17044</c:v>
                </c:pt>
                <c:pt idx="538">
                  <c:v>10760</c:v>
                </c:pt>
                <c:pt idx="539">
                  <c:v>1302</c:v>
                </c:pt>
                <c:pt idx="540">
                  <c:v>21625</c:v>
                </c:pt>
                <c:pt idx="541">
                  <c:v>21625</c:v>
                </c:pt>
                <c:pt idx="542">
                  <c:v>21625</c:v>
                </c:pt>
                <c:pt idx="543">
                  <c:v>21625</c:v>
                </c:pt>
                <c:pt idx="544">
                  <c:v>21625</c:v>
                </c:pt>
                <c:pt idx="545">
                  <c:v>9413</c:v>
                </c:pt>
                <c:pt idx="546">
                  <c:v>14331</c:v>
                </c:pt>
                <c:pt idx="547">
                  <c:v>14331</c:v>
                </c:pt>
                <c:pt idx="548">
                  <c:v>14331</c:v>
                </c:pt>
                <c:pt idx="549">
                  <c:v>14331</c:v>
                </c:pt>
              </c:numCache>
            </c:numRef>
          </c:val>
          <c:extLst>
            <c:ext xmlns:c16="http://schemas.microsoft.com/office/drawing/2014/chart" uri="{C3380CC4-5D6E-409C-BE32-E72D297353CC}">
              <c16:uniqueId val="{00000000-B0C0-44B8-B7ED-4E66AA45FA34}"/>
            </c:ext>
          </c:extLst>
        </c:ser>
        <c:dLbls>
          <c:showLegendKey val="0"/>
          <c:showVal val="0"/>
          <c:showCatName val="0"/>
          <c:showSerName val="0"/>
          <c:showPercent val="0"/>
          <c:showBubbleSize val="0"/>
        </c:dLbls>
        <c:gapWidth val="219"/>
        <c:overlap val="-27"/>
        <c:axId val="224003247"/>
        <c:axId val="223991183"/>
      </c:barChart>
      <c:catAx>
        <c:axId val="22400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991183"/>
        <c:crosses val="autoZero"/>
        <c:auto val="1"/>
        <c:lblAlgn val="ctr"/>
        <c:lblOffset val="100"/>
        <c:noMultiLvlLbl val="0"/>
      </c:catAx>
      <c:valAx>
        <c:axId val="223991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003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Pie</a:t>
            </a:r>
            <a:r>
              <a:rPr lang="en-US" baseline="0"/>
              <a:t> chat Fiction and Non fiction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'Task 3 visualisation'!$J$1</c:f>
              <c:strCache>
                <c:ptCount val="1"/>
                <c:pt idx="0">
                  <c:v>count</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 3 visualisation'!$I$2:$I$3</c:f>
              <c:strCache>
                <c:ptCount val="2"/>
                <c:pt idx="0">
                  <c:v>Non Fiction</c:v>
                </c:pt>
                <c:pt idx="1">
                  <c:v>Fiction</c:v>
                </c:pt>
              </c:strCache>
            </c:strRef>
          </c:cat>
          <c:val>
            <c:numRef>
              <c:f>'Task 3 visualisation'!$J$2:$J$3</c:f>
              <c:numCache>
                <c:formatCode>General</c:formatCode>
                <c:ptCount val="2"/>
                <c:pt idx="0">
                  <c:v>310</c:v>
                </c:pt>
                <c:pt idx="1">
                  <c:v>240</c:v>
                </c:pt>
              </c:numCache>
            </c:numRef>
          </c:val>
          <c:extLst>
            <c:ext xmlns:c16="http://schemas.microsoft.com/office/drawing/2014/chart" uri="{C3380CC4-5D6E-409C-BE32-E72D297353CC}">
              <c16:uniqueId val="{00000000-E2DF-4070-95ED-739A0E8DFCA2}"/>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'Task 3 visualisation'!$AZ$1</c:f>
              <c:strCache>
                <c:ptCount val="1"/>
                <c:pt idx="0">
                  <c:v>Avearge user rating</c:v>
                </c:pt>
              </c:strCache>
            </c:strRef>
          </c:tx>
          <c:spPr>
            <a:ln w="28575" cap="rnd">
              <a:solidFill>
                <a:schemeClr val="accent1"/>
              </a:solidFill>
              <a:round/>
            </a:ln>
            <a:effectLst/>
          </c:spPr>
          <c:marker>
            <c:symbol val="none"/>
          </c:marker>
          <c:cat>
            <c:numRef>
              <c:f>'Task 3 visualisation'!$AY$2:$AY$12</c:f>
              <c:numCache>
                <c:formatCode>General</c:formatCode>
                <c:ptCount val="11"/>
                <c:pt idx="0">
                  <c:v>2009</c:v>
                </c:pt>
                <c:pt idx="1">
                  <c:v>2010</c:v>
                </c:pt>
                <c:pt idx="2">
                  <c:v>2011</c:v>
                </c:pt>
                <c:pt idx="3">
                  <c:v>2012</c:v>
                </c:pt>
                <c:pt idx="4">
                  <c:v>2013</c:v>
                </c:pt>
                <c:pt idx="5">
                  <c:v>2014</c:v>
                </c:pt>
                <c:pt idx="6">
                  <c:v>2015</c:v>
                </c:pt>
                <c:pt idx="7">
                  <c:v>2016</c:v>
                </c:pt>
                <c:pt idx="8">
                  <c:v>2017</c:v>
                </c:pt>
                <c:pt idx="9">
                  <c:v>2018</c:v>
                </c:pt>
                <c:pt idx="10">
                  <c:v>2019</c:v>
                </c:pt>
              </c:numCache>
            </c:numRef>
          </c:cat>
          <c:val>
            <c:numRef>
              <c:f>'Task 3 visualisation'!$AZ$2:$AZ$12</c:f>
              <c:numCache>
                <c:formatCode>General</c:formatCode>
                <c:ptCount val="11"/>
                <c:pt idx="0">
                  <c:v>4.5839999999999996</c:v>
                </c:pt>
                <c:pt idx="1">
                  <c:v>4.5579999999999998</c:v>
                </c:pt>
                <c:pt idx="2">
                  <c:v>4.5580000000000007</c:v>
                </c:pt>
                <c:pt idx="3">
                  <c:v>4.532</c:v>
                </c:pt>
                <c:pt idx="4">
                  <c:v>4.5540000000000003</c:v>
                </c:pt>
                <c:pt idx="5">
                  <c:v>4.6220000000000008</c:v>
                </c:pt>
                <c:pt idx="6">
                  <c:v>4.6479999999999997</c:v>
                </c:pt>
                <c:pt idx="7">
                  <c:v>4.6780000000000008</c:v>
                </c:pt>
                <c:pt idx="8">
                  <c:v>4.66</c:v>
                </c:pt>
                <c:pt idx="9">
                  <c:v>4.6680000000000028</c:v>
                </c:pt>
                <c:pt idx="10">
                  <c:v>4.740000000000002</c:v>
                </c:pt>
              </c:numCache>
            </c:numRef>
          </c:val>
          <c:smooth val="0"/>
          <c:extLst>
            <c:ext xmlns:c16="http://schemas.microsoft.com/office/drawing/2014/chart" uri="{C3380CC4-5D6E-409C-BE32-E72D297353CC}">
              <c16:uniqueId val="{00000000-397B-4E03-A729-1A91AD904EA0}"/>
            </c:ext>
          </c:extLst>
        </c:ser>
        <c:dLbls>
          <c:showLegendKey val="0"/>
          <c:showVal val="0"/>
          <c:showCatName val="0"/>
          <c:showSerName val="0"/>
          <c:showPercent val="0"/>
          <c:showBubbleSize val="0"/>
        </c:dLbls>
        <c:smooth val="0"/>
        <c:axId val="236725007"/>
        <c:axId val="236729167"/>
      </c:lineChart>
      <c:catAx>
        <c:axId val="23672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729167"/>
        <c:crosses val="autoZero"/>
        <c:auto val="1"/>
        <c:lblAlgn val="ctr"/>
        <c:lblOffset val="100"/>
        <c:noMultiLvlLbl val="0"/>
      </c:catAx>
      <c:valAx>
        <c:axId val="236729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7250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Plot of User rating to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'Task 3 visualisation'!$AV$1</c:f>
              <c:strCache>
                <c:ptCount val="1"/>
                <c:pt idx="0">
                  <c:v>Price</c:v>
                </c:pt>
              </c:strCache>
            </c:strRef>
          </c:tx>
          <c:spPr>
            <a:ln w="19050" cap="rnd">
              <a:noFill/>
              <a:round/>
            </a:ln>
            <a:effectLst/>
          </c:spPr>
          <c:marker>
            <c:symbol val="circle"/>
            <c:size val="5"/>
            <c:spPr>
              <a:solidFill>
                <a:schemeClr val="accent1"/>
              </a:solidFill>
              <a:ln w="9525">
                <a:solidFill>
                  <a:schemeClr val="accent1"/>
                </a:solidFill>
              </a:ln>
              <a:effectLst/>
            </c:spPr>
          </c:marker>
          <c:xVal>
            <c:numRef>
              <c:f>'Task 3 visualisation'!$AT$2:$AT$551</c:f>
              <c:numCache>
                <c:formatCode>General</c:formatCode>
                <c:ptCount val="550"/>
                <c:pt idx="0">
                  <c:v>4.7</c:v>
                </c:pt>
                <c:pt idx="1">
                  <c:v>4.5999999999999996</c:v>
                </c:pt>
                <c:pt idx="2">
                  <c:v>4.7</c:v>
                </c:pt>
                <c:pt idx="3">
                  <c:v>4.7</c:v>
                </c:pt>
                <c:pt idx="4">
                  <c:v>4.8</c:v>
                </c:pt>
                <c:pt idx="5">
                  <c:v>4.4000000000000004</c:v>
                </c:pt>
                <c:pt idx="6">
                  <c:v>4.7</c:v>
                </c:pt>
                <c:pt idx="7">
                  <c:v>4.7</c:v>
                </c:pt>
                <c:pt idx="8">
                  <c:v>4.7</c:v>
                </c:pt>
                <c:pt idx="9">
                  <c:v>4.5999999999999996</c:v>
                </c:pt>
                <c:pt idx="10">
                  <c:v>4.5999999999999996</c:v>
                </c:pt>
                <c:pt idx="11">
                  <c:v>4.5999999999999996</c:v>
                </c:pt>
                <c:pt idx="12">
                  <c:v>4.5999999999999996</c:v>
                </c:pt>
                <c:pt idx="13">
                  <c:v>4.5</c:v>
                </c:pt>
                <c:pt idx="14">
                  <c:v>4.5999999999999996</c:v>
                </c:pt>
                <c:pt idx="15">
                  <c:v>4.5</c:v>
                </c:pt>
                <c:pt idx="16">
                  <c:v>4.5999999999999996</c:v>
                </c:pt>
                <c:pt idx="17">
                  <c:v>4.4000000000000004</c:v>
                </c:pt>
                <c:pt idx="18">
                  <c:v>4.5</c:v>
                </c:pt>
                <c:pt idx="19">
                  <c:v>4.8</c:v>
                </c:pt>
                <c:pt idx="20">
                  <c:v>4.5999999999999996</c:v>
                </c:pt>
                <c:pt idx="21">
                  <c:v>4.5999999999999996</c:v>
                </c:pt>
                <c:pt idx="22">
                  <c:v>3.9</c:v>
                </c:pt>
                <c:pt idx="23">
                  <c:v>4.5999999999999996</c:v>
                </c:pt>
                <c:pt idx="24">
                  <c:v>4.3</c:v>
                </c:pt>
                <c:pt idx="25">
                  <c:v>4.5999999999999996</c:v>
                </c:pt>
                <c:pt idx="26">
                  <c:v>4.7</c:v>
                </c:pt>
                <c:pt idx="27">
                  <c:v>4.2</c:v>
                </c:pt>
                <c:pt idx="28">
                  <c:v>4.5999999999999996</c:v>
                </c:pt>
                <c:pt idx="29">
                  <c:v>4.5999999999999996</c:v>
                </c:pt>
                <c:pt idx="30">
                  <c:v>4.8</c:v>
                </c:pt>
                <c:pt idx="31">
                  <c:v>4.7</c:v>
                </c:pt>
                <c:pt idx="32">
                  <c:v>4.8</c:v>
                </c:pt>
                <c:pt idx="33">
                  <c:v>4.8</c:v>
                </c:pt>
                <c:pt idx="34">
                  <c:v>4.8</c:v>
                </c:pt>
                <c:pt idx="35">
                  <c:v>4.7</c:v>
                </c:pt>
                <c:pt idx="36">
                  <c:v>4.7</c:v>
                </c:pt>
                <c:pt idx="37">
                  <c:v>4.7</c:v>
                </c:pt>
                <c:pt idx="38">
                  <c:v>4.5999999999999996</c:v>
                </c:pt>
                <c:pt idx="39">
                  <c:v>4.5</c:v>
                </c:pt>
                <c:pt idx="40">
                  <c:v>4.9000000000000004</c:v>
                </c:pt>
                <c:pt idx="41">
                  <c:v>4.9000000000000004</c:v>
                </c:pt>
                <c:pt idx="42">
                  <c:v>4.8</c:v>
                </c:pt>
                <c:pt idx="43">
                  <c:v>4.5999999999999996</c:v>
                </c:pt>
                <c:pt idx="44">
                  <c:v>4.8</c:v>
                </c:pt>
                <c:pt idx="45">
                  <c:v>4.5</c:v>
                </c:pt>
                <c:pt idx="46">
                  <c:v>4.7</c:v>
                </c:pt>
                <c:pt idx="47">
                  <c:v>4.7</c:v>
                </c:pt>
                <c:pt idx="48">
                  <c:v>4.7</c:v>
                </c:pt>
                <c:pt idx="49">
                  <c:v>4.7</c:v>
                </c:pt>
                <c:pt idx="50">
                  <c:v>4.7</c:v>
                </c:pt>
                <c:pt idx="51">
                  <c:v>4.7</c:v>
                </c:pt>
                <c:pt idx="52">
                  <c:v>4.7</c:v>
                </c:pt>
                <c:pt idx="53">
                  <c:v>4.3</c:v>
                </c:pt>
                <c:pt idx="54">
                  <c:v>4.8</c:v>
                </c:pt>
                <c:pt idx="55">
                  <c:v>4.8</c:v>
                </c:pt>
                <c:pt idx="56">
                  <c:v>4.5999999999999996</c:v>
                </c:pt>
                <c:pt idx="57">
                  <c:v>4.5999999999999996</c:v>
                </c:pt>
                <c:pt idx="58">
                  <c:v>4.8</c:v>
                </c:pt>
                <c:pt idx="59">
                  <c:v>4.4000000000000004</c:v>
                </c:pt>
                <c:pt idx="60">
                  <c:v>4.5999999999999996</c:v>
                </c:pt>
                <c:pt idx="61">
                  <c:v>4.3</c:v>
                </c:pt>
                <c:pt idx="62">
                  <c:v>4.2</c:v>
                </c:pt>
                <c:pt idx="63">
                  <c:v>4.8</c:v>
                </c:pt>
                <c:pt idx="64">
                  <c:v>4.8</c:v>
                </c:pt>
                <c:pt idx="65">
                  <c:v>4.8</c:v>
                </c:pt>
                <c:pt idx="66">
                  <c:v>4.8</c:v>
                </c:pt>
                <c:pt idx="67">
                  <c:v>4.5999999999999996</c:v>
                </c:pt>
                <c:pt idx="68">
                  <c:v>4.5999999999999996</c:v>
                </c:pt>
                <c:pt idx="69">
                  <c:v>4.5</c:v>
                </c:pt>
                <c:pt idx="70">
                  <c:v>4.5</c:v>
                </c:pt>
                <c:pt idx="71">
                  <c:v>4.8</c:v>
                </c:pt>
                <c:pt idx="72">
                  <c:v>4.8</c:v>
                </c:pt>
                <c:pt idx="73">
                  <c:v>4.8</c:v>
                </c:pt>
                <c:pt idx="74">
                  <c:v>4.5999999999999996</c:v>
                </c:pt>
                <c:pt idx="75">
                  <c:v>4.5999999999999996</c:v>
                </c:pt>
                <c:pt idx="76">
                  <c:v>4.5999999999999996</c:v>
                </c:pt>
                <c:pt idx="77">
                  <c:v>4.5</c:v>
                </c:pt>
                <c:pt idx="78">
                  <c:v>4.5999999999999996</c:v>
                </c:pt>
                <c:pt idx="79">
                  <c:v>4.7</c:v>
                </c:pt>
                <c:pt idx="80">
                  <c:v>4.8</c:v>
                </c:pt>
                <c:pt idx="81">
                  <c:v>4.9000000000000004</c:v>
                </c:pt>
                <c:pt idx="82">
                  <c:v>4.9000000000000004</c:v>
                </c:pt>
                <c:pt idx="83">
                  <c:v>4.9000000000000004</c:v>
                </c:pt>
                <c:pt idx="84">
                  <c:v>4.9000000000000004</c:v>
                </c:pt>
                <c:pt idx="85">
                  <c:v>4.9000000000000004</c:v>
                </c:pt>
                <c:pt idx="86">
                  <c:v>4.9000000000000004</c:v>
                </c:pt>
                <c:pt idx="87">
                  <c:v>4.9000000000000004</c:v>
                </c:pt>
                <c:pt idx="88">
                  <c:v>4.8</c:v>
                </c:pt>
                <c:pt idx="89">
                  <c:v>4.5999999999999996</c:v>
                </c:pt>
                <c:pt idx="90">
                  <c:v>4.5</c:v>
                </c:pt>
                <c:pt idx="91">
                  <c:v>4.5</c:v>
                </c:pt>
                <c:pt idx="92">
                  <c:v>4.3</c:v>
                </c:pt>
                <c:pt idx="93">
                  <c:v>4.5</c:v>
                </c:pt>
                <c:pt idx="94">
                  <c:v>4.5</c:v>
                </c:pt>
                <c:pt idx="95">
                  <c:v>4.7</c:v>
                </c:pt>
                <c:pt idx="96">
                  <c:v>4.7</c:v>
                </c:pt>
                <c:pt idx="97">
                  <c:v>4.7</c:v>
                </c:pt>
                <c:pt idx="98">
                  <c:v>4.7</c:v>
                </c:pt>
                <c:pt idx="99">
                  <c:v>4.7</c:v>
                </c:pt>
                <c:pt idx="100">
                  <c:v>4.5999999999999996</c:v>
                </c:pt>
                <c:pt idx="101">
                  <c:v>4.5999999999999996</c:v>
                </c:pt>
                <c:pt idx="102">
                  <c:v>4.7</c:v>
                </c:pt>
                <c:pt idx="103">
                  <c:v>4.4000000000000004</c:v>
                </c:pt>
                <c:pt idx="104">
                  <c:v>4.4000000000000004</c:v>
                </c:pt>
                <c:pt idx="105">
                  <c:v>4.5</c:v>
                </c:pt>
                <c:pt idx="106">
                  <c:v>3.8</c:v>
                </c:pt>
                <c:pt idx="107">
                  <c:v>3.8</c:v>
                </c:pt>
                <c:pt idx="108">
                  <c:v>4.5</c:v>
                </c:pt>
                <c:pt idx="109">
                  <c:v>4.2</c:v>
                </c:pt>
                <c:pt idx="110">
                  <c:v>4.7</c:v>
                </c:pt>
                <c:pt idx="111">
                  <c:v>4.7</c:v>
                </c:pt>
                <c:pt idx="112">
                  <c:v>4.7</c:v>
                </c:pt>
                <c:pt idx="113">
                  <c:v>4.7</c:v>
                </c:pt>
                <c:pt idx="114">
                  <c:v>4.7</c:v>
                </c:pt>
                <c:pt idx="115">
                  <c:v>4.4000000000000004</c:v>
                </c:pt>
                <c:pt idx="116">
                  <c:v>4.7</c:v>
                </c:pt>
                <c:pt idx="117">
                  <c:v>4.4000000000000004</c:v>
                </c:pt>
                <c:pt idx="118">
                  <c:v>4.5999999999999996</c:v>
                </c:pt>
                <c:pt idx="119">
                  <c:v>4.5999999999999996</c:v>
                </c:pt>
                <c:pt idx="120">
                  <c:v>4.5999999999999996</c:v>
                </c:pt>
                <c:pt idx="121">
                  <c:v>4.5</c:v>
                </c:pt>
                <c:pt idx="122">
                  <c:v>4.5999999999999996</c:v>
                </c:pt>
                <c:pt idx="123">
                  <c:v>4.8</c:v>
                </c:pt>
                <c:pt idx="124">
                  <c:v>4.8</c:v>
                </c:pt>
                <c:pt idx="125">
                  <c:v>4.8</c:v>
                </c:pt>
                <c:pt idx="126">
                  <c:v>4.8</c:v>
                </c:pt>
                <c:pt idx="127">
                  <c:v>4.8</c:v>
                </c:pt>
                <c:pt idx="128">
                  <c:v>4.5999999999999996</c:v>
                </c:pt>
                <c:pt idx="129">
                  <c:v>4.5999999999999996</c:v>
                </c:pt>
                <c:pt idx="130">
                  <c:v>4.5999999999999996</c:v>
                </c:pt>
                <c:pt idx="131">
                  <c:v>4.5999999999999996</c:v>
                </c:pt>
                <c:pt idx="132">
                  <c:v>3.6</c:v>
                </c:pt>
                <c:pt idx="133">
                  <c:v>4.8</c:v>
                </c:pt>
                <c:pt idx="134">
                  <c:v>4.5999999999999996</c:v>
                </c:pt>
                <c:pt idx="135">
                  <c:v>4</c:v>
                </c:pt>
                <c:pt idx="136">
                  <c:v>4</c:v>
                </c:pt>
                <c:pt idx="137">
                  <c:v>4</c:v>
                </c:pt>
                <c:pt idx="138">
                  <c:v>4.5999999999999996</c:v>
                </c:pt>
                <c:pt idx="139">
                  <c:v>4.5</c:v>
                </c:pt>
                <c:pt idx="140">
                  <c:v>4.5</c:v>
                </c:pt>
                <c:pt idx="141">
                  <c:v>4.5</c:v>
                </c:pt>
                <c:pt idx="142">
                  <c:v>4.5</c:v>
                </c:pt>
                <c:pt idx="143">
                  <c:v>4.8</c:v>
                </c:pt>
                <c:pt idx="144">
                  <c:v>4.8</c:v>
                </c:pt>
                <c:pt idx="145">
                  <c:v>4.8</c:v>
                </c:pt>
                <c:pt idx="146">
                  <c:v>4.9000000000000004</c:v>
                </c:pt>
                <c:pt idx="147">
                  <c:v>4.9000000000000004</c:v>
                </c:pt>
                <c:pt idx="148">
                  <c:v>4.5999999999999996</c:v>
                </c:pt>
                <c:pt idx="149">
                  <c:v>4.4000000000000004</c:v>
                </c:pt>
                <c:pt idx="150">
                  <c:v>4.8</c:v>
                </c:pt>
                <c:pt idx="151">
                  <c:v>4.9000000000000004</c:v>
                </c:pt>
                <c:pt idx="152">
                  <c:v>4.8</c:v>
                </c:pt>
                <c:pt idx="153">
                  <c:v>4.9000000000000004</c:v>
                </c:pt>
                <c:pt idx="154">
                  <c:v>4</c:v>
                </c:pt>
                <c:pt idx="155">
                  <c:v>4.9000000000000004</c:v>
                </c:pt>
                <c:pt idx="156">
                  <c:v>4.9000000000000004</c:v>
                </c:pt>
                <c:pt idx="157">
                  <c:v>4.9000000000000004</c:v>
                </c:pt>
                <c:pt idx="158">
                  <c:v>4.7</c:v>
                </c:pt>
                <c:pt idx="159">
                  <c:v>4.8</c:v>
                </c:pt>
                <c:pt idx="160">
                  <c:v>4.8</c:v>
                </c:pt>
                <c:pt idx="161">
                  <c:v>4.7</c:v>
                </c:pt>
                <c:pt idx="162">
                  <c:v>4.7</c:v>
                </c:pt>
                <c:pt idx="163">
                  <c:v>4.4000000000000004</c:v>
                </c:pt>
                <c:pt idx="164">
                  <c:v>4.4000000000000004</c:v>
                </c:pt>
                <c:pt idx="165">
                  <c:v>4.8</c:v>
                </c:pt>
                <c:pt idx="166">
                  <c:v>4.7</c:v>
                </c:pt>
                <c:pt idx="167">
                  <c:v>4.7</c:v>
                </c:pt>
                <c:pt idx="168">
                  <c:v>4.7</c:v>
                </c:pt>
                <c:pt idx="169">
                  <c:v>4.7</c:v>
                </c:pt>
                <c:pt idx="170">
                  <c:v>4.7</c:v>
                </c:pt>
                <c:pt idx="171">
                  <c:v>4.3</c:v>
                </c:pt>
                <c:pt idx="172">
                  <c:v>4.8</c:v>
                </c:pt>
                <c:pt idx="173">
                  <c:v>4.8</c:v>
                </c:pt>
                <c:pt idx="174">
                  <c:v>4.9000000000000004</c:v>
                </c:pt>
                <c:pt idx="175">
                  <c:v>4.7</c:v>
                </c:pt>
                <c:pt idx="176">
                  <c:v>4.8</c:v>
                </c:pt>
                <c:pt idx="177">
                  <c:v>4.5999999999999996</c:v>
                </c:pt>
                <c:pt idx="178">
                  <c:v>4.8</c:v>
                </c:pt>
                <c:pt idx="179">
                  <c:v>4.8</c:v>
                </c:pt>
                <c:pt idx="180">
                  <c:v>4.3</c:v>
                </c:pt>
                <c:pt idx="181">
                  <c:v>4.4000000000000004</c:v>
                </c:pt>
                <c:pt idx="182">
                  <c:v>4.0999999999999996</c:v>
                </c:pt>
                <c:pt idx="183">
                  <c:v>4.5999999999999996</c:v>
                </c:pt>
                <c:pt idx="184">
                  <c:v>4.4000000000000004</c:v>
                </c:pt>
                <c:pt idx="185">
                  <c:v>4.4000000000000004</c:v>
                </c:pt>
                <c:pt idx="186">
                  <c:v>4.8</c:v>
                </c:pt>
                <c:pt idx="187">
                  <c:v>4.9000000000000004</c:v>
                </c:pt>
                <c:pt idx="188">
                  <c:v>4.9000000000000004</c:v>
                </c:pt>
                <c:pt idx="189">
                  <c:v>4.9000000000000004</c:v>
                </c:pt>
                <c:pt idx="190">
                  <c:v>4.9000000000000004</c:v>
                </c:pt>
                <c:pt idx="191">
                  <c:v>4.9000000000000004</c:v>
                </c:pt>
                <c:pt idx="192">
                  <c:v>4.9000000000000004</c:v>
                </c:pt>
                <c:pt idx="193">
                  <c:v>4.5999999999999996</c:v>
                </c:pt>
                <c:pt idx="194">
                  <c:v>4.5</c:v>
                </c:pt>
                <c:pt idx="195">
                  <c:v>4.5999999999999996</c:v>
                </c:pt>
                <c:pt idx="196">
                  <c:v>4.5</c:v>
                </c:pt>
                <c:pt idx="197">
                  <c:v>4.5999999999999996</c:v>
                </c:pt>
                <c:pt idx="198">
                  <c:v>4.7</c:v>
                </c:pt>
                <c:pt idx="199">
                  <c:v>4.7</c:v>
                </c:pt>
                <c:pt idx="200">
                  <c:v>4.5999999999999996</c:v>
                </c:pt>
                <c:pt idx="201">
                  <c:v>4.5999999999999996</c:v>
                </c:pt>
                <c:pt idx="202">
                  <c:v>4.8</c:v>
                </c:pt>
                <c:pt idx="203">
                  <c:v>4.8</c:v>
                </c:pt>
                <c:pt idx="204">
                  <c:v>4.5</c:v>
                </c:pt>
                <c:pt idx="205">
                  <c:v>4.5</c:v>
                </c:pt>
                <c:pt idx="206">
                  <c:v>4.5</c:v>
                </c:pt>
                <c:pt idx="207">
                  <c:v>4.9000000000000004</c:v>
                </c:pt>
                <c:pt idx="208">
                  <c:v>4.5999999999999996</c:v>
                </c:pt>
                <c:pt idx="209">
                  <c:v>4.5999999999999996</c:v>
                </c:pt>
                <c:pt idx="210">
                  <c:v>4.5999999999999996</c:v>
                </c:pt>
                <c:pt idx="211">
                  <c:v>4.5999999999999996</c:v>
                </c:pt>
                <c:pt idx="212">
                  <c:v>4.5999999999999996</c:v>
                </c:pt>
                <c:pt idx="213">
                  <c:v>4.5</c:v>
                </c:pt>
                <c:pt idx="214">
                  <c:v>4.5</c:v>
                </c:pt>
                <c:pt idx="215">
                  <c:v>4.4000000000000004</c:v>
                </c:pt>
                <c:pt idx="216">
                  <c:v>4.8</c:v>
                </c:pt>
                <c:pt idx="217">
                  <c:v>4.5</c:v>
                </c:pt>
                <c:pt idx="218">
                  <c:v>4.0999999999999996</c:v>
                </c:pt>
                <c:pt idx="219">
                  <c:v>4.9000000000000004</c:v>
                </c:pt>
                <c:pt idx="220">
                  <c:v>4.5</c:v>
                </c:pt>
                <c:pt idx="221">
                  <c:v>4.5</c:v>
                </c:pt>
                <c:pt idx="222">
                  <c:v>4.2</c:v>
                </c:pt>
                <c:pt idx="223">
                  <c:v>4.8</c:v>
                </c:pt>
                <c:pt idx="224">
                  <c:v>4.8</c:v>
                </c:pt>
                <c:pt idx="225">
                  <c:v>4.8</c:v>
                </c:pt>
                <c:pt idx="226">
                  <c:v>4.5</c:v>
                </c:pt>
                <c:pt idx="227">
                  <c:v>4.7</c:v>
                </c:pt>
                <c:pt idx="228">
                  <c:v>4.8</c:v>
                </c:pt>
                <c:pt idx="229">
                  <c:v>4.7</c:v>
                </c:pt>
                <c:pt idx="230">
                  <c:v>4.7</c:v>
                </c:pt>
                <c:pt idx="231">
                  <c:v>4.7</c:v>
                </c:pt>
                <c:pt idx="232">
                  <c:v>4.4000000000000004</c:v>
                </c:pt>
                <c:pt idx="233">
                  <c:v>4.5999999999999996</c:v>
                </c:pt>
                <c:pt idx="234">
                  <c:v>4.5999999999999996</c:v>
                </c:pt>
                <c:pt idx="235">
                  <c:v>4.5999999999999996</c:v>
                </c:pt>
                <c:pt idx="236">
                  <c:v>4.5</c:v>
                </c:pt>
                <c:pt idx="237">
                  <c:v>4.5</c:v>
                </c:pt>
                <c:pt idx="238">
                  <c:v>4.5</c:v>
                </c:pt>
                <c:pt idx="239">
                  <c:v>4.8</c:v>
                </c:pt>
                <c:pt idx="240">
                  <c:v>4.8</c:v>
                </c:pt>
                <c:pt idx="241">
                  <c:v>4.5999999999999996</c:v>
                </c:pt>
                <c:pt idx="242">
                  <c:v>4.7</c:v>
                </c:pt>
                <c:pt idx="243">
                  <c:v>4.5999999999999996</c:v>
                </c:pt>
                <c:pt idx="244">
                  <c:v>4.9000000000000004</c:v>
                </c:pt>
                <c:pt idx="245">
                  <c:v>4.9000000000000004</c:v>
                </c:pt>
                <c:pt idx="246">
                  <c:v>4.9000000000000004</c:v>
                </c:pt>
                <c:pt idx="247">
                  <c:v>4.9000000000000004</c:v>
                </c:pt>
                <c:pt idx="248">
                  <c:v>4.9000000000000004</c:v>
                </c:pt>
                <c:pt idx="249">
                  <c:v>4.9000000000000004</c:v>
                </c:pt>
                <c:pt idx="250">
                  <c:v>4.9000000000000004</c:v>
                </c:pt>
                <c:pt idx="251">
                  <c:v>4.9000000000000004</c:v>
                </c:pt>
                <c:pt idx="252">
                  <c:v>4.9000000000000004</c:v>
                </c:pt>
                <c:pt idx="253">
                  <c:v>4.8</c:v>
                </c:pt>
                <c:pt idx="254">
                  <c:v>4.2</c:v>
                </c:pt>
                <c:pt idx="255">
                  <c:v>4.5999999999999996</c:v>
                </c:pt>
                <c:pt idx="256">
                  <c:v>4.5999999999999996</c:v>
                </c:pt>
                <c:pt idx="257">
                  <c:v>4.5</c:v>
                </c:pt>
                <c:pt idx="258">
                  <c:v>4.3</c:v>
                </c:pt>
                <c:pt idx="259">
                  <c:v>4.5999999999999996</c:v>
                </c:pt>
                <c:pt idx="260">
                  <c:v>4.5999999999999996</c:v>
                </c:pt>
                <c:pt idx="261">
                  <c:v>4.5999999999999996</c:v>
                </c:pt>
                <c:pt idx="262">
                  <c:v>4.7</c:v>
                </c:pt>
                <c:pt idx="263">
                  <c:v>4.7</c:v>
                </c:pt>
                <c:pt idx="264">
                  <c:v>4.8</c:v>
                </c:pt>
                <c:pt idx="265">
                  <c:v>4.8</c:v>
                </c:pt>
                <c:pt idx="266">
                  <c:v>4.8</c:v>
                </c:pt>
                <c:pt idx="267">
                  <c:v>4.8</c:v>
                </c:pt>
                <c:pt idx="268">
                  <c:v>4.7</c:v>
                </c:pt>
                <c:pt idx="269">
                  <c:v>4.3</c:v>
                </c:pt>
                <c:pt idx="270">
                  <c:v>4.3</c:v>
                </c:pt>
                <c:pt idx="271">
                  <c:v>4.5</c:v>
                </c:pt>
                <c:pt idx="272">
                  <c:v>4.5</c:v>
                </c:pt>
                <c:pt idx="273">
                  <c:v>4.5</c:v>
                </c:pt>
                <c:pt idx="274">
                  <c:v>4.5</c:v>
                </c:pt>
                <c:pt idx="275">
                  <c:v>4.5</c:v>
                </c:pt>
                <c:pt idx="276">
                  <c:v>4.5</c:v>
                </c:pt>
                <c:pt idx="277">
                  <c:v>4.5</c:v>
                </c:pt>
                <c:pt idx="278">
                  <c:v>4.5</c:v>
                </c:pt>
                <c:pt idx="279">
                  <c:v>4.5</c:v>
                </c:pt>
                <c:pt idx="280">
                  <c:v>4.5</c:v>
                </c:pt>
                <c:pt idx="281">
                  <c:v>4.8</c:v>
                </c:pt>
                <c:pt idx="282">
                  <c:v>4.5999999999999996</c:v>
                </c:pt>
                <c:pt idx="283">
                  <c:v>4.5999999999999996</c:v>
                </c:pt>
                <c:pt idx="284">
                  <c:v>4.7</c:v>
                </c:pt>
                <c:pt idx="285">
                  <c:v>4.7</c:v>
                </c:pt>
                <c:pt idx="286">
                  <c:v>4.5999999999999996</c:v>
                </c:pt>
                <c:pt idx="287">
                  <c:v>4.5999999999999996</c:v>
                </c:pt>
                <c:pt idx="288">
                  <c:v>4.9000000000000004</c:v>
                </c:pt>
                <c:pt idx="289">
                  <c:v>4.9000000000000004</c:v>
                </c:pt>
                <c:pt idx="290">
                  <c:v>4.8</c:v>
                </c:pt>
                <c:pt idx="291">
                  <c:v>4.8</c:v>
                </c:pt>
                <c:pt idx="292">
                  <c:v>4.5999999999999996</c:v>
                </c:pt>
                <c:pt idx="293">
                  <c:v>4.8</c:v>
                </c:pt>
                <c:pt idx="294">
                  <c:v>4.8</c:v>
                </c:pt>
                <c:pt idx="295">
                  <c:v>4.7</c:v>
                </c:pt>
                <c:pt idx="296">
                  <c:v>4.7</c:v>
                </c:pt>
                <c:pt idx="297">
                  <c:v>4.8</c:v>
                </c:pt>
                <c:pt idx="298">
                  <c:v>4.0999999999999996</c:v>
                </c:pt>
                <c:pt idx="299">
                  <c:v>4.7</c:v>
                </c:pt>
                <c:pt idx="300">
                  <c:v>4.5999999999999996</c:v>
                </c:pt>
                <c:pt idx="301">
                  <c:v>4.5999999999999996</c:v>
                </c:pt>
                <c:pt idx="302">
                  <c:v>4.5999999999999996</c:v>
                </c:pt>
                <c:pt idx="303">
                  <c:v>4.9000000000000004</c:v>
                </c:pt>
                <c:pt idx="304">
                  <c:v>4</c:v>
                </c:pt>
                <c:pt idx="305">
                  <c:v>4</c:v>
                </c:pt>
                <c:pt idx="306">
                  <c:v>4</c:v>
                </c:pt>
                <c:pt idx="307">
                  <c:v>4</c:v>
                </c:pt>
                <c:pt idx="308">
                  <c:v>4</c:v>
                </c:pt>
                <c:pt idx="309">
                  <c:v>4</c:v>
                </c:pt>
                <c:pt idx="310">
                  <c:v>4</c:v>
                </c:pt>
                <c:pt idx="311">
                  <c:v>4</c:v>
                </c:pt>
                <c:pt idx="312">
                  <c:v>4</c:v>
                </c:pt>
                <c:pt idx="313">
                  <c:v>4.5</c:v>
                </c:pt>
                <c:pt idx="314">
                  <c:v>4.5999999999999996</c:v>
                </c:pt>
                <c:pt idx="315">
                  <c:v>4.5</c:v>
                </c:pt>
                <c:pt idx="316">
                  <c:v>4.4000000000000004</c:v>
                </c:pt>
                <c:pt idx="317">
                  <c:v>4.4000000000000004</c:v>
                </c:pt>
                <c:pt idx="318">
                  <c:v>4.3</c:v>
                </c:pt>
                <c:pt idx="319">
                  <c:v>4.3</c:v>
                </c:pt>
                <c:pt idx="320">
                  <c:v>4.7</c:v>
                </c:pt>
                <c:pt idx="321">
                  <c:v>4.7</c:v>
                </c:pt>
                <c:pt idx="322">
                  <c:v>4.7</c:v>
                </c:pt>
                <c:pt idx="323">
                  <c:v>4.7</c:v>
                </c:pt>
                <c:pt idx="324">
                  <c:v>4.7</c:v>
                </c:pt>
                <c:pt idx="325">
                  <c:v>4.8</c:v>
                </c:pt>
                <c:pt idx="326">
                  <c:v>4.8</c:v>
                </c:pt>
                <c:pt idx="327">
                  <c:v>4.8</c:v>
                </c:pt>
                <c:pt idx="328">
                  <c:v>4.8</c:v>
                </c:pt>
                <c:pt idx="329">
                  <c:v>4.8</c:v>
                </c:pt>
                <c:pt idx="330">
                  <c:v>4.8</c:v>
                </c:pt>
                <c:pt idx="331">
                  <c:v>4.5999999999999996</c:v>
                </c:pt>
                <c:pt idx="332">
                  <c:v>4.5999999999999996</c:v>
                </c:pt>
                <c:pt idx="333">
                  <c:v>4.5999999999999996</c:v>
                </c:pt>
                <c:pt idx="334">
                  <c:v>4.5999999999999996</c:v>
                </c:pt>
                <c:pt idx="335">
                  <c:v>4.7</c:v>
                </c:pt>
                <c:pt idx="336">
                  <c:v>4.7</c:v>
                </c:pt>
                <c:pt idx="337">
                  <c:v>4.7</c:v>
                </c:pt>
                <c:pt idx="338">
                  <c:v>4.7</c:v>
                </c:pt>
                <c:pt idx="339">
                  <c:v>4.5999999999999996</c:v>
                </c:pt>
                <c:pt idx="340">
                  <c:v>4.7</c:v>
                </c:pt>
                <c:pt idx="341">
                  <c:v>4.7</c:v>
                </c:pt>
                <c:pt idx="342">
                  <c:v>4.7</c:v>
                </c:pt>
                <c:pt idx="343">
                  <c:v>4.8</c:v>
                </c:pt>
                <c:pt idx="344">
                  <c:v>4.2</c:v>
                </c:pt>
                <c:pt idx="345">
                  <c:v>4.8</c:v>
                </c:pt>
                <c:pt idx="346">
                  <c:v>4.7</c:v>
                </c:pt>
                <c:pt idx="347">
                  <c:v>4.5999999999999996</c:v>
                </c:pt>
                <c:pt idx="348">
                  <c:v>4.5999999999999996</c:v>
                </c:pt>
                <c:pt idx="349">
                  <c:v>4.8</c:v>
                </c:pt>
                <c:pt idx="350">
                  <c:v>4.8</c:v>
                </c:pt>
                <c:pt idx="351">
                  <c:v>4.8</c:v>
                </c:pt>
                <c:pt idx="352">
                  <c:v>4.8</c:v>
                </c:pt>
                <c:pt idx="353">
                  <c:v>3.3</c:v>
                </c:pt>
                <c:pt idx="354">
                  <c:v>4.7</c:v>
                </c:pt>
                <c:pt idx="355">
                  <c:v>4.3</c:v>
                </c:pt>
                <c:pt idx="356">
                  <c:v>4.3</c:v>
                </c:pt>
                <c:pt idx="357">
                  <c:v>4.3</c:v>
                </c:pt>
                <c:pt idx="358">
                  <c:v>4.8</c:v>
                </c:pt>
                <c:pt idx="359">
                  <c:v>4.4000000000000004</c:v>
                </c:pt>
                <c:pt idx="360">
                  <c:v>4.8</c:v>
                </c:pt>
                <c:pt idx="361">
                  <c:v>4.8</c:v>
                </c:pt>
                <c:pt idx="362">
                  <c:v>4.8</c:v>
                </c:pt>
                <c:pt idx="363">
                  <c:v>4.0999999999999996</c:v>
                </c:pt>
                <c:pt idx="364">
                  <c:v>4</c:v>
                </c:pt>
                <c:pt idx="365">
                  <c:v>4.7</c:v>
                </c:pt>
                <c:pt idx="366">
                  <c:v>4.7</c:v>
                </c:pt>
                <c:pt idx="367">
                  <c:v>4.7</c:v>
                </c:pt>
                <c:pt idx="368">
                  <c:v>4.7</c:v>
                </c:pt>
                <c:pt idx="369">
                  <c:v>4.5999999999999996</c:v>
                </c:pt>
                <c:pt idx="370">
                  <c:v>4.5999999999999996</c:v>
                </c:pt>
                <c:pt idx="371">
                  <c:v>4.5999999999999996</c:v>
                </c:pt>
                <c:pt idx="372">
                  <c:v>4.5999999999999996</c:v>
                </c:pt>
                <c:pt idx="373">
                  <c:v>4.5999999999999996</c:v>
                </c:pt>
                <c:pt idx="374">
                  <c:v>4.5999999999999996</c:v>
                </c:pt>
                <c:pt idx="375">
                  <c:v>4.7</c:v>
                </c:pt>
                <c:pt idx="376">
                  <c:v>4.7</c:v>
                </c:pt>
                <c:pt idx="377">
                  <c:v>4.7</c:v>
                </c:pt>
                <c:pt idx="378">
                  <c:v>4.7</c:v>
                </c:pt>
                <c:pt idx="379">
                  <c:v>4.7</c:v>
                </c:pt>
                <c:pt idx="380">
                  <c:v>4.7</c:v>
                </c:pt>
                <c:pt idx="381">
                  <c:v>4.8</c:v>
                </c:pt>
                <c:pt idx="382">
                  <c:v>4.0999999999999996</c:v>
                </c:pt>
                <c:pt idx="383">
                  <c:v>4.0999999999999996</c:v>
                </c:pt>
                <c:pt idx="384">
                  <c:v>4.7</c:v>
                </c:pt>
                <c:pt idx="385">
                  <c:v>4.7</c:v>
                </c:pt>
                <c:pt idx="386">
                  <c:v>4.7</c:v>
                </c:pt>
                <c:pt idx="387">
                  <c:v>4.7</c:v>
                </c:pt>
                <c:pt idx="388">
                  <c:v>4.4000000000000004</c:v>
                </c:pt>
                <c:pt idx="389">
                  <c:v>4.4000000000000004</c:v>
                </c:pt>
                <c:pt idx="390">
                  <c:v>4.8</c:v>
                </c:pt>
                <c:pt idx="391">
                  <c:v>4.8</c:v>
                </c:pt>
                <c:pt idx="392">
                  <c:v>3.9</c:v>
                </c:pt>
                <c:pt idx="393">
                  <c:v>3.9</c:v>
                </c:pt>
                <c:pt idx="394">
                  <c:v>4.4000000000000004</c:v>
                </c:pt>
                <c:pt idx="395">
                  <c:v>4.4000000000000004</c:v>
                </c:pt>
                <c:pt idx="396">
                  <c:v>4.4000000000000004</c:v>
                </c:pt>
                <c:pt idx="397">
                  <c:v>4.5</c:v>
                </c:pt>
                <c:pt idx="398">
                  <c:v>4.7</c:v>
                </c:pt>
                <c:pt idx="399">
                  <c:v>4.3</c:v>
                </c:pt>
                <c:pt idx="400">
                  <c:v>4.5999999999999996</c:v>
                </c:pt>
                <c:pt idx="401">
                  <c:v>4.8</c:v>
                </c:pt>
                <c:pt idx="402">
                  <c:v>4.8</c:v>
                </c:pt>
                <c:pt idx="403">
                  <c:v>4.8</c:v>
                </c:pt>
                <c:pt idx="404">
                  <c:v>4.8</c:v>
                </c:pt>
                <c:pt idx="405">
                  <c:v>4.8</c:v>
                </c:pt>
                <c:pt idx="406">
                  <c:v>4.8</c:v>
                </c:pt>
                <c:pt idx="407">
                  <c:v>4.7</c:v>
                </c:pt>
                <c:pt idx="408">
                  <c:v>4.7</c:v>
                </c:pt>
                <c:pt idx="409">
                  <c:v>4.7</c:v>
                </c:pt>
                <c:pt idx="410">
                  <c:v>4.8</c:v>
                </c:pt>
                <c:pt idx="411">
                  <c:v>4.8</c:v>
                </c:pt>
                <c:pt idx="412">
                  <c:v>4.7</c:v>
                </c:pt>
                <c:pt idx="413">
                  <c:v>4.7</c:v>
                </c:pt>
                <c:pt idx="414">
                  <c:v>4.7</c:v>
                </c:pt>
                <c:pt idx="415">
                  <c:v>4.3</c:v>
                </c:pt>
                <c:pt idx="416">
                  <c:v>4.3</c:v>
                </c:pt>
                <c:pt idx="417">
                  <c:v>4.7</c:v>
                </c:pt>
                <c:pt idx="418">
                  <c:v>4.8</c:v>
                </c:pt>
                <c:pt idx="419">
                  <c:v>4.8</c:v>
                </c:pt>
                <c:pt idx="420">
                  <c:v>4.9000000000000004</c:v>
                </c:pt>
                <c:pt idx="421">
                  <c:v>4.4000000000000004</c:v>
                </c:pt>
                <c:pt idx="422">
                  <c:v>4.4000000000000004</c:v>
                </c:pt>
                <c:pt idx="423">
                  <c:v>4.5</c:v>
                </c:pt>
                <c:pt idx="424">
                  <c:v>4.5</c:v>
                </c:pt>
                <c:pt idx="425">
                  <c:v>4.5</c:v>
                </c:pt>
                <c:pt idx="426">
                  <c:v>4.5</c:v>
                </c:pt>
                <c:pt idx="427">
                  <c:v>4.4000000000000004</c:v>
                </c:pt>
                <c:pt idx="428">
                  <c:v>4.8</c:v>
                </c:pt>
                <c:pt idx="429">
                  <c:v>4.2</c:v>
                </c:pt>
                <c:pt idx="430">
                  <c:v>4.8</c:v>
                </c:pt>
                <c:pt idx="431">
                  <c:v>4.9000000000000004</c:v>
                </c:pt>
                <c:pt idx="432">
                  <c:v>4.8</c:v>
                </c:pt>
                <c:pt idx="433">
                  <c:v>4.7</c:v>
                </c:pt>
                <c:pt idx="434">
                  <c:v>4.5</c:v>
                </c:pt>
                <c:pt idx="435">
                  <c:v>4.8</c:v>
                </c:pt>
                <c:pt idx="436">
                  <c:v>4.5999999999999996</c:v>
                </c:pt>
                <c:pt idx="437">
                  <c:v>4.8</c:v>
                </c:pt>
                <c:pt idx="438">
                  <c:v>4.8</c:v>
                </c:pt>
                <c:pt idx="439">
                  <c:v>4.4000000000000004</c:v>
                </c:pt>
                <c:pt idx="440">
                  <c:v>4.4000000000000004</c:v>
                </c:pt>
                <c:pt idx="441">
                  <c:v>4.4000000000000004</c:v>
                </c:pt>
                <c:pt idx="442">
                  <c:v>4.4000000000000004</c:v>
                </c:pt>
                <c:pt idx="443">
                  <c:v>4.4000000000000004</c:v>
                </c:pt>
                <c:pt idx="444">
                  <c:v>4.3</c:v>
                </c:pt>
                <c:pt idx="445">
                  <c:v>4.3</c:v>
                </c:pt>
                <c:pt idx="446">
                  <c:v>4.8</c:v>
                </c:pt>
                <c:pt idx="447">
                  <c:v>4.8</c:v>
                </c:pt>
                <c:pt idx="448">
                  <c:v>4.8</c:v>
                </c:pt>
                <c:pt idx="449">
                  <c:v>4.5</c:v>
                </c:pt>
                <c:pt idx="450">
                  <c:v>4.4000000000000004</c:v>
                </c:pt>
                <c:pt idx="451">
                  <c:v>4.8</c:v>
                </c:pt>
                <c:pt idx="452">
                  <c:v>4.8</c:v>
                </c:pt>
                <c:pt idx="453">
                  <c:v>4.5999999999999996</c:v>
                </c:pt>
                <c:pt idx="454">
                  <c:v>4.3</c:v>
                </c:pt>
                <c:pt idx="455">
                  <c:v>4.3</c:v>
                </c:pt>
                <c:pt idx="456">
                  <c:v>4.5999999999999996</c:v>
                </c:pt>
                <c:pt idx="457">
                  <c:v>4.5999999999999996</c:v>
                </c:pt>
                <c:pt idx="458">
                  <c:v>4.8</c:v>
                </c:pt>
                <c:pt idx="459">
                  <c:v>4.5999999999999996</c:v>
                </c:pt>
                <c:pt idx="460">
                  <c:v>4.5999999999999996</c:v>
                </c:pt>
                <c:pt idx="461">
                  <c:v>4.5999999999999996</c:v>
                </c:pt>
                <c:pt idx="462">
                  <c:v>4.5</c:v>
                </c:pt>
                <c:pt idx="463">
                  <c:v>4.8</c:v>
                </c:pt>
                <c:pt idx="464">
                  <c:v>4.5999999999999996</c:v>
                </c:pt>
                <c:pt idx="465">
                  <c:v>4.5999999999999996</c:v>
                </c:pt>
                <c:pt idx="466">
                  <c:v>4.5999999999999996</c:v>
                </c:pt>
                <c:pt idx="467">
                  <c:v>4.7</c:v>
                </c:pt>
                <c:pt idx="468">
                  <c:v>4.7</c:v>
                </c:pt>
                <c:pt idx="469">
                  <c:v>4.7</c:v>
                </c:pt>
                <c:pt idx="470">
                  <c:v>4.4000000000000004</c:v>
                </c:pt>
                <c:pt idx="471">
                  <c:v>4.4000000000000004</c:v>
                </c:pt>
                <c:pt idx="472">
                  <c:v>4.7</c:v>
                </c:pt>
                <c:pt idx="473">
                  <c:v>4.7</c:v>
                </c:pt>
                <c:pt idx="474">
                  <c:v>4.8</c:v>
                </c:pt>
                <c:pt idx="475">
                  <c:v>4.7</c:v>
                </c:pt>
                <c:pt idx="476">
                  <c:v>4.9000000000000004</c:v>
                </c:pt>
                <c:pt idx="477">
                  <c:v>4.9000000000000004</c:v>
                </c:pt>
                <c:pt idx="478">
                  <c:v>4.9000000000000004</c:v>
                </c:pt>
                <c:pt idx="479">
                  <c:v>4.9000000000000004</c:v>
                </c:pt>
                <c:pt idx="480">
                  <c:v>4.9000000000000004</c:v>
                </c:pt>
                <c:pt idx="481">
                  <c:v>4.9000000000000004</c:v>
                </c:pt>
                <c:pt idx="482">
                  <c:v>4.9000000000000004</c:v>
                </c:pt>
                <c:pt idx="483">
                  <c:v>4.5999999999999996</c:v>
                </c:pt>
                <c:pt idx="484">
                  <c:v>4.5999999999999996</c:v>
                </c:pt>
                <c:pt idx="485">
                  <c:v>4.5999999999999996</c:v>
                </c:pt>
                <c:pt idx="486">
                  <c:v>4.9000000000000004</c:v>
                </c:pt>
                <c:pt idx="487">
                  <c:v>4.9000000000000004</c:v>
                </c:pt>
                <c:pt idx="488">
                  <c:v>4.9000000000000004</c:v>
                </c:pt>
                <c:pt idx="489">
                  <c:v>4.9000000000000004</c:v>
                </c:pt>
                <c:pt idx="490">
                  <c:v>4.8</c:v>
                </c:pt>
                <c:pt idx="491">
                  <c:v>4.8</c:v>
                </c:pt>
                <c:pt idx="492">
                  <c:v>4.7</c:v>
                </c:pt>
                <c:pt idx="493">
                  <c:v>4.7</c:v>
                </c:pt>
                <c:pt idx="494">
                  <c:v>4.5999999999999996</c:v>
                </c:pt>
                <c:pt idx="495">
                  <c:v>4.5999999999999996</c:v>
                </c:pt>
                <c:pt idx="496">
                  <c:v>4.5</c:v>
                </c:pt>
                <c:pt idx="497">
                  <c:v>4.5</c:v>
                </c:pt>
                <c:pt idx="498">
                  <c:v>4.3</c:v>
                </c:pt>
                <c:pt idx="499">
                  <c:v>4.3</c:v>
                </c:pt>
                <c:pt idx="500">
                  <c:v>4.5999999999999996</c:v>
                </c:pt>
                <c:pt idx="501">
                  <c:v>4.5999999999999996</c:v>
                </c:pt>
                <c:pt idx="502">
                  <c:v>4.5999999999999996</c:v>
                </c:pt>
                <c:pt idx="503">
                  <c:v>4.5999999999999996</c:v>
                </c:pt>
                <c:pt idx="504">
                  <c:v>4.3</c:v>
                </c:pt>
                <c:pt idx="505">
                  <c:v>4.8</c:v>
                </c:pt>
                <c:pt idx="506">
                  <c:v>4.8</c:v>
                </c:pt>
                <c:pt idx="507">
                  <c:v>4.8</c:v>
                </c:pt>
                <c:pt idx="508">
                  <c:v>4.8</c:v>
                </c:pt>
                <c:pt idx="509">
                  <c:v>4.8</c:v>
                </c:pt>
                <c:pt idx="510">
                  <c:v>4.5999999999999996</c:v>
                </c:pt>
                <c:pt idx="511">
                  <c:v>4.8</c:v>
                </c:pt>
                <c:pt idx="512">
                  <c:v>4.5</c:v>
                </c:pt>
                <c:pt idx="513">
                  <c:v>4.7</c:v>
                </c:pt>
                <c:pt idx="514">
                  <c:v>4.5</c:v>
                </c:pt>
                <c:pt idx="515">
                  <c:v>4.8</c:v>
                </c:pt>
                <c:pt idx="516">
                  <c:v>4.8</c:v>
                </c:pt>
                <c:pt idx="517">
                  <c:v>4.8</c:v>
                </c:pt>
                <c:pt idx="518">
                  <c:v>4.8</c:v>
                </c:pt>
                <c:pt idx="519">
                  <c:v>4.8</c:v>
                </c:pt>
                <c:pt idx="520">
                  <c:v>4.3</c:v>
                </c:pt>
                <c:pt idx="521">
                  <c:v>4.9000000000000004</c:v>
                </c:pt>
                <c:pt idx="522">
                  <c:v>4.8</c:v>
                </c:pt>
                <c:pt idx="523">
                  <c:v>4.7</c:v>
                </c:pt>
                <c:pt idx="524">
                  <c:v>4.8</c:v>
                </c:pt>
                <c:pt idx="525">
                  <c:v>4.5</c:v>
                </c:pt>
                <c:pt idx="526">
                  <c:v>4.5999999999999996</c:v>
                </c:pt>
                <c:pt idx="527">
                  <c:v>4.7</c:v>
                </c:pt>
                <c:pt idx="528">
                  <c:v>4.7</c:v>
                </c:pt>
                <c:pt idx="529">
                  <c:v>4.8</c:v>
                </c:pt>
                <c:pt idx="530">
                  <c:v>4.4000000000000004</c:v>
                </c:pt>
                <c:pt idx="531">
                  <c:v>4.4000000000000004</c:v>
                </c:pt>
                <c:pt idx="532">
                  <c:v>4.4000000000000004</c:v>
                </c:pt>
                <c:pt idx="533">
                  <c:v>4.8</c:v>
                </c:pt>
                <c:pt idx="534">
                  <c:v>4.8</c:v>
                </c:pt>
                <c:pt idx="535">
                  <c:v>4.8</c:v>
                </c:pt>
                <c:pt idx="536">
                  <c:v>4.5999999999999996</c:v>
                </c:pt>
                <c:pt idx="537">
                  <c:v>4.4000000000000004</c:v>
                </c:pt>
                <c:pt idx="538">
                  <c:v>4.5</c:v>
                </c:pt>
                <c:pt idx="539">
                  <c:v>4.2</c:v>
                </c:pt>
                <c:pt idx="540">
                  <c:v>4.8</c:v>
                </c:pt>
                <c:pt idx="541">
                  <c:v>4.8</c:v>
                </c:pt>
                <c:pt idx="542">
                  <c:v>4.8</c:v>
                </c:pt>
                <c:pt idx="543">
                  <c:v>4.8</c:v>
                </c:pt>
                <c:pt idx="544">
                  <c:v>4.8</c:v>
                </c:pt>
                <c:pt idx="545">
                  <c:v>4.9000000000000004</c:v>
                </c:pt>
                <c:pt idx="546">
                  <c:v>4.7</c:v>
                </c:pt>
                <c:pt idx="547">
                  <c:v>4.7</c:v>
                </c:pt>
                <c:pt idx="548">
                  <c:v>4.7</c:v>
                </c:pt>
                <c:pt idx="549">
                  <c:v>4.7</c:v>
                </c:pt>
              </c:numCache>
            </c:numRef>
          </c:xVal>
          <c:yVal>
            <c:numRef>
              <c:f>'Task 3 visualisation'!$AV$2:$AV$551</c:f>
              <c:numCache>
                <c:formatCode>General</c:formatCode>
                <c:ptCount val="550"/>
                <c:pt idx="0">
                  <c:v>8</c:v>
                </c:pt>
                <c:pt idx="1">
                  <c:v>22</c:v>
                </c:pt>
                <c:pt idx="2">
                  <c:v>15</c:v>
                </c:pt>
                <c:pt idx="3">
                  <c:v>6</c:v>
                </c:pt>
                <c:pt idx="4">
                  <c:v>12</c:v>
                </c:pt>
                <c:pt idx="5">
                  <c:v>11</c:v>
                </c:pt>
                <c:pt idx="6">
                  <c:v>30</c:v>
                </c:pt>
                <c:pt idx="7">
                  <c:v>15</c:v>
                </c:pt>
                <c:pt idx="8">
                  <c:v>3</c:v>
                </c:pt>
                <c:pt idx="9">
                  <c:v>8</c:v>
                </c:pt>
                <c:pt idx="10">
                  <c:v>8</c:v>
                </c:pt>
                <c:pt idx="11">
                  <c:v>2</c:v>
                </c:pt>
                <c:pt idx="12">
                  <c:v>32</c:v>
                </c:pt>
                <c:pt idx="13">
                  <c:v>5</c:v>
                </c:pt>
                <c:pt idx="14">
                  <c:v>17</c:v>
                </c:pt>
                <c:pt idx="15">
                  <c:v>4</c:v>
                </c:pt>
                <c:pt idx="16">
                  <c:v>6</c:v>
                </c:pt>
                <c:pt idx="17">
                  <c:v>6</c:v>
                </c:pt>
                <c:pt idx="18">
                  <c:v>8</c:v>
                </c:pt>
                <c:pt idx="19">
                  <c:v>13</c:v>
                </c:pt>
                <c:pt idx="20">
                  <c:v>14</c:v>
                </c:pt>
                <c:pt idx="21">
                  <c:v>14</c:v>
                </c:pt>
                <c:pt idx="22">
                  <c:v>13</c:v>
                </c:pt>
                <c:pt idx="23">
                  <c:v>9</c:v>
                </c:pt>
                <c:pt idx="24">
                  <c:v>13</c:v>
                </c:pt>
                <c:pt idx="25">
                  <c:v>5</c:v>
                </c:pt>
                <c:pt idx="26">
                  <c:v>9</c:v>
                </c:pt>
                <c:pt idx="27">
                  <c:v>14</c:v>
                </c:pt>
                <c:pt idx="28">
                  <c:v>5</c:v>
                </c:pt>
                <c:pt idx="29">
                  <c:v>11</c:v>
                </c:pt>
                <c:pt idx="30">
                  <c:v>24</c:v>
                </c:pt>
                <c:pt idx="31">
                  <c:v>21</c:v>
                </c:pt>
                <c:pt idx="32">
                  <c:v>11</c:v>
                </c:pt>
                <c:pt idx="33">
                  <c:v>11</c:v>
                </c:pt>
                <c:pt idx="34">
                  <c:v>15</c:v>
                </c:pt>
                <c:pt idx="35">
                  <c:v>13</c:v>
                </c:pt>
                <c:pt idx="36">
                  <c:v>13</c:v>
                </c:pt>
                <c:pt idx="37">
                  <c:v>18</c:v>
                </c:pt>
                <c:pt idx="38">
                  <c:v>13</c:v>
                </c:pt>
                <c:pt idx="39">
                  <c:v>8</c:v>
                </c:pt>
                <c:pt idx="40">
                  <c:v>5</c:v>
                </c:pt>
                <c:pt idx="41">
                  <c:v>5</c:v>
                </c:pt>
                <c:pt idx="42">
                  <c:v>0</c:v>
                </c:pt>
                <c:pt idx="43">
                  <c:v>4</c:v>
                </c:pt>
                <c:pt idx="44">
                  <c:v>18</c:v>
                </c:pt>
                <c:pt idx="45">
                  <c:v>28</c:v>
                </c:pt>
                <c:pt idx="46">
                  <c:v>11</c:v>
                </c:pt>
                <c:pt idx="47">
                  <c:v>11</c:v>
                </c:pt>
                <c:pt idx="48">
                  <c:v>11</c:v>
                </c:pt>
                <c:pt idx="49">
                  <c:v>16</c:v>
                </c:pt>
                <c:pt idx="50">
                  <c:v>14</c:v>
                </c:pt>
                <c:pt idx="51">
                  <c:v>14</c:v>
                </c:pt>
                <c:pt idx="52">
                  <c:v>14</c:v>
                </c:pt>
                <c:pt idx="53">
                  <c:v>8</c:v>
                </c:pt>
                <c:pt idx="54">
                  <c:v>4</c:v>
                </c:pt>
                <c:pt idx="55">
                  <c:v>5</c:v>
                </c:pt>
                <c:pt idx="56">
                  <c:v>11</c:v>
                </c:pt>
                <c:pt idx="57">
                  <c:v>11</c:v>
                </c:pt>
                <c:pt idx="58">
                  <c:v>10</c:v>
                </c:pt>
                <c:pt idx="59">
                  <c:v>13</c:v>
                </c:pt>
                <c:pt idx="60">
                  <c:v>4</c:v>
                </c:pt>
                <c:pt idx="61">
                  <c:v>8</c:v>
                </c:pt>
                <c:pt idx="62">
                  <c:v>4</c:v>
                </c:pt>
                <c:pt idx="63">
                  <c:v>5</c:v>
                </c:pt>
                <c:pt idx="64">
                  <c:v>5</c:v>
                </c:pt>
                <c:pt idx="65">
                  <c:v>5</c:v>
                </c:pt>
                <c:pt idx="66">
                  <c:v>5</c:v>
                </c:pt>
                <c:pt idx="67">
                  <c:v>17</c:v>
                </c:pt>
                <c:pt idx="68">
                  <c:v>15</c:v>
                </c:pt>
                <c:pt idx="69">
                  <c:v>105</c:v>
                </c:pt>
                <c:pt idx="70">
                  <c:v>105</c:v>
                </c:pt>
                <c:pt idx="71">
                  <c:v>0</c:v>
                </c:pt>
                <c:pt idx="72">
                  <c:v>15</c:v>
                </c:pt>
                <c:pt idx="73">
                  <c:v>22</c:v>
                </c:pt>
                <c:pt idx="74">
                  <c:v>5</c:v>
                </c:pt>
                <c:pt idx="75">
                  <c:v>15</c:v>
                </c:pt>
                <c:pt idx="76">
                  <c:v>15</c:v>
                </c:pt>
                <c:pt idx="77">
                  <c:v>6</c:v>
                </c:pt>
                <c:pt idx="78">
                  <c:v>6</c:v>
                </c:pt>
                <c:pt idx="79">
                  <c:v>13</c:v>
                </c:pt>
                <c:pt idx="80">
                  <c:v>12</c:v>
                </c:pt>
                <c:pt idx="81">
                  <c:v>6</c:v>
                </c:pt>
                <c:pt idx="82">
                  <c:v>8</c:v>
                </c:pt>
                <c:pt idx="83">
                  <c:v>4</c:v>
                </c:pt>
                <c:pt idx="84">
                  <c:v>4</c:v>
                </c:pt>
                <c:pt idx="85">
                  <c:v>8</c:v>
                </c:pt>
                <c:pt idx="86">
                  <c:v>8</c:v>
                </c:pt>
                <c:pt idx="87">
                  <c:v>6</c:v>
                </c:pt>
                <c:pt idx="88">
                  <c:v>20</c:v>
                </c:pt>
                <c:pt idx="89">
                  <c:v>5</c:v>
                </c:pt>
                <c:pt idx="90">
                  <c:v>16</c:v>
                </c:pt>
                <c:pt idx="91">
                  <c:v>1</c:v>
                </c:pt>
                <c:pt idx="92">
                  <c:v>14</c:v>
                </c:pt>
                <c:pt idx="93">
                  <c:v>9</c:v>
                </c:pt>
                <c:pt idx="94">
                  <c:v>9</c:v>
                </c:pt>
                <c:pt idx="95">
                  <c:v>7</c:v>
                </c:pt>
                <c:pt idx="96">
                  <c:v>18</c:v>
                </c:pt>
                <c:pt idx="97">
                  <c:v>15</c:v>
                </c:pt>
                <c:pt idx="98">
                  <c:v>15</c:v>
                </c:pt>
                <c:pt idx="99">
                  <c:v>9</c:v>
                </c:pt>
                <c:pt idx="100">
                  <c:v>8</c:v>
                </c:pt>
                <c:pt idx="101">
                  <c:v>8</c:v>
                </c:pt>
                <c:pt idx="102">
                  <c:v>15</c:v>
                </c:pt>
                <c:pt idx="103">
                  <c:v>2</c:v>
                </c:pt>
                <c:pt idx="104">
                  <c:v>7</c:v>
                </c:pt>
                <c:pt idx="105">
                  <c:v>11</c:v>
                </c:pt>
                <c:pt idx="106">
                  <c:v>14</c:v>
                </c:pt>
                <c:pt idx="107">
                  <c:v>14</c:v>
                </c:pt>
                <c:pt idx="108">
                  <c:v>32</c:v>
                </c:pt>
                <c:pt idx="109">
                  <c:v>6</c:v>
                </c:pt>
                <c:pt idx="110">
                  <c:v>4</c:v>
                </c:pt>
                <c:pt idx="111">
                  <c:v>4</c:v>
                </c:pt>
                <c:pt idx="112">
                  <c:v>4</c:v>
                </c:pt>
                <c:pt idx="113">
                  <c:v>4</c:v>
                </c:pt>
                <c:pt idx="114">
                  <c:v>4</c:v>
                </c:pt>
                <c:pt idx="115">
                  <c:v>9</c:v>
                </c:pt>
                <c:pt idx="116">
                  <c:v>0</c:v>
                </c:pt>
                <c:pt idx="117">
                  <c:v>9</c:v>
                </c:pt>
                <c:pt idx="118">
                  <c:v>5</c:v>
                </c:pt>
                <c:pt idx="119">
                  <c:v>5</c:v>
                </c:pt>
                <c:pt idx="120">
                  <c:v>5</c:v>
                </c:pt>
                <c:pt idx="121">
                  <c:v>20</c:v>
                </c:pt>
                <c:pt idx="122">
                  <c:v>16</c:v>
                </c:pt>
                <c:pt idx="123">
                  <c:v>4</c:v>
                </c:pt>
                <c:pt idx="124">
                  <c:v>4</c:v>
                </c:pt>
                <c:pt idx="125">
                  <c:v>4</c:v>
                </c:pt>
                <c:pt idx="126">
                  <c:v>4</c:v>
                </c:pt>
                <c:pt idx="127">
                  <c:v>4</c:v>
                </c:pt>
                <c:pt idx="128">
                  <c:v>12</c:v>
                </c:pt>
                <c:pt idx="129">
                  <c:v>12</c:v>
                </c:pt>
                <c:pt idx="130">
                  <c:v>12</c:v>
                </c:pt>
                <c:pt idx="131">
                  <c:v>11</c:v>
                </c:pt>
                <c:pt idx="132">
                  <c:v>19</c:v>
                </c:pt>
                <c:pt idx="133">
                  <c:v>9</c:v>
                </c:pt>
                <c:pt idx="134">
                  <c:v>6</c:v>
                </c:pt>
                <c:pt idx="135">
                  <c:v>10</c:v>
                </c:pt>
                <c:pt idx="136">
                  <c:v>10</c:v>
                </c:pt>
                <c:pt idx="137">
                  <c:v>9</c:v>
                </c:pt>
                <c:pt idx="138">
                  <c:v>6</c:v>
                </c:pt>
                <c:pt idx="139">
                  <c:v>14</c:v>
                </c:pt>
                <c:pt idx="140">
                  <c:v>14</c:v>
                </c:pt>
                <c:pt idx="141">
                  <c:v>14</c:v>
                </c:pt>
                <c:pt idx="142">
                  <c:v>14</c:v>
                </c:pt>
                <c:pt idx="143">
                  <c:v>5</c:v>
                </c:pt>
                <c:pt idx="144">
                  <c:v>5</c:v>
                </c:pt>
                <c:pt idx="145">
                  <c:v>5</c:v>
                </c:pt>
                <c:pt idx="146">
                  <c:v>7</c:v>
                </c:pt>
                <c:pt idx="147">
                  <c:v>7</c:v>
                </c:pt>
                <c:pt idx="148">
                  <c:v>10</c:v>
                </c:pt>
                <c:pt idx="149">
                  <c:v>14</c:v>
                </c:pt>
                <c:pt idx="150">
                  <c:v>7</c:v>
                </c:pt>
                <c:pt idx="151">
                  <c:v>54</c:v>
                </c:pt>
                <c:pt idx="152">
                  <c:v>11</c:v>
                </c:pt>
                <c:pt idx="153">
                  <c:v>30</c:v>
                </c:pt>
                <c:pt idx="154">
                  <c:v>12</c:v>
                </c:pt>
                <c:pt idx="155">
                  <c:v>18</c:v>
                </c:pt>
                <c:pt idx="156">
                  <c:v>30</c:v>
                </c:pt>
                <c:pt idx="157">
                  <c:v>22</c:v>
                </c:pt>
                <c:pt idx="158">
                  <c:v>9</c:v>
                </c:pt>
                <c:pt idx="159">
                  <c:v>52</c:v>
                </c:pt>
                <c:pt idx="160">
                  <c:v>4</c:v>
                </c:pt>
                <c:pt idx="161">
                  <c:v>10</c:v>
                </c:pt>
                <c:pt idx="162">
                  <c:v>10</c:v>
                </c:pt>
                <c:pt idx="163">
                  <c:v>14</c:v>
                </c:pt>
                <c:pt idx="164">
                  <c:v>14</c:v>
                </c:pt>
                <c:pt idx="165">
                  <c:v>22</c:v>
                </c:pt>
                <c:pt idx="166">
                  <c:v>11</c:v>
                </c:pt>
                <c:pt idx="167">
                  <c:v>11</c:v>
                </c:pt>
                <c:pt idx="168">
                  <c:v>11</c:v>
                </c:pt>
                <c:pt idx="169">
                  <c:v>11</c:v>
                </c:pt>
                <c:pt idx="170">
                  <c:v>11</c:v>
                </c:pt>
                <c:pt idx="171">
                  <c:v>16</c:v>
                </c:pt>
                <c:pt idx="172">
                  <c:v>15</c:v>
                </c:pt>
                <c:pt idx="173">
                  <c:v>15</c:v>
                </c:pt>
                <c:pt idx="174">
                  <c:v>17</c:v>
                </c:pt>
                <c:pt idx="175">
                  <c:v>17</c:v>
                </c:pt>
                <c:pt idx="176">
                  <c:v>7</c:v>
                </c:pt>
                <c:pt idx="177">
                  <c:v>7</c:v>
                </c:pt>
                <c:pt idx="178">
                  <c:v>4</c:v>
                </c:pt>
                <c:pt idx="179">
                  <c:v>4</c:v>
                </c:pt>
                <c:pt idx="180">
                  <c:v>9</c:v>
                </c:pt>
                <c:pt idx="181">
                  <c:v>21</c:v>
                </c:pt>
                <c:pt idx="182">
                  <c:v>14</c:v>
                </c:pt>
                <c:pt idx="183">
                  <c:v>20</c:v>
                </c:pt>
                <c:pt idx="184">
                  <c:v>13</c:v>
                </c:pt>
                <c:pt idx="185">
                  <c:v>13</c:v>
                </c:pt>
                <c:pt idx="186">
                  <c:v>12</c:v>
                </c:pt>
                <c:pt idx="187">
                  <c:v>8</c:v>
                </c:pt>
                <c:pt idx="188">
                  <c:v>8</c:v>
                </c:pt>
                <c:pt idx="189">
                  <c:v>8</c:v>
                </c:pt>
                <c:pt idx="190">
                  <c:v>8</c:v>
                </c:pt>
                <c:pt idx="191">
                  <c:v>8</c:v>
                </c:pt>
                <c:pt idx="192">
                  <c:v>8</c:v>
                </c:pt>
                <c:pt idx="193">
                  <c:v>0</c:v>
                </c:pt>
                <c:pt idx="194">
                  <c:v>12</c:v>
                </c:pt>
                <c:pt idx="195">
                  <c:v>17</c:v>
                </c:pt>
                <c:pt idx="196">
                  <c:v>12</c:v>
                </c:pt>
                <c:pt idx="197">
                  <c:v>25</c:v>
                </c:pt>
                <c:pt idx="198">
                  <c:v>10</c:v>
                </c:pt>
                <c:pt idx="199">
                  <c:v>10</c:v>
                </c:pt>
                <c:pt idx="200">
                  <c:v>6</c:v>
                </c:pt>
                <c:pt idx="201">
                  <c:v>5</c:v>
                </c:pt>
                <c:pt idx="202">
                  <c:v>6</c:v>
                </c:pt>
                <c:pt idx="203">
                  <c:v>8</c:v>
                </c:pt>
                <c:pt idx="204">
                  <c:v>4</c:v>
                </c:pt>
                <c:pt idx="205">
                  <c:v>4</c:v>
                </c:pt>
                <c:pt idx="206">
                  <c:v>4</c:v>
                </c:pt>
                <c:pt idx="207">
                  <c:v>13</c:v>
                </c:pt>
                <c:pt idx="208">
                  <c:v>4</c:v>
                </c:pt>
                <c:pt idx="209">
                  <c:v>4</c:v>
                </c:pt>
                <c:pt idx="210">
                  <c:v>4</c:v>
                </c:pt>
                <c:pt idx="211">
                  <c:v>4</c:v>
                </c:pt>
                <c:pt idx="212">
                  <c:v>4</c:v>
                </c:pt>
                <c:pt idx="213">
                  <c:v>13</c:v>
                </c:pt>
                <c:pt idx="214">
                  <c:v>21</c:v>
                </c:pt>
                <c:pt idx="215">
                  <c:v>6</c:v>
                </c:pt>
                <c:pt idx="216">
                  <c:v>15</c:v>
                </c:pt>
                <c:pt idx="217">
                  <c:v>18</c:v>
                </c:pt>
                <c:pt idx="218">
                  <c:v>10</c:v>
                </c:pt>
                <c:pt idx="219">
                  <c:v>0</c:v>
                </c:pt>
                <c:pt idx="220">
                  <c:v>12</c:v>
                </c:pt>
                <c:pt idx="221">
                  <c:v>7</c:v>
                </c:pt>
                <c:pt idx="222">
                  <c:v>13</c:v>
                </c:pt>
                <c:pt idx="223">
                  <c:v>5</c:v>
                </c:pt>
                <c:pt idx="224">
                  <c:v>5</c:v>
                </c:pt>
                <c:pt idx="225">
                  <c:v>16</c:v>
                </c:pt>
                <c:pt idx="226">
                  <c:v>20</c:v>
                </c:pt>
                <c:pt idx="227">
                  <c:v>11</c:v>
                </c:pt>
                <c:pt idx="228">
                  <c:v>27</c:v>
                </c:pt>
                <c:pt idx="229">
                  <c:v>8</c:v>
                </c:pt>
                <c:pt idx="230">
                  <c:v>8</c:v>
                </c:pt>
                <c:pt idx="231">
                  <c:v>8</c:v>
                </c:pt>
                <c:pt idx="232">
                  <c:v>6</c:v>
                </c:pt>
                <c:pt idx="233">
                  <c:v>10</c:v>
                </c:pt>
                <c:pt idx="234">
                  <c:v>10</c:v>
                </c:pt>
                <c:pt idx="235">
                  <c:v>10</c:v>
                </c:pt>
                <c:pt idx="236">
                  <c:v>8</c:v>
                </c:pt>
                <c:pt idx="237">
                  <c:v>8</c:v>
                </c:pt>
                <c:pt idx="238">
                  <c:v>8</c:v>
                </c:pt>
                <c:pt idx="239">
                  <c:v>16</c:v>
                </c:pt>
                <c:pt idx="240">
                  <c:v>11</c:v>
                </c:pt>
                <c:pt idx="241">
                  <c:v>10</c:v>
                </c:pt>
                <c:pt idx="242">
                  <c:v>9</c:v>
                </c:pt>
                <c:pt idx="243">
                  <c:v>14</c:v>
                </c:pt>
                <c:pt idx="244">
                  <c:v>22</c:v>
                </c:pt>
                <c:pt idx="245">
                  <c:v>8</c:v>
                </c:pt>
                <c:pt idx="246">
                  <c:v>8</c:v>
                </c:pt>
                <c:pt idx="247">
                  <c:v>8</c:v>
                </c:pt>
                <c:pt idx="248">
                  <c:v>8</c:v>
                </c:pt>
                <c:pt idx="249">
                  <c:v>8</c:v>
                </c:pt>
                <c:pt idx="250">
                  <c:v>8</c:v>
                </c:pt>
                <c:pt idx="251">
                  <c:v>8</c:v>
                </c:pt>
                <c:pt idx="252">
                  <c:v>8</c:v>
                </c:pt>
                <c:pt idx="253">
                  <c:v>7</c:v>
                </c:pt>
                <c:pt idx="254">
                  <c:v>12</c:v>
                </c:pt>
                <c:pt idx="255">
                  <c:v>13</c:v>
                </c:pt>
                <c:pt idx="256">
                  <c:v>13</c:v>
                </c:pt>
                <c:pt idx="257">
                  <c:v>9</c:v>
                </c:pt>
                <c:pt idx="258">
                  <c:v>13</c:v>
                </c:pt>
                <c:pt idx="259">
                  <c:v>11</c:v>
                </c:pt>
                <c:pt idx="260">
                  <c:v>20</c:v>
                </c:pt>
                <c:pt idx="261">
                  <c:v>20</c:v>
                </c:pt>
                <c:pt idx="262">
                  <c:v>5</c:v>
                </c:pt>
                <c:pt idx="263">
                  <c:v>5</c:v>
                </c:pt>
                <c:pt idx="264">
                  <c:v>2</c:v>
                </c:pt>
                <c:pt idx="265">
                  <c:v>27</c:v>
                </c:pt>
                <c:pt idx="266">
                  <c:v>27</c:v>
                </c:pt>
                <c:pt idx="267">
                  <c:v>27</c:v>
                </c:pt>
                <c:pt idx="268">
                  <c:v>9</c:v>
                </c:pt>
                <c:pt idx="269">
                  <c:v>10</c:v>
                </c:pt>
                <c:pt idx="270">
                  <c:v>10</c:v>
                </c:pt>
                <c:pt idx="271">
                  <c:v>46</c:v>
                </c:pt>
                <c:pt idx="272">
                  <c:v>46</c:v>
                </c:pt>
                <c:pt idx="273">
                  <c:v>46</c:v>
                </c:pt>
                <c:pt idx="274">
                  <c:v>46</c:v>
                </c:pt>
                <c:pt idx="275">
                  <c:v>46</c:v>
                </c:pt>
                <c:pt idx="276">
                  <c:v>46</c:v>
                </c:pt>
                <c:pt idx="277">
                  <c:v>46</c:v>
                </c:pt>
                <c:pt idx="278">
                  <c:v>46</c:v>
                </c:pt>
                <c:pt idx="279">
                  <c:v>46</c:v>
                </c:pt>
                <c:pt idx="280">
                  <c:v>46</c:v>
                </c:pt>
                <c:pt idx="281">
                  <c:v>4</c:v>
                </c:pt>
                <c:pt idx="282">
                  <c:v>20</c:v>
                </c:pt>
                <c:pt idx="283">
                  <c:v>7</c:v>
                </c:pt>
                <c:pt idx="284">
                  <c:v>9</c:v>
                </c:pt>
                <c:pt idx="285">
                  <c:v>9</c:v>
                </c:pt>
                <c:pt idx="286">
                  <c:v>12</c:v>
                </c:pt>
                <c:pt idx="287">
                  <c:v>12</c:v>
                </c:pt>
                <c:pt idx="288">
                  <c:v>12</c:v>
                </c:pt>
                <c:pt idx="289">
                  <c:v>12</c:v>
                </c:pt>
                <c:pt idx="290">
                  <c:v>20</c:v>
                </c:pt>
                <c:pt idx="291">
                  <c:v>20</c:v>
                </c:pt>
                <c:pt idx="292">
                  <c:v>10</c:v>
                </c:pt>
                <c:pt idx="293">
                  <c:v>6</c:v>
                </c:pt>
                <c:pt idx="294">
                  <c:v>6</c:v>
                </c:pt>
                <c:pt idx="295">
                  <c:v>9</c:v>
                </c:pt>
                <c:pt idx="296">
                  <c:v>11</c:v>
                </c:pt>
                <c:pt idx="297">
                  <c:v>16</c:v>
                </c:pt>
                <c:pt idx="298">
                  <c:v>6</c:v>
                </c:pt>
                <c:pt idx="299">
                  <c:v>25</c:v>
                </c:pt>
                <c:pt idx="300">
                  <c:v>17</c:v>
                </c:pt>
                <c:pt idx="301">
                  <c:v>20</c:v>
                </c:pt>
                <c:pt idx="302">
                  <c:v>20</c:v>
                </c:pt>
                <c:pt idx="303">
                  <c:v>6</c:v>
                </c:pt>
                <c:pt idx="304">
                  <c:v>17</c:v>
                </c:pt>
                <c:pt idx="305">
                  <c:v>17</c:v>
                </c:pt>
                <c:pt idx="306">
                  <c:v>17</c:v>
                </c:pt>
                <c:pt idx="307">
                  <c:v>17</c:v>
                </c:pt>
                <c:pt idx="308">
                  <c:v>17</c:v>
                </c:pt>
                <c:pt idx="309">
                  <c:v>17</c:v>
                </c:pt>
                <c:pt idx="310">
                  <c:v>17</c:v>
                </c:pt>
                <c:pt idx="311">
                  <c:v>17</c:v>
                </c:pt>
                <c:pt idx="312">
                  <c:v>17</c:v>
                </c:pt>
                <c:pt idx="313">
                  <c:v>18</c:v>
                </c:pt>
                <c:pt idx="314">
                  <c:v>13</c:v>
                </c:pt>
                <c:pt idx="315">
                  <c:v>18</c:v>
                </c:pt>
                <c:pt idx="316">
                  <c:v>20</c:v>
                </c:pt>
                <c:pt idx="317">
                  <c:v>20</c:v>
                </c:pt>
                <c:pt idx="318">
                  <c:v>22</c:v>
                </c:pt>
                <c:pt idx="319">
                  <c:v>21</c:v>
                </c:pt>
                <c:pt idx="320">
                  <c:v>28</c:v>
                </c:pt>
                <c:pt idx="321">
                  <c:v>28</c:v>
                </c:pt>
                <c:pt idx="322">
                  <c:v>28</c:v>
                </c:pt>
                <c:pt idx="323">
                  <c:v>28</c:v>
                </c:pt>
                <c:pt idx="324">
                  <c:v>28</c:v>
                </c:pt>
                <c:pt idx="325">
                  <c:v>8</c:v>
                </c:pt>
                <c:pt idx="326">
                  <c:v>8</c:v>
                </c:pt>
                <c:pt idx="327">
                  <c:v>8</c:v>
                </c:pt>
                <c:pt idx="328">
                  <c:v>8</c:v>
                </c:pt>
                <c:pt idx="329">
                  <c:v>8</c:v>
                </c:pt>
                <c:pt idx="330">
                  <c:v>12</c:v>
                </c:pt>
                <c:pt idx="331">
                  <c:v>24</c:v>
                </c:pt>
                <c:pt idx="332">
                  <c:v>24</c:v>
                </c:pt>
                <c:pt idx="333">
                  <c:v>24</c:v>
                </c:pt>
                <c:pt idx="334">
                  <c:v>24</c:v>
                </c:pt>
                <c:pt idx="335">
                  <c:v>16</c:v>
                </c:pt>
                <c:pt idx="336">
                  <c:v>16</c:v>
                </c:pt>
                <c:pt idx="337">
                  <c:v>16</c:v>
                </c:pt>
                <c:pt idx="338">
                  <c:v>39</c:v>
                </c:pt>
                <c:pt idx="339">
                  <c:v>9</c:v>
                </c:pt>
                <c:pt idx="340">
                  <c:v>10</c:v>
                </c:pt>
                <c:pt idx="341">
                  <c:v>10</c:v>
                </c:pt>
                <c:pt idx="342">
                  <c:v>17</c:v>
                </c:pt>
                <c:pt idx="343">
                  <c:v>11</c:v>
                </c:pt>
                <c:pt idx="344">
                  <c:v>14</c:v>
                </c:pt>
                <c:pt idx="345">
                  <c:v>12</c:v>
                </c:pt>
                <c:pt idx="346">
                  <c:v>53</c:v>
                </c:pt>
                <c:pt idx="347">
                  <c:v>6</c:v>
                </c:pt>
                <c:pt idx="348">
                  <c:v>6</c:v>
                </c:pt>
                <c:pt idx="349">
                  <c:v>8</c:v>
                </c:pt>
                <c:pt idx="350">
                  <c:v>8</c:v>
                </c:pt>
                <c:pt idx="351">
                  <c:v>12</c:v>
                </c:pt>
                <c:pt idx="352">
                  <c:v>12</c:v>
                </c:pt>
                <c:pt idx="353">
                  <c:v>12</c:v>
                </c:pt>
                <c:pt idx="354">
                  <c:v>21</c:v>
                </c:pt>
                <c:pt idx="355">
                  <c:v>6</c:v>
                </c:pt>
                <c:pt idx="356">
                  <c:v>6</c:v>
                </c:pt>
                <c:pt idx="357">
                  <c:v>13</c:v>
                </c:pt>
                <c:pt idx="358">
                  <c:v>0</c:v>
                </c:pt>
                <c:pt idx="359">
                  <c:v>11</c:v>
                </c:pt>
                <c:pt idx="360">
                  <c:v>9</c:v>
                </c:pt>
                <c:pt idx="361">
                  <c:v>9</c:v>
                </c:pt>
                <c:pt idx="362">
                  <c:v>9</c:v>
                </c:pt>
                <c:pt idx="363">
                  <c:v>15</c:v>
                </c:pt>
                <c:pt idx="364">
                  <c:v>11</c:v>
                </c:pt>
                <c:pt idx="365">
                  <c:v>13</c:v>
                </c:pt>
                <c:pt idx="366">
                  <c:v>13</c:v>
                </c:pt>
                <c:pt idx="367">
                  <c:v>7</c:v>
                </c:pt>
                <c:pt idx="368">
                  <c:v>13</c:v>
                </c:pt>
                <c:pt idx="369">
                  <c:v>6</c:v>
                </c:pt>
                <c:pt idx="370">
                  <c:v>6</c:v>
                </c:pt>
                <c:pt idx="371">
                  <c:v>6</c:v>
                </c:pt>
                <c:pt idx="372">
                  <c:v>6</c:v>
                </c:pt>
                <c:pt idx="373">
                  <c:v>6</c:v>
                </c:pt>
                <c:pt idx="374">
                  <c:v>9</c:v>
                </c:pt>
                <c:pt idx="375">
                  <c:v>6</c:v>
                </c:pt>
                <c:pt idx="376">
                  <c:v>6</c:v>
                </c:pt>
                <c:pt idx="377">
                  <c:v>6</c:v>
                </c:pt>
                <c:pt idx="378">
                  <c:v>6</c:v>
                </c:pt>
                <c:pt idx="379">
                  <c:v>6</c:v>
                </c:pt>
                <c:pt idx="380">
                  <c:v>6</c:v>
                </c:pt>
                <c:pt idx="381">
                  <c:v>0</c:v>
                </c:pt>
                <c:pt idx="382">
                  <c:v>18</c:v>
                </c:pt>
                <c:pt idx="383">
                  <c:v>7</c:v>
                </c:pt>
                <c:pt idx="384">
                  <c:v>14</c:v>
                </c:pt>
                <c:pt idx="385">
                  <c:v>14</c:v>
                </c:pt>
                <c:pt idx="386">
                  <c:v>9</c:v>
                </c:pt>
                <c:pt idx="387">
                  <c:v>16</c:v>
                </c:pt>
                <c:pt idx="388">
                  <c:v>2</c:v>
                </c:pt>
                <c:pt idx="389">
                  <c:v>2</c:v>
                </c:pt>
                <c:pt idx="390">
                  <c:v>5</c:v>
                </c:pt>
                <c:pt idx="391">
                  <c:v>5</c:v>
                </c:pt>
                <c:pt idx="392">
                  <c:v>20</c:v>
                </c:pt>
                <c:pt idx="393">
                  <c:v>20</c:v>
                </c:pt>
                <c:pt idx="394">
                  <c:v>7</c:v>
                </c:pt>
                <c:pt idx="395">
                  <c:v>7</c:v>
                </c:pt>
                <c:pt idx="396">
                  <c:v>7</c:v>
                </c:pt>
                <c:pt idx="397">
                  <c:v>14</c:v>
                </c:pt>
                <c:pt idx="398">
                  <c:v>10</c:v>
                </c:pt>
                <c:pt idx="399">
                  <c:v>7</c:v>
                </c:pt>
                <c:pt idx="400">
                  <c:v>13</c:v>
                </c:pt>
                <c:pt idx="401">
                  <c:v>11</c:v>
                </c:pt>
                <c:pt idx="402">
                  <c:v>6</c:v>
                </c:pt>
                <c:pt idx="403">
                  <c:v>6</c:v>
                </c:pt>
                <c:pt idx="404">
                  <c:v>8</c:v>
                </c:pt>
                <c:pt idx="405">
                  <c:v>7</c:v>
                </c:pt>
                <c:pt idx="406">
                  <c:v>14</c:v>
                </c:pt>
                <c:pt idx="407">
                  <c:v>14</c:v>
                </c:pt>
                <c:pt idx="408">
                  <c:v>8</c:v>
                </c:pt>
                <c:pt idx="409">
                  <c:v>8</c:v>
                </c:pt>
                <c:pt idx="410">
                  <c:v>30</c:v>
                </c:pt>
                <c:pt idx="411">
                  <c:v>30</c:v>
                </c:pt>
                <c:pt idx="412">
                  <c:v>13</c:v>
                </c:pt>
                <c:pt idx="413">
                  <c:v>9</c:v>
                </c:pt>
                <c:pt idx="414">
                  <c:v>9</c:v>
                </c:pt>
                <c:pt idx="415">
                  <c:v>7</c:v>
                </c:pt>
                <c:pt idx="416">
                  <c:v>7</c:v>
                </c:pt>
                <c:pt idx="417">
                  <c:v>9</c:v>
                </c:pt>
                <c:pt idx="418">
                  <c:v>7</c:v>
                </c:pt>
                <c:pt idx="419">
                  <c:v>7</c:v>
                </c:pt>
                <c:pt idx="420">
                  <c:v>20</c:v>
                </c:pt>
                <c:pt idx="421">
                  <c:v>13</c:v>
                </c:pt>
                <c:pt idx="422">
                  <c:v>13</c:v>
                </c:pt>
                <c:pt idx="423">
                  <c:v>11</c:v>
                </c:pt>
                <c:pt idx="424">
                  <c:v>11</c:v>
                </c:pt>
                <c:pt idx="425">
                  <c:v>11</c:v>
                </c:pt>
                <c:pt idx="426">
                  <c:v>11</c:v>
                </c:pt>
                <c:pt idx="427">
                  <c:v>18</c:v>
                </c:pt>
                <c:pt idx="428">
                  <c:v>14</c:v>
                </c:pt>
                <c:pt idx="429">
                  <c:v>19</c:v>
                </c:pt>
                <c:pt idx="430">
                  <c:v>13</c:v>
                </c:pt>
                <c:pt idx="431">
                  <c:v>5</c:v>
                </c:pt>
                <c:pt idx="432">
                  <c:v>10</c:v>
                </c:pt>
                <c:pt idx="433">
                  <c:v>9</c:v>
                </c:pt>
                <c:pt idx="434">
                  <c:v>8</c:v>
                </c:pt>
                <c:pt idx="435">
                  <c:v>8</c:v>
                </c:pt>
                <c:pt idx="436">
                  <c:v>12</c:v>
                </c:pt>
                <c:pt idx="437">
                  <c:v>11</c:v>
                </c:pt>
                <c:pt idx="438">
                  <c:v>11</c:v>
                </c:pt>
                <c:pt idx="439">
                  <c:v>40</c:v>
                </c:pt>
                <c:pt idx="440">
                  <c:v>40</c:v>
                </c:pt>
                <c:pt idx="441">
                  <c:v>40</c:v>
                </c:pt>
                <c:pt idx="442">
                  <c:v>40</c:v>
                </c:pt>
                <c:pt idx="443">
                  <c:v>40</c:v>
                </c:pt>
                <c:pt idx="444">
                  <c:v>36</c:v>
                </c:pt>
                <c:pt idx="445">
                  <c:v>16</c:v>
                </c:pt>
                <c:pt idx="446">
                  <c:v>17</c:v>
                </c:pt>
                <c:pt idx="447">
                  <c:v>14</c:v>
                </c:pt>
                <c:pt idx="448">
                  <c:v>21</c:v>
                </c:pt>
                <c:pt idx="449">
                  <c:v>18</c:v>
                </c:pt>
                <c:pt idx="450">
                  <c:v>17</c:v>
                </c:pt>
                <c:pt idx="451">
                  <c:v>5</c:v>
                </c:pt>
                <c:pt idx="452">
                  <c:v>5</c:v>
                </c:pt>
                <c:pt idx="453">
                  <c:v>21</c:v>
                </c:pt>
                <c:pt idx="454">
                  <c:v>18</c:v>
                </c:pt>
                <c:pt idx="455">
                  <c:v>18</c:v>
                </c:pt>
                <c:pt idx="456">
                  <c:v>12</c:v>
                </c:pt>
                <c:pt idx="457">
                  <c:v>14</c:v>
                </c:pt>
                <c:pt idx="458">
                  <c:v>12</c:v>
                </c:pt>
                <c:pt idx="459">
                  <c:v>8</c:v>
                </c:pt>
                <c:pt idx="460">
                  <c:v>8</c:v>
                </c:pt>
                <c:pt idx="461">
                  <c:v>0</c:v>
                </c:pt>
                <c:pt idx="462">
                  <c:v>14</c:v>
                </c:pt>
                <c:pt idx="463">
                  <c:v>10</c:v>
                </c:pt>
                <c:pt idx="464">
                  <c:v>15</c:v>
                </c:pt>
                <c:pt idx="465">
                  <c:v>15</c:v>
                </c:pt>
                <c:pt idx="466">
                  <c:v>15</c:v>
                </c:pt>
                <c:pt idx="467">
                  <c:v>9</c:v>
                </c:pt>
                <c:pt idx="468">
                  <c:v>7</c:v>
                </c:pt>
                <c:pt idx="469">
                  <c:v>10</c:v>
                </c:pt>
                <c:pt idx="470">
                  <c:v>6</c:v>
                </c:pt>
                <c:pt idx="471">
                  <c:v>9</c:v>
                </c:pt>
                <c:pt idx="472">
                  <c:v>10</c:v>
                </c:pt>
                <c:pt idx="473">
                  <c:v>82</c:v>
                </c:pt>
                <c:pt idx="474">
                  <c:v>12</c:v>
                </c:pt>
                <c:pt idx="475">
                  <c:v>10</c:v>
                </c:pt>
                <c:pt idx="476">
                  <c:v>5</c:v>
                </c:pt>
                <c:pt idx="477">
                  <c:v>5</c:v>
                </c:pt>
                <c:pt idx="478">
                  <c:v>5</c:v>
                </c:pt>
                <c:pt idx="479">
                  <c:v>5</c:v>
                </c:pt>
                <c:pt idx="480">
                  <c:v>5</c:v>
                </c:pt>
                <c:pt idx="481">
                  <c:v>5</c:v>
                </c:pt>
                <c:pt idx="482">
                  <c:v>5</c:v>
                </c:pt>
                <c:pt idx="483">
                  <c:v>16</c:v>
                </c:pt>
                <c:pt idx="484">
                  <c:v>16</c:v>
                </c:pt>
                <c:pt idx="485">
                  <c:v>16</c:v>
                </c:pt>
                <c:pt idx="486">
                  <c:v>10</c:v>
                </c:pt>
                <c:pt idx="487">
                  <c:v>10</c:v>
                </c:pt>
                <c:pt idx="488">
                  <c:v>10</c:v>
                </c:pt>
                <c:pt idx="489">
                  <c:v>10</c:v>
                </c:pt>
                <c:pt idx="490">
                  <c:v>4</c:v>
                </c:pt>
                <c:pt idx="491">
                  <c:v>4</c:v>
                </c:pt>
                <c:pt idx="492">
                  <c:v>16</c:v>
                </c:pt>
                <c:pt idx="493">
                  <c:v>15</c:v>
                </c:pt>
                <c:pt idx="494">
                  <c:v>19</c:v>
                </c:pt>
                <c:pt idx="495">
                  <c:v>19</c:v>
                </c:pt>
                <c:pt idx="496">
                  <c:v>9</c:v>
                </c:pt>
                <c:pt idx="497">
                  <c:v>23</c:v>
                </c:pt>
                <c:pt idx="498">
                  <c:v>11</c:v>
                </c:pt>
                <c:pt idx="499">
                  <c:v>11</c:v>
                </c:pt>
                <c:pt idx="500">
                  <c:v>23</c:v>
                </c:pt>
                <c:pt idx="501">
                  <c:v>23</c:v>
                </c:pt>
                <c:pt idx="502">
                  <c:v>23</c:v>
                </c:pt>
                <c:pt idx="503">
                  <c:v>23</c:v>
                </c:pt>
                <c:pt idx="504">
                  <c:v>12</c:v>
                </c:pt>
                <c:pt idx="505">
                  <c:v>0</c:v>
                </c:pt>
                <c:pt idx="506">
                  <c:v>0</c:v>
                </c:pt>
                <c:pt idx="507">
                  <c:v>0</c:v>
                </c:pt>
                <c:pt idx="508">
                  <c:v>0</c:v>
                </c:pt>
                <c:pt idx="509">
                  <c:v>7</c:v>
                </c:pt>
                <c:pt idx="510">
                  <c:v>21</c:v>
                </c:pt>
                <c:pt idx="511">
                  <c:v>21</c:v>
                </c:pt>
                <c:pt idx="512">
                  <c:v>15</c:v>
                </c:pt>
                <c:pt idx="513">
                  <c:v>9</c:v>
                </c:pt>
                <c:pt idx="514">
                  <c:v>5</c:v>
                </c:pt>
                <c:pt idx="515">
                  <c:v>16</c:v>
                </c:pt>
                <c:pt idx="516">
                  <c:v>16</c:v>
                </c:pt>
                <c:pt idx="517">
                  <c:v>16</c:v>
                </c:pt>
                <c:pt idx="518">
                  <c:v>13</c:v>
                </c:pt>
                <c:pt idx="519">
                  <c:v>16</c:v>
                </c:pt>
                <c:pt idx="520">
                  <c:v>20</c:v>
                </c:pt>
                <c:pt idx="521">
                  <c:v>11</c:v>
                </c:pt>
                <c:pt idx="522">
                  <c:v>4</c:v>
                </c:pt>
                <c:pt idx="523">
                  <c:v>9</c:v>
                </c:pt>
                <c:pt idx="524">
                  <c:v>42</c:v>
                </c:pt>
                <c:pt idx="525">
                  <c:v>12</c:v>
                </c:pt>
                <c:pt idx="526">
                  <c:v>18</c:v>
                </c:pt>
                <c:pt idx="527">
                  <c:v>17</c:v>
                </c:pt>
                <c:pt idx="528">
                  <c:v>14</c:v>
                </c:pt>
                <c:pt idx="529">
                  <c:v>13</c:v>
                </c:pt>
                <c:pt idx="530">
                  <c:v>9</c:v>
                </c:pt>
                <c:pt idx="531">
                  <c:v>6</c:v>
                </c:pt>
                <c:pt idx="532">
                  <c:v>6</c:v>
                </c:pt>
                <c:pt idx="533">
                  <c:v>14</c:v>
                </c:pt>
                <c:pt idx="534">
                  <c:v>15</c:v>
                </c:pt>
                <c:pt idx="535">
                  <c:v>13</c:v>
                </c:pt>
                <c:pt idx="536">
                  <c:v>12</c:v>
                </c:pt>
                <c:pt idx="537">
                  <c:v>18</c:v>
                </c:pt>
                <c:pt idx="538">
                  <c:v>15</c:v>
                </c:pt>
                <c:pt idx="539">
                  <c:v>11</c:v>
                </c:pt>
                <c:pt idx="540">
                  <c:v>9</c:v>
                </c:pt>
                <c:pt idx="541">
                  <c:v>9</c:v>
                </c:pt>
                <c:pt idx="542">
                  <c:v>9</c:v>
                </c:pt>
                <c:pt idx="543">
                  <c:v>9</c:v>
                </c:pt>
                <c:pt idx="544">
                  <c:v>9</c:v>
                </c:pt>
                <c:pt idx="545">
                  <c:v>8</c:v>
                </c:pt>
                <c:pt idx="546">
                  <c:v>8</c:v>
                </c:pt>
                <c:pt idx="547">
                  <c:v>8</c:v>
                </c:pt>
                <c:pt idx="548">
                  <c:v>8</c:v>
                </c:pt>
                <c:pt idx="549">
                  <c:v>8</c:v>
                </c:pt>
              </c:numCache>
            </c:numRef>
          </c:yVal>
          <c:smooth val="0"/>
          <c:extLst>
            <c:ext xmlns:c16="http://schemas.microsoft.com/office/drawing/2014/chart" uri="{C3380CC4-5D6E-409C-BE32-E72D297353CC}">
              <c16:uniqueId val="{00000000-F7CE-463A-81EB-C6E8C0882884}"/>
            </c:ext>
          </c:extLst>
        </c:ser>
        <c:dLbls>
          <c:showLegendKey val="0"/>
          <c:showVal val="0"/>
          <c:showCatName val="0"/>
          <c:showSerName val="0"/>
          <c:showPercent val="0"/>
          <c:showBubbleSize val="0"/>
        </c:dLbls>
        <c:axId val="226316783"/>
        <c:axId val="226323023"/>
      </c:scatterChart>
      <c:valAx>
        <c:axId val="226316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323023"/>
        <c:crosses val="autoZero"/>
        <c:crossBetween val="midCat"/>
      </c:valAx>
      <c:valAx>
        <c:axId val="226323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31678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4</xdr:row>
      <xdr:rowOff>28575</xdr:rowOff>
    </xdr:from>
    <xdr:to>
      <xdr:col>0</xdr:col>
      <xdr:colOff>1828800</xdr:colOff>
      <xdr:row>17</xdr:row>
      <xdr:rowOff>76200</xdr:rowOff>
    </xdr:to>
    <mc:AlternateContent xmlns:mc="http://schemas.openxmlformats.org/markup-compatibility/2006">
      <mc:Choice xmlns:sle15="http://schemas.microsoft.com/office/drawing/2012/slicer" Requires="sle15">
        <xdr:graphicFrame macro="">
          <xdr:nvGraphicFramePr>
            <xdr:cNvPr id="15" name="Genre 1">
              <a:extLst>
                <a:ext uri="{FF2B5EF4-FFF2-40B4-BE49-F238E27FC236}">
                  <a16:creationId xmlns:a16="http://schemas.microsoft.com/office/drawing/2014/main" id="{68EBD230-64FB-4058-8B07-C7C30C86F536}"/>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dr:sp macro="" textlink="">
          <xdr:nvSpPr>
            <xdr:cNvPr id="0" name=""/>
            <xdr:cNvSpPr>
              <a:spLocks noTextEdit="1"/>
            </xdr:cNvSpPr>
          </xdr:nvSpPr>
          <xdr:spPr>
            <a:xfrm>
              <a:off x="0" y="790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11</xdr:col>
      <xdr:colOff>371475</xdr:colOff>
      <xdr:row>1</xdr:row>
      <xdr:rowOff>166687</xdr:rowOff>
    </xdr:from>
    <xdr:to>
      <xdr:col>19</xdr:col>
      <xdr:colOff>66675</xdr:colOff>
      <xdr:row>16</xdr:row>
      <xdr:rowOff>52387</xdr:rowOff>
    </xdr:to>
    <xdr:graphicFrame macro="">
      <xdr:nvGraphicFramePr>
        <xdr:cNvPr id="2" name="Chart 1">
          <a:extLst>
            <a:ext uri="{FF2B5EF4-FFF2-40B4-BE49-F238E27FC236}">
              <a16:creationId xmlns:a16="http://schemas.microsoft.com/office/drawing/2014/main" id="{8C0C0F6C-1E33-4027-93CA-1A25C7EED5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466725</xdr:colOff>
      <xdr:row>19</xdr:row>
      <xdr:rowOff>157162</xdr:rowOff>
    </xdr:from>
    <xdr:to>
      <xdr:col>19</xdr:col>
      <xdr:colOff>161925</xdr:colOff>
      <xdr:row>34</xdr:row>
      <xdr:rowOff>42862</xdr:rowOff>
    </xdr:to>
    <xdr:graphicFrame macro="">
      <xdr:nvGraphicFramePr>
        <xdr:cNvPr id="3" name="Chart 2">
          <a:extLst>
            <a:ext uri="{FF2B5EF4-FFF2-40B4-BE49-F238E27FC236}">
              <a16:creationId xmlns:a16="http://schemas.microsoft.com/office/drawing/2014/main" id="{ADCE5BB2-D5E5-4A2A-87BD-464AD84C5B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495300</xdr:colOff>
      <xdr:row>36</xdr:row>
      <xdr:rowOff>14287</xdr:rowOff>
    </xdr:from>
    <xdr:to>
      <xdr:col>19</xdr:col>
      <xdr:colOff>190500</xdr:colOff>
      <xdr:row>50</xdr:row>
      <xdr:rowOff>90487</xdr:rowOff>
    </xdr:to>
    <xdr:graphicFrame macro="">
      <xdr:nvGraphicFramePr>
        <xdr:cNvPr id="4" name="Chart 3">
          <a:extLst>
            <a:ext uri="{FF2B5EF4-FFF2-40B4-BE49-F238E27FC236}">
              <a16:creationId xmlns:a16="http://schemas.microsoft.com/office/drawing/2014/main" id="{68FC45A7-246B-4C2D-A070-460A20B95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590550</xdr:colOff>
      <xdr:row>51</xdr:row>
      <xdr:rowOff>128587</xdr:rowOff>
    </xdr:from>
    <xdr:to>
      <xdr:col>19</xdr:col>
      <xdr:colOff>285750</xdr:colOff>
      <xdr:row>66</xdr:row>
      <xdr:rowOff>14287</xdr:rowOff>
    </xdr:to>
    <xdr:graphicFrame macro="">
      <xdr:nvGraphicFramePr>
        <xdr:cNvPr id="5" name="Chart 4">
          <a:extLst>
            <a:ext uri="{FF2B5EF4-FFF2-40B4-BE49-F238E27FC236}">
              <a16:creationId xmlns:a16="http://schemas.microsoft.com/office/drawing/2014/main" id="{F477278C-C62D-4928-898F-88F299CECA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0</xdr:colOff>
      <xdr:row>8</xdr:row>
      <xdr:rowOff>161925</xdr:rowOff>
    </xdr:from>
    <xdr:to>
      <xdr:col>0</xdr:col>
      <xdr:colOff>1828800</xdr:colOff>
      <xdr:row>22</xdr:row>
      <xdr:rowOff>19050</xdr:rowOff>
    </xdr:to>
    <mc:AlternateContent xmlns:mc="http://schemas.openxmlformats.org/markup-compatibility/2006">
      <mc:Choice xmlns:sle15="http://schemas.microsoft.com/office/drawing/2012/slicer" Requires="sle15">
        <xdr:graphicFrame macro="">
          <xdr:nvGraphicFramePr>
            <xdr:cNvPr id="14" name="Year 1">
              <a:extLst>
                <a:ext uri="{FF2B5EF4-FFF2-40B4-BE49-F238E27FC236}">
                  <a16:creationId xmlns:a16="http://schemas.microsoft.com/office/drawing/2014/main" id="{8CE5E368-3556-4769-BB35-CF455571309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0" y="1685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21.336625115742" createdVersion="7" refreshedVersion="7" minRefreshableVersion="3" recordCount="550" xr:uid="{E30AC49A-B3EE-4F29-81B5-7DC86D6AD907}">
  <cacheSource type="worksheet">
    <worksheetSource ref="A1:G551" sheet="Task 3 visualisation"/>
  </cacheSource>
  <cacheFields count="7">
    <cacheField name="Name" numFmtId="0">
      <sharedItems/>
    </cacheField>
    <cacheField name="Author" numFmtId="0">
      <sharedItems/>
    </cacheField>
    <cacheField name="User Rating" numFmtId="0">
      <sharedItems containsSemiMixedTypes="0" containsString="0" containsNumber="1" minValue="3.3" maxValue="4.9000000000000004"/>
    </cacheField>
    <cacheField name="Reviews" numFmtId="0">
      <sharedItems containsSemiMixedTypes="0" containsString="0" containsNumber="1" containsInteger="1" minValue="37" maxValue="87841"/>
    </cacheField>
    <cacheField name="Price" numFmtId="0">
      <sharedItems containsSemiMixedTypes="0" containsString="0" containsNumber="1" containsInteger="1" minValue="0" maxValue="105"/>
    </cacheField>
    <cacheField name="Year" numFmtId="0">
      <sharedItems containsSemiMixedTypes="0" containsString="0" containsNumber="1" containsInteger="1" minValue="2009" maxValue="2019"/>
    </cacheField>
    <cacheField name="Genre" numFmtId="0">
      <sharedItems count="2">
        <s v="Non Fiction"/>
        <s v="Fictio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0">
  <r>
    <s v="10-Day Green Smoothie Cleanse"/>
    <s v="JJ Smith"/>
    <n v="4.7"/>
    <n v="17350"/>
    <n v="8"/>
    <n v="2016"/>
    <x v="0"/>
  </r>
  <r>
    <s v=" A Novel"/>
    <s v="Stephen King"/>
    <n v="4.5999999999999996"/>
    <n v="2052"/>
    <n v="22"/>
    <n v="2011"/>
    <x v="1"/>
  </r>
  <r>
    <s v="12 Rules for Life: An Antidote to Chaos"/>
    <s v="Jordan B. Peterson"/>
    <n v="4.7"/>
    <n v="18979"/>
    <n v="15"/>
    <n v="2018"/>
    <x v="0"/>
  </r>
  <r>
    <s v="1984 (Signet Classics)"/>
    <s v="George Orwell"/>
    <n v="4.7"/>
    <n v="21424"/>
    <n v="6"/>
    <n v="2017"/>
    <x v="1"/>
  </r>
  <r>
    <s v="5,000 Awesome Facts (About Everything!) (National Geographic Kids)"/>
    <s v="National Geographic Kids"/>
    <n v="4.8"/>
    <n v="7665"/>
    <n v="12"/>
    <n v="2019"/>
    <x v="0"/>
  </r>
  <r>
    <s v="A Dance with Dragons (A Song of Ice and Fire)"/>
    <s v="George R. R. Martin"/>
    <n v="4.4000000000000004"/>
    <n v="12643"/>
    <n v="11"/>
    <n v="2011"/>
    <x v="1"/>
  </r>
  <r>
    <s v="A Game of Thrones / A Clash of Kings / A Storm of Swords / A Feast of Crows / A Dance with Dragons"/>
    <s v="George R. R. Martin"/>
    <n v="4.7"/>
    <n v="19735"/>
    <n v="30"/>
    <n v="2014"/>
    <x v="1"/>
  </r>
  <r>
    <s v="A Gentleman in Moscow: A Novel"/>
    <s v="Amor Towles"/>
    <n v="4.7"/>
    <n v="19699"/>
    <n v="15"/>
    <n v="2017"/>
    <x v="1"/>
  </r>
  <r>
    <s v="A Higher Loyalty: Truth, Lies, and Leadership"/>
    <s v="James Comey"/>
    <n v="4.7"/>
    <n v="5983"/>
    <n v="3"/>
    <n v="2018"/>
    <x v="0"/>
  </r>
  <r>
    <s v="A Man Called Ove: A Novel"/>
    <s v="Fredrik Backman"/>
    <n v="4.5999999999999996"/>
    <n v="23848"/>
    <n v="8"/>
    <n v="2016"/>
    <x v="1"/>
  </r>
  <r>
    <s v="A Man Called Ove: A Novel"/>
    <s v="Fredrik Backman"/>
    <n v="4.5999999999999996"/>
    <n v="23848"/>
    <n v="8"/>
    <n v="2017"/>
    <x v="1"/>
  </r>
  <r>
    <s v="A Patriot's History of the United States: From Columbus's Great Discovery to the War on Terror"/>
    <s v="Larry Schweikart"/>
    <n v="4.5999999999999996"/>
    <n v="460"/>
    <n v="2"/>
    <n v="2010"/>
    <x v="0"/>
  </r>
  <r>
    <s v="A Stolen Life: A Memoir"/>
    <s v="Jaycee Dugard"/>
    <n v="4.5999999999999996"/>
    <n v="4149"/>
    <n v="32"/>
    <n v="2011"/>
    <x v="0"/>
  </r>
  <r>
    <s v="A Wrinkle in Time (Time Quintet)"/>
    <s v="Madeleine L'Engle"/>
    <n v="4.5"/>
    <n v="5153"/>
    <n v="5"/>
    <n v="2018"/>
    <x v="1"/>
  </r>
  <r>
    <s v="Act Like a Lady, Think Like a Man: What Men Really Think About Love, Relationships, Intimacy, and Commitment"/>
    <s v="Steve Harvey"/>
    <n v="4.5999999999999996"/>
    <n v="5013"/>
    <n v="17"/>
    <n v="2009"/>
    <x v="0"/>
  </r>
  <r>
    <s v="Adult Coloring Book Designs: Stress Relief Coloring Book: Garden Designs, Mandalas, Animals, and Paisley Patterns"/>
    <s v="Adult Coloring Book Designs"/>
    <n v="4.5"/>
    <n v="2313"/>
    <n v="4"/>
    <n v="2016"/>
    <x v="0"/>
  </r>
  <r>
    <s v="Adult Coloring Book: Stress Relieving Animal Designs"/>
    <s v="Blue Star Coloring"/>
    <n v="4.5999999999999996"/>
    <n v="2925"/>
    <n v="6"/>
    <n v="2015"/>
    <x v="0"/>
  </r>
  <r>
    <s v="Adult Coloring Book: Stress Relieving Patterns"/>
    <s v="Blue Star Coloring"/>
    <n v="4.4000000000000004"/>
    <n v="2951"/>
    <n v="6"/>
    <n v="2015"/>
    <x v="0"/>
  </r>
  <r>
    <s v="Adult Coloring Books: A Coloring Book for Adults Featuring Mandalas and Henna Inspired Flowers, Animals, and Paisleyâ€¦"/>
    <s v="Coloring Books for Adults"/>
    <n v="4.5"/>
    <n v="2426"/>
    <n v="8"/>
    <n v="2015"/>
    <x v="0"/>
  </r>
  <r>
    <s v="Alexander Hamilton"/>
    <s v="Ron Chernow"/>
    <n v="4.8"/>
    <n v="9198"/>
    <n v="13"/>
    <n v="2016"/>
    <x v="0"/>
  </r>
  <r>
    <s v="All the Light We Cannot See"/>
    <s v="Anthony Doerr"/>
    <n v="4.5999999999999996"/>
    <n v="36348"/>
    <n v="14"/>
    <n v="2014"/>
    <x v="1"/>
  </r>
  <r>
    <s v="All the Light We Cannot See"/>
    <s v="Anthony Doerr"/>
    <n v="4.5999999999999996"/>
    <n v="36348"/>
    <n v="14"/>
    <n v="2015"/>
    <x v="1"/>
  </r>
  <r>
    <s v="Allegiant"/>
    <s v="Veronica Roth"/>
    <n v="3.9"/>
    <n v="6310"/>
    <n v="13"/>
    <n v="2013"/>
    <x v="1"/>
  </r>
  <r>
    <s v="American Sniper: The Autobiography of the Most Lethal Sniper in U.S. Military History"/>
    <s v="Chris Kyle"/>
    <n v="4.5999999999999996"/>
    <n v="15921"/>
    <n v="9"/>
    <n v="2015"/>
    <x v="0"/>
  </r>
  <r>
    <s v="And the Mountains Echoed"/>
    <s v="Khaled Hosseini"/>
    <n v="4.3"/>
    <n v="12159"/>
    <n v="13"/>
    <n v="2013"/>
    <x v="1"/>
  </r>
  <r>
    <s v="Arguing with Idiots: How to Stop Small Minds and Big Government"/>
    <s v="Glenn Beck"/>
    <n v="4.5999999999999996"/>
    <n v="798"/>
    <n v="5"/>
    <n v="2009"/>
    <x v="0"/>
  </r>
  <r>
    <s v="Astrophysics for People in a Hurry"/>
    <s v="Neil deGrasse Tyson"/>
    <n v="4.7"/>
    <n v="9374"/>
    <n v="9"/>
    <n v="2017"/>
    <x v="0"/>
  </r>
  <r>
    <s v="Autobiography of Mark Twain, Vol. 1"/>
    <s v="Mark Twain"/>
    <n v="4.2"/>
    <n v="491"/>
    <n v="14"/>
    <n v="2010"/>
    <x v="0"/>
  </r>
  <r>
    <s v="Baby Touch and Feel: Animals"/>
    <s v="DK"/>
    <n v="4.5999999999999996"/>
    <n v="5360"/>
    <n v="5"/>
    <n v="2015"/>
    <x v="0"/>
  </r>
  <r>
    <s v="Balance (Angie's Extreme Stress Menders)"/>
    <s v="Angie Grace"/>
    <n v="4.5999999999999996"/>
    <n v="1909"/>
    <n v="11"/>
    <n v="2015"/>
    <x v="0"/>
  </r>
  <r>
    <s v="Barefoot Contessa Foolproof: Recipes You Can Trust: A Cookbook"/>
    <s v="Ina Garten"/>
    <n v="4.8"/>
    <n v="1296"/>
    <n v="24"/>
    <n v="2012"/>
    <x v="0"/>
  </r>
  <r>
    <s v="Barefoot Contessa, How Easy Is That?: Fabulous Recipes &amp; Easy Tips"/>
    <s v="Ina Garten"/>
    <n v="4.7"/>
    <n v="615"/>
    <n v="21"/>
    <n v="2010"/>
    <x v="0"/>
  </r>
  <r>
    <s v="Becoming"/>
    <s v="Michelle Obama"/>
    <n v="4.8"/>
    <n v="61133"/>
    <n v="11"/>
    <n v="2018"/>
    <x v="0"/>
  </r>
  <r>
    <s v="Becoming"/>
    <s v="Michelle Obama"/>
    <n v="4.8"/>
    <n v="61133"/>
    <n v="11"/>
    <n v="2019"/>
    <x v="0"/>
  </r>
  <r>
    <s v="Being Mortal: Medicine and What Matters in the End"/>
    <s v="Atul Gawande"/>
    <n v="4.8"/>
    <n v="11113"/>
    <n v="15"/>
    <n v="2015"/>
    <x v="0"/>
  </r>
  <r>
    <s v="Between the World and Me"/>
    <s v="Ta-Nehisi Coates"/>
    <n v="4.7"/>
    <n v="10070"/>
    <n v="13"/>
    <n v="2015"/>
    <x v="0"/>
  </r>
  <r>
    <s v="Between the World and Me"/>
    <s v="Ta-Nehisi Coates"/>
    <n v="4.7"/>
    <n v="10070"/>
    <n v="13"/>
    <n v="2016"/>
    <x v="0"/>
  </r>
  <r>
    <s v="Born to Run"/>
    <s v="Bruce Springsteen"/>
    <n v="4.7"/>
    <n v="3729"/>
    <n v="18"/>
    <n v="2016"/>
    <x v="0"/>
  </r>
  <r>
    <s v="Breaking Dawn (The Twilight Saga, Book 4)"/>
    <s v="Stephenie Meyer"/>
    <n v="4.5999999999999996"/>
    <n v="9769"/>
    <n v="13"/>
    <n v="2009"/>
    <x v="1"/>
  </r>
  <r>
    <s v="Broke: The Plan to Restore Our Trust, Truth and Treasure"/>
    <s v="Glenn Beck"/>
    <n v="4.5"/>
    <n v="471"/>
    <n v="8"/>
    <n v="2010"/>
    <x v="0"/>
  </r>
  <r>
    <s v="Brown Bear, Brown Bear, What Do You See?"/>
    <s v="Bill Martin Jr."/>
    <n v="4.9000000000000004"/>
    <n v="14344"/>
    <n v="5"/>
    <n v="2017"/>
    <x v="1"/>
  </r>
  <r>
    <s v="Brown Bear, Brown Bear, What Do You See?"/>
    <s v="Bill Martin Jr."/>
    <n v="4.9000000000000004"/>
    <n v="14344"/>
    <n v="5"/>
    <n v="2019"/>
    <x v="1"/>
  </r>
  <r>
    <s v="Cabin Fever (Diary of a Wimpy Kid, Book 6)"/>
    <s v="Jeff Kinney"/>
    <n v="4.8"/>
    <n v="4505"/>
    <n v="0"/>
    <n v="2011"/>
    <x v="1"/>
  </r>
  <r>
    <s v="Calm the F*ck Down: An Irreverent Adult Coloring Book (Irreverent Book Series)"/>
    <s v="Sasha O'Hara"/>
    <n v="4.5999999999999996"/>
    <n v="10369"/>
    <n v="4"/>
    <n v="2016"/>
    <x v="0"/>
  </r>
  <r>
    <s v="Can't Hurt Me: Master Your Mind and Defy the Odds"/>
    <s v="David Goggins"/>
    <n v="4.8"/>
    <n v="16244"/>
    <n v="18"/>
    <n v="2019"/>
    <x v="0"/>
  </r>
  <r>
    <s v="Capital in the Twenty First Century"/>
    <s v="Thomas Piketty"/>
    <n v="4.5"/>
    <n v="2884"/>
    <n v="28"/>
    <n v="2014"/>
    <x v="0"/>
  </r>
  <r>
    <s v="Catching Fire (The Hunger Games)"/>
    <s v="Suzanne Collins"/>
    <n v="4.7"/>
    <n v="22614"/>
    <n v="11"/>
    <n v="2010"/>
    <x v="1"/>
  </r>
  <r>
    <s v="Catching Fire (The Hunger Games)"/>
    <s v="Suzanne Collins"/>
    <n v="4.7"/>
    <n v="22614"/>
    <n v="11"/>
    <n v="2011"/>
    <x v="1"/>
  </r>
  <r>
    <s v="Catching Fire (The Hunger Games)"/>
    <s v="Suzanne Collins"/>
    <n v="4.7"/>
    <n v="22614"/>
    <n v="11"/>
    <n v="2012"/>
    <x v="1"/>
  </r>
  <r>
    <s v="Cravings: Recipes for All the Food You Want to Eat: A Cookbook"/>
    <s v="Chrissy Teigen"/>
    <n v="4.7"/>
    <n v="4761"/>
    <n v="16"/>
    <n v="2016"/>
    <x v="0"/>
  </r>
  <r>
    <s v="Crazy Love: Overwhelmed by a Relentless God"/>
    <s v="Francis Chan"/>
    <n v="4.7"/>
    <n v="1542"/>
    <n v="14"/>
    <n v="2009"/>
    <x v="0"/>
  </r>
  <r>
    <s v="Crazy Love: Overwhelmed by a Relentless God"/>
    <s v="Francis Chan"/>
    <n v="4.7"/>
    <n v="1542"/>
    <n v="14"/>
    <n v="2010"/>
    <x v="0"/>
  </r>
  <r>
    <s v="Crazy Love: Overwhelmed by a Relentless God"/>
    <s v="Francis Chan"/>
    <n v="4.7"/>
    <n v="1542"/>
    <n v="14"/>
    <n v="2011"/>
    <x v="0"/>
  </r>
  <r>
    <s v="Crazy Rich Asians (Crazy Rich Asians Trilogy)"/>
    <s v="Kevin Kwan"/>
    <n v="4.3"/>
    <n v="6143"/>
    <n v="8"/>
    <n v="2018"/>
    <x v="1"/>
  </r>
  <r>
    <s v="Creative Haven Creative Cats Coloring Book (Adult Coloring)"/>
    <s v="Marjorie Sarnat"/>
    <n v="4.8"/>
    <n v="4022"/>
    <n v="4"/>
    <n v="2015"/>
    <x v="0"/>
  </r>
  <r>
    <s v="Creative Haven Owls Coloring Book (Adult Coloring)"/>
    <s v="Marjorie Sarnat"/>
    <n v="4.8"/>
    <n v="3871"/>
    <n v="5"/>
    <n v="2015"/>
    <x v="0"/>
  </r>
  <r>
    <s v="Cutting for Stone"/>
    <s v="Abraham Verghese"/>
    <n v="4.5999999999999996"/>
    <n v="4866"/>
    <n v="11"/>
    <n v="2010"/>
    <x v="1"/>
  </r>
  <r>
    <s v="Cutting for Stone"/>
    <s v="Abraham Verghese"/>
    <n v="4.5999999999999996"/>
    <n v="4866"/>
    <n v="11"/>
    <n v="2011"/>
    <x v="1"/>
  </r>
  <r>
    <s v="Daring Greatly: How the Courage to Be Vulnerable Transforms the Way We Live, Love, Parent, and Lead"/>
    <s v="BreneÌ Brown"/>
    <n v="4.8"/>
    <n v="1329"/>
    <n v="10"/>
    <n v="2013"/>
    <x v="0"/>
  </r>
  <r>
    <s v="David and Goliath: Underdogs, Misfits, and the Art of Battling Giants"/>
    <s v="Malcolm Gladwell"/>
    <n v="4.4000000000000004"/>
    <n v="4642"/>
    <n v="13"/>
    <n v="2013"/>
    <x v="0"/>
  </r>
  <r>
    <s v="Dead And Gone: A Sookie Stackhouse Novel (Sookie Stackhouse/True Blood)"/>
    <s v="Charlaine Harris"/>
    <n v="4.5999999999999996"/>
    <n v="1541"/>
    <n v="4"/>
    <n v="2009"/>
    <x v="1"/>
  </r>
  <r>
    <s v="Dead in the Family (Sookie Stackhouse/True Blood, Book 10)"/>
    <s v="Charlaine Harris"/>
    <n v="4.3"/>
    <n v="1924"/>
    <n v="8"/>
    <n v="2010"/>
    <x v="1"/>
  </r>
  <r>
    <s v="Dead Reckoning (Sookie Stackhouse/True Blood, Book 11)"/>
    <s v="Charlaine Harris"/>
    <n v="4.2"/>
    <n v="2094"/>
    <n v="4"/>
    <n v="2011"/>
    <x v="1"/>
  </r>
  <r>
    <s v="Dear Zoo: A Lift-the-Flap Book"/>
    <s v="Rod Campbell"/>
    <n v="4.8"/>
    <n v="10922"/>
    <n v="5"/>
    <n v="2015"/>
    <x v="1"/>
  </r>
  <r>
    <s v="Dear Zoo: A Lift-the-Flap Book"/>
    <s v="Rod Campbell"/>
    <n v="4.8"/>
    <n v="10922"/>
    <n v="5"/>
    <n v="2016"/>
    <x v="1"/>
  </r>
  <r>
    <s v="Dear Zoo: A Lift-the-Flap Book"/>
    <s v="Rod Campbell"/>
    <n v="4.8"/>
    <n v="10922"/>
    <n v="5"/>
    <n v="2017"/>
    <x v="1"/>
  </r>
  <r>
    <s v="Dear Zoo: A Lift-the-Flap Book"/>
    <s v="Rod Campbell"/>
    <n v="4.8"/>
    <n v="10922"/>
    <n v="5"/>
    <n v="2018"/>
    <x v="1"/>
  </r>
  <r>
    <s v="Decision Points"/>
    <s v="George W. Bush"/>
    <n v="4.5999999999999996"/>
    <n v="2137"/>
    <n v="17"/>
    <n v="2010"/>
    <x v="0"/>
  </r>
  <r>
    <s v="Delivering Happiness: A Path to Profits, Passion, and Purpose"/>
    <s v="Tony Hsieh"/>
    <n v="4.5999999999999996"/>
    <n v="1651"/>
    <n v="15"/>
    <n v="2010"/>
    <x v="0"/>
  </r>
  <r>
    <s v="Diagnostic and Statistical Manual of Mental Disorders, 5th Edition: DSM-5"/>
    <s v="American Psychiatric Association"/>
    <n v="4.5"/>
    <n v="6679"/>
    <n v="105"/>
    <n v="2013"/>
    <x v="0"/>
  </r>
  <r>
    <s v="Diagnostic and Statistical Manual of Mental Disorders, 5th Edition: DSM-5"/>
    <s v="American Psychiatric Association"/>
    <n v="4.5"/>
    <n v="6679"/>
    <n v="105"/>
    <n v="2014"/>
    <x v="0"/>
  </r>
  <r>
    <s v="Diary of a Wimpy Kid: Hard Luck, Book 8"/>
    <s v="Jeff Kinney"/>
    <n v="4.8"/>
    <n v="6812"/>
    <n v="0"/>
    <n v="2013"/>
    <x v="1"/>
  </r>
  <r>
    <s v="Diary of a Wimpy Kid: The Last Straw (Book 3)"/>
    <s v="Jeff Kinney"/>
    <n v="4.8"/>
    <n v="3837"/>
    <n v="15"/>
    <n v="2009"/>
    <x v="1"/>
  </r>
  <r>
    <s v="Diary of a Wimpy Kid: The Long Haul"/>
    <s v="Jeff Kinney"/>
    <n v="4.8"/>
    <n v="6540"/>
    <n v="22"/>
    <n v="2014"/>
    <x v="1"/>
  </r>
  <r>
    <s v="Difficult Riddles For Smart Kids: 300 Difficult Riddles And Brain Teasers Families Will Love (Books for Smart Kids)"/>
    <s v="M Prefontaine"/>
    <n v="4.5999999999999996"/>
    <n v="7955"/>
    <n v="5"/>
    <n v="2019"/>
    <x v="0"/>
  </r>
  <r>
    <s v="Divergent"/>
    <s v="Veronica Roth"/>
    <n v="4.5999999999999996"/>
    <n v="27098"/>
    <n v="15"/>
    <n v="2013"/>
    <x v="1"/>
  </r>
  <r>
    <s v="Divergent"/>
    <s v="Veronica Roth"/>
    <n v="4.5999999999999996"/>
    <n v="27098"/>
    <n v="15"/>
    <n v="2014"/>
    <x v="1"/>
  </r>
  <r>
    <s v="Divergent / Insurgent"/>
    <s v="Veronica Roth"/>
    <n v="4.5"/>
    <n v="17684"/>
    <n v="6"/>
    <n v="2014"/>
    <x v="1"/>
  </r>
  <r>
    <s v="Divine Soul Mind Body Healing and Transmission System: The Divine Way to Heal You, Humanity, Mother Earth, and Allâ€¦"/>
    <s v="Zhi Gang Sha"/>
    <n v="4.5999999999999996"/>
    <n v="37"/>
    <n v="6"/>
    <n v="2009"/>
    <x v="0"/>
  </r>
  <r>
    <s v="Doctor Sleep: A Novel"/>
    <s v="Stephen King"/>
    <n v="4.7"/>
    <n v="15845"/>
    <n v="13"/>
    <n v="2013"/>
    <x v="1"/>
  </r>
  <r>
    <s v="Dog Days (Diary of a Wimpy Kid, Book 4) (Volume 4)"/>
    <s v="Jeff Kinney"/>
    <n v="4.8"/>
    <n v="3181"/>
    <n v="12"/>
    <n v="2009"/>
    <x v="1"/>
  </r>
  <r>
    <s v="Dog Man and Cat Kid: From the Creator of Captain Underpants (Dog Man #4)"/>
    <s v="Dav Pilkey"/>
    <n v="4.9000000000000004"/>
    <n v="5062"/>
    <n v="6"/>
    <n v="2018"/>
    <x v="1"/>
  </r>
  <r>
    <s v="Dog Man: A Tale of Two Kitties: From the Creator of Captain Underpants (Dog Man #3)"/>
    <s v="Dav Pilkey"/>
    <n v="4.9000000000000004"/>
    <n v="4786"/>
    <n v="8"/>
    <n v="2017"/>
    <x v="1"/>
  </r>
  <r>
    <s v="Dog Man: Brawl of the Wild: From the Creator of Captain Underpants (Dog Man #6)"/>
    <s v="Dav Pilkey"/>
    <n v="4.9000000000000004"/>
    <n v="7235"/>
    <n v="4"/>
    <n v="2018"/>
    <x v="1"/>
  </r>
  <r>
    <s v="Dog Man: Brawl of the Wild: From the Creator of Captain Underpants (Dog Man #6)"/>
    <s v="Dav Pilkey"/>
    <n v="4.9000000000000004"/>
    <n v="7235"/>
    <n v="4"/>
    <n v="2019"/>
    <x v="1"/>
  </r>
  <r>
    <s v="Dog Man: Fetch-22: From the Creator of Captain Underpants (Dog Man #8)"/>
    <s v="Dav Pilkey"/>
    <n v="4.9000000000000004"/>
    <n v="12619"/>
    <n v="8"/>
    <n v="2019"/>
    <x v="1"/>
  </r>
  <r>
    <s v="Dog Man: For Whom the Ball Rolls: From the Creator of Captain Underpants (Dog Man #7)"/>
    <s v="Dav Pilkey"/>
    <n v="4.9000000000000004"/>
    <n v="9089"/>
    <n v="8"/>
    <n v="2019"/>
    <x v="1"/>
  </r>
  <r>
    <s v="Dog Man: Lord of the Fleas: From the Creator of Captain Underpants (Dog Man #5)"/>
    <s v="Dav Pilkey"/>
    <n v="4.9000000000000004"/>
    <n v="5470"/>
    <n v="6"/>
    <n v="2018"/>
    <x v="1"/>
  </r>
  <r>
    <s v="Double Down (Diary of a Wimpy Kid #11)"/>
    <s v="Jeff Kinney"/>
    <n v="4.8"/>
    <n v="5118"/>
    <n v="20"/>
    <n v="2016"/>
    <x v="1"/>
  </r>
  <r>
    <s v="Dover Creative Haven Art Nouveau Animal Designs Coloring Book (Creative Haven Coloring Books)"/>
    <s v="Marty Noble"/>
    <n v="4.5999999999999996"/>
    <n v="2134"/>
    <n v="5"/>
    <n v="2015"/>
    <x v="0"/>
  </r>
  <r>
    <s v="Drive: The Surprising Truth About What Motivates Us"/>
    <s v="Daniel H. Pink"/>
    <n v="4.5"/>
    <n v="2525"/>
    <n v="16"/>
    <n v="2010"/>
    <x v="0"/>
  </r>
  <r>
    <s v="Eat This Not That! Supermarket Survival Guide: The No-Diet Weight Loss Solution"/>
    <s v="David Zinczenko"/>
    <n v="4.5"/>
    <n v="720"/>
    <n v="1"/>
    <n v="2009"/>
    <x v="0"/>
  </r>
  <r>
    <s v="Eat This, Not That! Thousands of Simple Food Swaps that Can Save You 10, 20, 30 Pounds--or More!"/>
    <s v="David Zinczenko"/>
    <n v="4.3"/>
    <n v="956"/>
    <n v="14"/>
    <n v="2009"/>
    <x v="0"/>
  </r>
  <r>
    <s v="Eat to Live: The Amazing Nutrient-Rich Program for Fast and Sustained Weight Loss, Revised Edition"/>
    <s v="Joel Fuhrman MD"/>
    <n v="4.5"/>
    <n v="6346"/>
    <n v="9"/>
    <n v="2011"/>
    <x v="0"/>
  </r>
  <r>
    <s v="Eat to Live: The Amazing Nutrient-Rich Program for Fast and Sustained Weight Loss, Revised Edition"/>
    <s v="Joel Fuhrman MD"/>
    <n v="4.5"/>
    <n v="6346"/>
    <n v="9"/>
    <n v="2012"/>
    <x v="0"/>
  </r>
  <r>
    <s v="Eclipse (Twilight Sagas)"/>
    <s v="Stephenie Meyer"/>
    <n v="4.7"/>
    <n v="5505"/>
    <n v="7"/>
    <n v="2009"/>
    <x v="1"/>
  </r>
  <r>
    <s v="Eclipse (Twilight)"/>
    <s v="Stephenie Meyer"/>
    <n v="4.7"/>
    <n v="5505"/>
    <n v="18"/>
    <n v="2009"/>
    <x v="1"/>
  </r>
  <r>
    <s v="Educated: A Memoir"/>
    <s v="Tara Westover"/>
    <n v="4.7"/>
    <n v="28729"/>
    <n v="15"/>
    <n v="2018"/>
    <x v="0"/>
  </r>
  <r>
    <s v="Educated: A Memoir"/>
    <s v="Tara Westover"/>
    <n v="4.7"/>
    <n v="28729"/>
    <n v="15"/>
    <n v="2019"/>
    <x v="0"/>
  </r>
  <r>
    <s v="Enchanted Forest: An Inky Quest and Coloring book (Activity Books, Mindfulness and Meditation, Illustrated Floral Printsâ€¦"/>
    <s v="Johanna Basford"/>
    <n v="4.7"/>
    <n v="5413"/>
    <n v="9"/>
    <n v="2015"/>
    <x v="0"/>
  </r>
  <r>
    <s v="Fahrenheit 451"/>
    <s v="Ray Bradbury"/>
    <n v="4.5999999999999996"/>
    <n v="10721"/>
    <n v="8"/>
    <n v="2016"/>
    <x v="1"/>
  </r>
  <r>
    <s v="Fahrenheit 451"/>
    <s v="Ray Bradbury"/>
    <n v="4.5999999999999996"/>
    <n v="10721"/>
    <n v="8"/>
    <n v="2018"/>
    <x v="1"/>
  </r>
  <r>
    <s v="Fantastic Beasts and Where to Find Them: The Original Screenplay (Harry Potter)"/>
    <s v="J.K. Rowling"/>
    <n v="4.7"/>
    <n v="4370"/>
    <n v="15"/>
    <n v="2016"/>
    <x v="1"/>
  </r>
  <r>
    <s v="Fear: Trump in the White House"/>
    <s v="Bob Woodward"/>
    <n v="4.4000000000000004"/>
    <n v="6042"/>
    <n v="2"/>
    <n v="2018"/>
    <x v="0"/>
  </r>
  <r>
    <s v="Fifty Shades Darker"/>
    <s v="E L James"/>
    <n v="4.4000000000000004"/>
    <n v="23631"/>
    <n v="7"/>
    <n v="2012"/>
    <x v="1"/>
  </r>
  <r>
    <s v="Fifty Shades Freed: Book Three of the Fifty Shades Trilogy (Fifty Shades of Grey Series) (English Edition)"/>
    <s v="E L James"/>
    <n v="4.5"/>
    <n v="20262"/>
    <n v="11"/>
    <n v="2012"/>
    <x v="1"/>
  </r>
  <r>
    <s v="Fifty Shades of Grey: Book One of the Fifty Shades Trilogy (Fifty Shades of Grey Series)"/>
    <s v="E L James"/>
    <n v="3.8"/>
    <n v="47265"/>
    <n v="14"/>
    <n v="2012"/>
    <x v="1"/>
  </r>
  <r>
    <s v="Fifty Shades of Grey: Book One of the Fifty Shades Trilogy (Fifty Shades of Grey Series)"/>
    <s v="E L James"/>
    <n v="3.8"/>
    <n v="47265"/>
    <n v="14"/>
    <n v="2013"/>
    <x v="1"/>
  </r>
  <r>
    <s v="Fifty Shades Trilogy (Fifty Shades of Grey / Fifty Shades Darker / Fifty Shades Freed)"/>
    <s v="E L James"/>
    <n v="4.5"/>
    <n v="13964"/>
    <n v="32"/>
    <n v="2012"/>
    <x v="1"/>
  </r>
  <r>
    <s v="Fire and Fury: Inside the Trump White House"/>
    <s v="Michael Wolff"/>
    <n v="4.2"/>
    <n v="13677"/>
    <n v="6"/>
    <n v="2018"/>
    <x v="0"/>
  </r>
  <r>
    <s v="First 100 Words"/>
    <s v="Roger Priddy"/>
    <n v="4.7"/>
    <n v="17323"/>
    <n v="4"/>
    <n v="2014"/>
    <x v="0"/>
  </r>
  <r>
    <s v="First 100 Words"/>
    <s v="Roger Priddy"/>
    <n v="4.7"/>
    <n v="17323"/>
    <n v="4"/>
    <n v="2015"/>
    <x v="0"/>
  </r>
  <r>
    <s v="First 100 Words"/>
    <s v="Roger Priddy"/>
    <n v="4.7"/>
    <n v="17323"/>
    <n v="4"/>
    <n v="2016"/>
    <x v="0"/>
  </r>
  <r>
    <s v="First 100 Words"/>
    <s v="Roger Priddy"/>
    <n v="4.7"/>
    <n v="17323"/>
    <n v="4"/>
    <n v="2017"/>
    <x v="0"/>
  </r>
  <r>
    <s v="First 100 Words"/>
    <s v="Roger Priddy"/>
    <n v="4.7"/>
    <n v="17323"/>
    <n v="4"/>
    <n v="2018"/>
    <x v="0"/>
  </r>
  <r>
    <s v="Food Rules: An Eater's Manual"/>
    <s v="Michael Pollan"/>
    <n v="4.4000000000000004"/>
    <n v="1555"/>
    <n v="9"/>
    <n v="2010"/>
    <x v="0"/>
  </r>
  <r>
    <s v="Frozen (Little Golden Book)"/>
    <s v="RH Disney"/>
    <n v="4.7"/>
    <n v="3642"/>
    <n v="0"/>
    <n v="2014"/>
    <x v="1"/>
  </r>
  <r>
    <s v="Game Change: Obama and the Clintons, McCain and Palin, and the Race of a Lifetime"/>
    <s v="John Heilemann"/>
    <n v="4.4000000000000004"/>
    <n v="1215"/>
    <n v="9"/>
    <n v="2010"/>
    <x v="0"/>
  </r>
  <r>
    <s v="Game of Thrones Boxed Set: A Game of Thrones/A Clash of Kings/A Storm of Swords/A Feast for Crows"/>
    <s v="George R.R. Martin"/>
    <n v="4.5999999999999996"/>
    <n v="5594"/>
    <n v="5"/>
    <n v="2011"/>
    <x v="1"/>
  </r>
  <r>
    <s v="Game of Thrones Boxed Set: A Game of Thrones/A Clash of Kings/A Storm of Swords/A Feast for Crows"/>
    <s v="George R.R. Martin"/>
    <n v="4.5999999999999996"/>
    <n v="5594"/>
    <n v="5"/>
    <n v="2012"/>
    <x v="1"/>
  </r>
  <r>
    <s v="Game of Thrones Boxed Set: A Game of Thrones/A Clash of Kings/A Storm of Swords/A Feast for Crows"/>
    <s v="George R.R. Martin"/>
    <n v="4.5999999999999996"/>
    <n v="5594"/>
    <n v="5"/>
    <n v="2013"/>
    <x v="1"/>
  </r>
  <r>
    <s v="George Washington's Sacred Fire"/>
    <s v="Peter A. Lillback"/>
    <n v="4.5"/>
    <n v="408"/>
    <n v="20"/>
    <n v="2010"/>
    <x v="0"/>
  </r>
  <r>
    <s v="George Washington's Secret Six: The Spy Ring That Saved the American Revolution"/>
    <s v="Brian Kilmeade"/>
    <n v="4.5999999999999996"/>
    <n v="4799"/>
    <n v="16"/>
    <n v="2013"/>
    <x v="0"/>
  </r>
  <r>
    <s v="Giraffes Can't Dance"/>
    <s v="Giles Andreae"/>
    <n v="4.8"/>
    <n v="14038"/>
    <n v="4"/>
    <n v="2015"/>
    <x v="1"/>
  </r>
  <r>
    <s v="Giraffes Can't Dance"/>
    <s v="Giles Andreae"/>
    <n v="4.8"/>
    <n v="14038"/>
    <n v="4"/>
    <n v="2016"/>
    <x v="1"/>
  </r>
  <r>
    <s v="Giraffes Can't Dance"/>
    <s v="Giles Andreae"/>
    <n v="4.8"/>
    <n v="14038"/>
    <n v="4"/>
    <n v="2017"/>
    <x v="1"/>
  </r>
  <r>
    <s v="Giraffes Can't Dance"/>
    <s v="Giles Andreae"/>
    <n v="4.8"/>
    <n v="14038"/>
    <n v="4"/>
    <n v="2018"/>
    <x v="1"/>
  </r>
  <r>
    <s v="Giraffes Can't Dance"/>
    <s v="Giles Andreae"/>
    <n v="4.8"/>
    <n v="14038"/>
    <n v="4"/>
    <n v="2019"/>
    <x v="1"/>
  </r>
  <r>
    <s v="Girl, Stop Apologizing: A Shame-Free Plan for Embracing and Achieving Your Goals"/>
    <s v="Rachel Hollis"/>
    <n v="4.5999999999999996"/>
    <n v="7660"/>
    <n v="12"/>
    <n v="2019"/>
    <x v="0"/>
  </r>
  <r>
    <s v="Girl, Wash Your Face: Stop Believing the Lies About Who You Are So You Can Become Who You Were Meant to Be"/>
    <s v="Rachel Hollis"/>
    <n v="4.5999999999999996"/>
    <n v="22288"/>
    <n v="12"/>
    <n v="2018"/>
    <x v="0"/>
  </r>
  <r>
    <s v="Girl, Wash Your Face: Stop Believing the Lies About Who You Are So You Can Become Who You Were Meant to Be"/>
    <s v="Rachel Hollis"/>
    <n v="4.5999999999999996"/>
    <n v="22288"/>
    <n v="12"/>
    <n v="2019"/>
    <x v="0"/>
  </r>
  <r>
    <s v="Glenn Beck's Common Sense: The Case Against an Out-of-Control Government, Inspired by Thomas Paine"/>
    <s v="Glenn Beck"/>
    <n v="4.5999999999999996"/>
    <n v="1365"/>
    <n v="11"/>
    <n v="2009"/>
    <x v="0"/>
  </r>
  <r>
    <s v="Go Set a Watchman: A Novel"/>
    <s v="Harper Lee"/>
    <n v="3.6"/>
    <n v="14982"/>
    <n v="19"/>
    <n v="2015"/>
    <x v="1"/>
  </r>
  <r>
    <s v="Go the F**k to Sleep"/>
    <s v="Adam Mansbach"/>
    <n v="4.8"/>
    <n v="9568"/>
    <n v="9"/>
    <n v="2011"/>
    <x v="1"/>
  </r>
  <r>
    <s v="Going Rogue: An American Life"/>
    <s v="Sarah Palin"/>
    <n v="4.5999999999999996"/>
    <n v="1636"/>
    <n v="6"/>
    <n v="2009"/>
    <x v="0"/>
  </r>
  <r>
    <s v="Gone Girl"/>
    <s v="Gillian Flynn"/>
    <n v="4"/>
    <n v="57271"/>
    <n v="10"/>
    <n v="2012"/>
    <x v="1"/>
  </r>
  <r>
    <s v="Gone Girl"/>
    <s v="Gillian Flynn"/>
    <n v="4"/>
    <n v="57271"/>
    <n v="10"/>
    <n v="2013"/>
    <x v="1"/>
  </r>
  <r>
    <s v="Gone Girl"/>
    <s v="Gillian Flynn"/>
    <n v="4"/>
    <n v="57271"/>
    <n v="9"/>
    <n v="2014"/>
    <x v="1"/>
  </r>
  <r>
    <s v="Good Days Start With Gratitude: A 52 Week Guide To Cultivate An Attitude Of Gratitude: Gratitude Journal"/>
    <s v="Pretty Simple Press"/>
    <n v="4.5999999999999996"/>
    <n v="10141"/>
    <n v="6"/>
    <n v="2019"/>
    <x v="0"/>
  </r>
  <r>
    <s v="Good to Great: Why Some Companies Make the Leap and Others Don't"/>
    <s v="Jim Collins"/>
    <n v="4.5"/>
    <n v="3457"/>
    <n v="14"/>
    <n v="2009"/>
    <x v="0"/>
  </r>
  <r>
    <s v="Good to Great: Why Some Companies Make the Leap and Others Don't"/>
    <s v="Jim Collins"/>
    <n v="4.5"/>
    <n v="3457"/>
    <n v="14"/>
    <n v="2010"/>
    <x v="0"/>
  </r>
  <r>
    <s v="Good to Great: Why Some Companies Make the Leap and Others Don't"/>
    <s v="Jim Collins"/>
    <n v="4.5"/>
    <n v="3457"/>
    <n v="14"/>
    <n v="2011"/>
    <x v="0"/>
  </r>
  <r>
    <s v="Good to Great: Why Some Companies Make the Leap and Others Don't"/>
    <s v="Jim Collins"/>
    <n v="4.5"/>
    <n v="3457"/>
    <n v="14"/>
    <n v="2012"/>
    <x v="0"/>
  </r>
  <r>
    <s v="Goodnight Moon"/>
    <s v="Margaret Wise Brown"/>
    <n v="4.8"/>
    <n v="8837"/>
    <n v="5"/>
    <n v="2017"/>
    <x v="1"/>
  </r>
  <r>
    <s v="Goodnight Moon"/>
    <s v="Margaret Wise Brown"/>
    <n v="4.8"/>
    <n v="8837"/>
    <n v="5"/>
    <n v="2018"/>
    <x v="1"/>
  </r>
  <r>
    <s v="Goodnight Moon"/>
    <s v="Margaret Wise Brown"/>
    <n v="4.8"/>
    <n v="8837"/>
    <n v="5"/>
    <n v="2019"/>
    <x v="1"/>
  </r>
  <r>
    <s v="Goodnight, Goodnight Construction Site (Hardcover Books for Toddlers, Preschool Books for Kids)"/>
    <s v="Sherri Duskey Rinker"/>
    <n v="4.9000000000000004"/>
    <n v="7038"/>
    <n v="7"/>
    <n v="2012"/>
    <x v="1"/>
  </r>
  <r>
    <s v="Goodnight, Goodnight Construction Site (Hardcover Books for Toddlers, Preschool Books for Kids)"/>
    <s v="Sherri Duskey Rinker"/>
    <n v="4.9000000000000004"/>
    <n v="7038"/>
    <n v="7"/>
    <n v="2013"/>
    <x v="1"/>
  </r>
  <r>
    <s v="Grain Brain: The Surprising Truth about Wheat, Carbs, and Sugar--Your Brain's Silent Killers"/>
    <s v="David Perlmutter MD"/>
    <n v="4.5999999999999996"/>
    <n v="5972"/>
    <n v="10"/>
    <n v="2014"/>
    <x v="0"/>
  </r>
  <r>
    <s v="Grey: Fifty Shades of Grey as Told by Christian (Fifty Shades of Grey Series)"/>
    <s v="E L James"/>
    <n v="4.4000000000000004"/>
    <n v="25624"/>
    <n v="14"/>
    <n v="2015"/>
    <x v="1"/>
  </r>
  <r>
    <s v="Guts"/>
    <s v="Raina Telgemeier"/>
    <n v="4.8"/>
    <n v="5476"/>
    <n v="7"/>
    <n v="2019"/>
    <x v="0"/>
  </r>
  <r>
    <s v="Hamilton: The Revolution"/>
    <s v="Lin-Manuel Miranda"/>
    <n v="4.9000000000000004"/>
    <n v="5867"/>
    <n v="54"/>
    <n v="2016"/>
    <x v="0"/>
  </r>
  <r>
    <s v="Happy, Happy, Happy: My Life and Legacy as the Duck Commander"/>
    <s v="Phil Robertson"/>
    <n v="4.8"/>
    <n v="4148"/>
    <n v="11"/>
    <n v="2013"/>
    <x v="0"/>
  </r>
  <r>
    <s v="Harry Potter and the Chamber of Secrets: The Illustrated Edition (Harry Potter, Book 2)"/>
    <s v="J.K. Rowling"/>
    <n v="4.9000000000000004"/>
    <n v="19622"/>
    <n v="30"/>
    <n v="2016"/>
    <x v="1"/>
  </r>
  <r>
    <s v="Harry Potter and the Cursed Child, Parts 1 &amp; 2, Special Rehearsal Edition Script"/>
    <s v="J.K. Rowling"/>
    <n v="4"/>
    <n v="23973"/>
    <n v="12"/>
    <n v="2016"/>
    <x v="1"/>
  </r>
  <r>
    <s v="Harry Potter and the Goblet of Fire: The Illustrated Edition (Harry Potter, Book 4) (4)"/>
    <s v="J. K. Rowling"/>
    <n v="4.9000000000000004"/>
    <n v="7758"/>
    <n v="18"/>
    <n v="2019"/>
    <x v="1"/>
  </r>
  <r>
    <s v="Harry Potter and the Prisoner of Azkaban: The Illustrated Edition (Harry Potter, Book 3)"/>
    <s v="J.K. Rowling"/>
    <n v="4.9000000000000004"/>
    <n v="3146"/>
    <n v="30"/>
    <n v="2017"/>
    <x v="1"/>
  </r>
  <r>
    <s v="Harry Potter and the Sorcerer's Stone: The Illustrated Edition (Harry Potter, Book 1)"/>
    <s v="J.K. Rowling"/>
    <n v="4.9000000000000004"/>
    <n v="10052"/>
    <n v="22"/>
    <n v="2016"/>
    <x v="1"/>
  </r>
  <r>
    <s v="Harry Potter Coloring Book"/>
    <s v="Scholastic"/>
    <n v="4.7"/>
    <n v="3564"/>
    <n v="9"/>
    <n v="2015"/>
    <x v="0"/>
  </r>
  <r>
    <s v="Harry Potter Paperback Box Set (Books 1-7)"/>
    <s v="J. K. Rowling"/>
    <n v="4.8"/>
    <n v="13471"/>
    <n v="52"/>
    <n v="2016"/>
    <x v="1"/>
  </r>
  <r>
    <s v="Have a Little Faith: A True Story"/>
    <s v="Mitch Albom"/>
    <n v="4.8"/>
    <n v="1930"/>
    <n v="4"/>
    <n v="2009"/>
    <x v="0"/>
  </r>
  <r>
    <s v="Heaven is for Real: A Little Boy's Astounding Story of His Trip to Heaven and Back"/>
    <s v="Todd Burpo"/>
    <n v="4.7"/>
    <n v="15779"/>
    <n v="10"/>
    <n v="2011"/>
    <x v="0"/>
  </r>
  <r>
    <s v="Heaven is for Real: A Little Boy's Astounding Story of His Trip to Heaven and Back"/>
    <s v="Todd Burpo"/>
    <n v="4.7"/>
    <n v="15779"/>
    <n v="10"/>
    <n v="2012"/>
    <x v="0"/>
  </r>
  <r>
    <s v="Hillbilly Elegy: A Memoir of a Family and Culture in Crisis"/>
    <s v="J. D. Vance"/>
    <n v="4.4000000000000004"/>
    <n v="15526"/>
    <n v="14"/>
    <n v="2016"/>
    <x v="0"/>
  </r>
  <r>
    <s v="Hillbilly Elegy: A Memoir of a Family and Culture in Crisis"/>
    <s v="J. D. Vance"/>
    <n v="4.4000000000000004"/>
    <n v="15526"/>
    <n v="14"/>
    <n v="2017"/>
    <x v="0"/>
  </r>
  <r>
    <s v="Homebody: A Guide to Creating Spaces You Never Want to Leave"/>
    <s v="Joanna Gaines"/>
    <n v="4.8"/>
    <n v="3776"/>
    <n v="22"/>
    <n v="2018"/>
    <x v="0"/>
  </r>
  <r>
    <s v="How to Win Friends &amp; Influence People"/>
    <s v="Dale Carnegie"/>
    <n v="4.7"/>
    <n v="25001"/>
    <n v="11"/>
    <n v="2014"/>
    <x v="0"/>
  </r>
  <r>
    <s v="How to Win Friends &amp; Influence People"/>
    <s v="Dale Carnegie"/>
    <n v="4.7"/>
    <n v="25001"/>
    <n v="11"/>
    <n v="2015"/>
    <x v="0"/>
  </r>
  <r>
    <s v="How to Win Friends &amp; Influence People"/>
    <s v="Dale Carnegie"/>
    <n v="4.7"/>
    <n v="25001"/>
    <n v="11"/>
    <n v="2016"/>
    <x v="0"/>
  </r>
  <r>
    <s v="How to Win Friends &amp; Influence People"/>
    <s v="Dale Carnegie"/>
    <n v="4.7"/>
    <n v="25001"/>
    <n v="11"/>
    <n v="2017"/>
    <x v="0"/>
  </r>
  <r>
    <s v="How to Win Friends &amp; Influence People"/>
    <s v="Dale Carnegie"/>
    <n v="4.7"/>
    <n v="25001"/>
    <n v="11"/>
    <n v="2018"/>
    <x v="0"/>
  </r>
  <r>
    <s v="Howard Stern Comes Again"/>
    <s v="Howard Stern"/>
    <n v="4.3"/>
    <n v="5272"/>
    <n v="16"/>
    <n v="2019"/>
    <x v="0"/>
  </r>
  <r>
    <s v="Humans of New York"/>
    <s v="Brandon Stanton"/>
    <n v="4.8"/>
    <n v="3490"/>
    <n v="15"/>
    <n v="2013"/>
    <x v="0"/>
  </r>
  <r>
    <s v="Humans of New York"/>
    <s v="Brandon Stanton"/>
    <n v="4.8"/>
    <n v="3490"/>
    <n v="15"/>
    <n v="2014"/>
    <x v="0"/>
  </r>
  <r>
    <s v="Humans of New York : Stories"/>
    <s v="Brandon Stanton"/>
    <n v="4.9000000000000004"/>
    <n v="2812"/>
    <n v="17"/>
    <n v="2015"/>
    <x v="0"/>
  </r>
  <r>
    <s v="Hyperbole and a Half: Unfortunate Situations, Flawed Coping Mechanisms, Mayhem, and Other Things That Happened"/>
    <s v="Allie Brosh"/>
    <n v="4.7"/>
    <n v="4896"/>
    <n v="17"/>
    <n v="2013"/>
    <x v="0"/>
  </r>
  <r>
    <s v="I Am Confident, Brave &amp; Beautiful: A Coloring Book for Girls"/>
    <s v="Hopscotch Girls"/>
    <n v="4.8"/>
    <n v="9737"/>
    <n v="7"/>
    <n v="2019"/>
    <x v="0"/>
  </r>
  <r>
    <s v="I, Alex Cross"/>
    <s v="James Patterson"/>
    <n v="4.5999999999999996"/>
    <n v="1320"/>
    <n v="7"/>
    <n v="2009"/>
    <x v="1"/>
  </r>
  <r>
    <s v="If Animals Kissed Good Night"/>
    <s v="Ann Whitford Paul"/>
    <n v="4.8"/>
    <n v="16643"/>
    <n v="4"/>
    <n v="2017"/>
    <x v="1"/>
  </r>
  <r>
    <s v="If Animals Kissed Good Night"/>
    <s v="Ann Whitford Paul"/>
    <n v="4.8"/>
    <n v="16643"/>
    <n v="4"/>
    <n v="2019"/>
    <x v="1"/>
  </r>
  <r>
    <s v="If I Stay"/>
    <s v="Gayle Forman"/>
    <n v="4.3"/>
    <n v="7153"/>
    <n v="9"/>
    <n v="2014"/>
    <x v="1"/>
  </r>
  <r>
    <s v="In the Garden of Beasts: Love, Terror, and an American Family in Hitler's Berlin"/>
    <s v="Eric Larson"/>
    <n v="4.4000000000000004"/>
    <n v="4571"/>
    <n v="21"/>
    <n v="2011"/>
    <x v="0"/>
  </r>
  <r>
    <s v="Inferno"/>
    <s v="Dan Brown"/>
    <n v="4.0999999999999996"/>
    <n v="29651"/>
    <n v="14"/>
    <n v="2013"/>
    <x v="1"/>
  </r>
  <r>
    <s v="Inheritance: Book IV (Inheritance Cycle)"/>
    <s v="Christopher Paolini"/>
    <n v="4.5999999999999996"/>
    <n v="5299"/>
    <n v="20"/>
    <n v="2011"/>
    <x v="1"/>
  </r>
  <r>
    <s v="Instant Pot Pressure Cooker Cookbook: 500 Everyday Recipes for Beginners and Advanced Users. Try Easy and Healthyâ€¦"/>
    <s v="Jennifer Smith"/>
    <n v="4.4000000000000004"/>
    <n v="7396"/>
    <n v="13"/>
    <n v="2019"/>
    <x v="0"/>
  </r>
  <r>
    <s v="Instant Pot Pressure Cooker Cookbook: 500 Everyday Recipes for Beginners and Advanced Users. Try Easy and Healthyâ€¦"/>
    <s v="Jennifer Smith"/>
    <n v="4.4000000000000004"/>
    <n v="7396"/>
    <n v="13"/>
    <n v="2018"/>
    <x v="0"/>
  </r>
  <r>
    <s v="It's Not Supposed to Be This Way: Finding Unexpected Strength When Disappointments Leave You Shattered"/>
    <s v="Lysa TerKeurst"/>
    <n v="4.8"/>
    <n v="7062"/>
    <n v="12"/>
    <n v="2019"/>
    <x v="0"/>
  </r>
  <r>
    <s v="Jesus Calling: Enjoying Peace in His Presence (with Scripture References)"/>
    <s v="Sarah Young"/>
    <n v="4.9000000000000004"/>
    <n v="19576"/>
    <n v="8"/>
    <n v="2011"/>
    <x v="0"/>
  </r>
  <r>
    <s v="Jesus Calling: Enjoying Peace in His Presence (with Scripture References)"/>
    <s v="Sarah Young"/>
    <n v="4.9000000000000004"/>
    <n v="19576"/>
    <n v="8"/>
    <n v="2012"/>
    <x v="0"/>
  </r>
  <r>
    <s v="Jesus Calling: Enjoying Peace in His Presence (with Scripture References)"/>
    <s v="Sarah Young"/>
    <n v="4.9000000000000004"/>
    <n v="19576"/>
    <n v="8"/>
    <n v="2013"/>
    <x v="0"/>
  </r>
  <r>
    <s v="Jesus Calling: Enjoying Peace in His Presence (with Scripture References)"/>
    <s v="Sarah Young"/>
    <n v="4.9000000000000004"/>
    <n v="19576"/>
    <n v="8"/>
    <n v="2014"/>
    <x v="0"/>
  </r>
  <r>
    <s v="Jesus Calling: Enjoying Peace in His Presence (with Scripture References)"/>
    <s v="Sarah Young"/>
    <n v="4.9000000000000004"/>
    <n v="19576"/>
    <n v="8"/>
    <n v="2015"/>
    <x v="0"/>
  </r>
  <r>
    <s v="Jesus Calling: Enjoying Peace in His Presence (with Scripture References)"/>
    <s v="Sarah Young"/>
    <n v="4.9000000000000004"/>
    <n v="19576"/>
    <n v="8"/>
    <n v="2016"/>
    <x v="0"/>
  </r>
  <r>
    <s v="JOURNEY TO THE ICE P"/>
    <s v="RH Disney"/>
    <n v="4.5999999999999996"/>
    <n v="978"/>
    <n v="0"/>
    <n v="2014"/>
    <x v="1"/>
  </r>
  <r>
    <s v="Joyland (Hard Case Crime)"/>
    <s v="Stephen King"/>
    <n v="4.5"/>
    <n v="4748"/>
    <n v="12"/>
    <n v="2013"/>
    <x v="1"/>
  </r>
  <r>
    <s v="Killers of the Flower Moon: The Osage Murders and the Birth of the FBI"/>
    <s v="David Grann"/>
    <n v="4.5999999999999996"/>
    <n v="8393"/>
    <n v="17"/>
    <n v="2017"/>
    <x v="0"/>
  </r>
  <r>
    <s v="Killing Jesus (Bill O'Reilly's Killing Series)"/>
    <s v="Bill O'Reilly"/>
    <n v="4.5"/>
    <n v="11391"/>
    <n v="12"/>
    <n v="2013"/>
    <x v="0"/>
  </r>
  <r>
    <s v="Killing Kennedy: The End of Camelot"/>
    <s v="Bill O'Reilly"/>
    <n v="4.5999999999999996"/>
    <n v="8634"/>
    <n v="25"/>
    <n v="2012"/>
    <x v="0"/>
  </r>
  <r>
    <s v="Killing Lincoln: The Shocking Assassination that Changed America Forever (Bill O'Reilly's Killing Series)"/>
    <s v="Bill O'Reilly"/>
    <n v="4.7"/>
    <n v="9342"/>
    <n v="10"/>
    <n v="2011"/>
    <x v="0"/>
  </r>
  <r>
    <s v="Killing Lincoln: The Shocking Assassination that Changed America Forever (Bill O'Reilly's Killing Series)"/>
    <s v="Bill O'Reilly"/>
    <n v="4.7"/>
    <n v="9342"/>
    <n v="10"/>
    <n v="2012"/>
    <x v="0"/>
  </r>
  <r>
    <s v="Killing Patton: The Strange Death of World War II's Most Audacious General (Bill O'Reilly's Killing Series)"/>
    <s v="Bill O'Reilly"/>
    <n v="4.5999999999999996"/>
    <n v="10927"/>
    <n v="6"/>
    <n v="2014"/>
    <x v="0"/>
  </r>
  <r>
    <s v="Killing Reagan: The Violent Assault That Changed a Presidency (Bill O'Reilly's Killing Series)"/>
    <s v="Bill O'Reilly"/>
    <n v="4.5999999999999996"/>
    <n v="5235"/>
    <n v="5"/>
    <n v="2015"/>
    <x v="0"/>
  </r>
  <r>
    <s v="Killing the Rising Sun: How America Vanquished World War II Japan (Bill O'Reilly's Killing Series)"/>
    <s v="Bill O'Reilly"/>
    <n v="4.8"/>
    <n v="8916"/>
    <n v="6"/>
    <n v="2016"/>
    <x v="0"/>
  </r>
  <r>
    <s v="Kitchen Confidential Updated Edition: Adventures in the Culinary Underbelly (P.S.)"/>
    <s v="Anthony Bourdain"/>
    <n v="4.8"/>
    <n v="2507"/>
    <n v="8"/>
    <n v="2018"/>
    <x v="0"/>
  </r>
  <r>
    <s v="Knock-Knock Jokes for Kids"/>
    <s v="Rob Elliott"/>
    <n v="4.5"/>
    <n v="3673"/>
    <n v="4"/>
    <n v="2013"/>
    <x v="0"/>
  </r>
  <r>
    <s v="Knock-Knock Jokes for Kids"/>
    <s v="Rob Elliott"/>
    <n v="4.5"/>
    <n v="3673"/>
    <n v="4"/>
    <n v="2014"/>
    <x v="0"/>
  </r>
  <r>
    <s v="Knock-Knock Jokes for Kids"/>
    <s v="Rob Elliott"/>
    <n v="4.5"/>
    <n v="3673"/>
    <n v="4"/>
    <n v="2015"/>
    <x v="0"/>
  </r>
  <r>
    <s v="Last Week Tonight with John Oliver Presents A Day in the Life of Marlon Bundo (Better Bundo Book, LGBT ChildrenÂ’s Book)"/>
    <s v="Jill Twiss"/>
    <n v="4.9000000000000004"/>
    <n v="11881"/>
    <n v="13"/>
    <n v="2018"/>
    <x v="1"/>
  </r>
  <r>
    <s v="Laugh-Out-Loud Jokes for Kids"/>
    <s v="Rob Elliott"/>
    <n v="4.5999999999999996"/>
    <n v="6990"/>
    <n v="4"/>
    <n v="2013"/>
    <x v="0"/>
  </r>
  <r>
    <s v="Laugh-Out-Loud Jokes for Kids"/>
    <s v="Rob Elliott"/>
    <n v="4.5999999999999996"/>
    <n v="6990"/>
    <n v="4"/>
    <n v="2014"/>
    <x v="0"/>
  </r>
  <r>
    <s v="Laugh-Out-Loud Jokes for Kids"/>
    <s v="Rob Elliott"/>
    <n v="4.5999999999999996"/>
    <n v="6990"/>
    <n v="4"/>
    <n v="2015"/>
    <x v="0"/>
  </r>
  <r>
    <s v="Laugh-Out-Loud Jokes for Kids"/>
    <s v="Rob Elliott"/>
    <n v="4.5999999999999996"/>
    <n v="6990"/>
    <n v="4"/>
    <n v="2016"/>
    <x v="0"/>
  </r>
  <r>
    <s v="Laugh-Out-Loud Jokes for Kids"/>
    <s v="Rob Elliott"/>
    <n v="4.5999999999999996"/>
    <n v="6990"/>
    <n v="4"/>
    <n v="2017"/>
    <x v="0"/>
  </r>
  <r>
    <s v="Lean In: Women, Work, and the Will to Lead"/>
    <s v="Sheryl Sandberg"/>
    <n v="4.5"/>
    <n v="6132"/>
    <n v="13"/>
    <n v="2013"/>
    <x v="0"/>
  </r>
  <r>
    <s v="Leonardo da Vinci"/>
    <s v="Walter Isaacson"/>
    <n v="4.5"/>
    <n v="3014"/>
    <n v="21"/>
    <n v="2017"/>
    <x v="0"/>
  </r>
  <r>
    <s v="Lettering and Modern Calligraphy: A Beginner's Guide: Learn Hand Lettering and Brush Lettering"/>
    <s v="Paper Peony Press"/>
    <n v="4.4000000000000004"/>
    <n v="7550"/>
    <n v="6"/>
    <n v="2018"/>
    <x v="0"/>
  </r>
  <r>
    <s v="Liberty and Tyranny: A Conservative Manifesto"/>
    <s v="Mark R. Levin"/>
    <n v="4.8"/>
    <n v="3828"/>
    <n v="15"/>
    <n v="2009"/>
    <x v="0"/>
  </r>
  <r>
    <s v="Life"/>
    <s v="Keith Richards"/>
    <n v="4.5"/>
    <n v="2752"/>
    <n v="18"/>
    <n v="2010"/>
    <x v="0"/>
  </r>
  <r>
    <s v="Little Bee: A Novel"/>
    <s v="Chris Cleave"/>
    <n v="4.0999999999999996"/>
    <n v="1467"/>
    <n v="10"/>
    <n v="2010"/>
    <x v="1"/>
  </r>
  <r>
    <s v="Little Blue Truck"/>
    <s v="Alice Schertle"/>
    <n v="4.9000000000000004"/>
    <n v="1884"/>
    <n v="0"/>
    <n v="2014"/>
    <x v="1"/>
  </r>
  <r>
    <s v="Little Fires Everywhere"/>
    <s v="Celeste Ng"/>
    <n v="4.5"/>
    <n v="25706"/>
    <n v="12"/>
    <n v="2018"/>
    <x v="1"/>
  </r>
  <r>
    <s v="Looking for Alaska"/>
    <s v="John Green"/>
    <n v="4.5"/>
    <n v="8491"/>
    <n v="7"/>
    <n v="2014"/>
    <x v="1"/>
  </r>
  <r>
    <s v="Love Wins: A Book About Heaven, Hell, and the Fate of Every Person Who Ever Lived"/>
    <s v="Rob Bell"/>
    <n v="4.2"/>
    <n v="1649"/>
    <n v="13"/>
    <n v="2011"/>
    <x v="0"/>
  </r>
  <r>
    <s v="Love You Forever"/>
    <s v="Robert Munsch"/>
    <n v="4.8"/>
    <n v="18613"/>
    <n v="5"/>
    <n v="2014"/>
    <x v="1"/>
  </r>
  <r>
    <s v="Love You Forever"/>
    <s v="Robert Munsch"/>
    <n v="4.8"/>
    <n v="18613"/>
    <n v="5"/>
    <n v="2015"/>
    <x v="1"/>
  </r>
  <r>
    <s v="Magnolia Table: A Collection of Recipes for Gathering"/>
    <s v="Joanna Gaines"/>
    <n v="4.8"/>
    <n v="9867"/>
    <n v="16"/>
    <n v="2018"/>
    <x v="0"/>
  </r>
  <r>
    <s v="Make It Ahead: A Barefoot Contessa Cookbook"/>
    <s v="Ina Garten"/>
    <n v="4.5"/>
    <n v="1386"/>
    <n v="20"/>
    <n v="2014"/>
    <x v="0"/>
  </r>
  <r>
    <s v="Make Your Bed: Little Things That Can Change Your Life...And Maybe the World"/>
    <s v="Admiral William H. McRaven"/>
    <n v="4.7"/>
    <n v="10199"/>
    <n v="11"/>
    <n v="2017"/>
    <x v="0"/>
  </r>
  <r>
    <s v="Mastering the Art of French Cooking, Vol. 2"/>
    <s v="Julia Child"/>
    <n v="4.8"/>
    <n v="2926"/>
    <n v="27"/>
    <n v="2009"/>
    <x v="0"/>
  </r>
  <r>
    <s v="Milk and Honey"/>
    <s v="Rupi Kaur"/>
    <n v="4.7"/>
    <n v="17739"/>
    <n v="8"/>
    <n v="2016"/>
    <x v="0"/>
  </r>
  <r>
    <s v="Milk and Honey"/>
    <s v="Rupi Kaur"/>
    <n v="4.7"/>
    <n v="17739"/>
    <n v="8"/>
    <n v="2017"/>
    <x v="0"/>
  </r>
  <r>
    <s v="Milk and Honey"/>
    <s v="Rupi Kaur"/>
    <n v="4.7"/>
    <n v="17739"/>
    <n v="8"/>
    <n v="2018"/>
    <x v="0"/>
  </r>
  <r>
    <s v="Milk and Vine: Inspirational Quotes From Classic Vines"/>
    <s v="Adam Gasiewski"/>
    <n v="4.4000000000000004"/>
    <n v="3113"/>
    <n v="6"/>
    <n v="2017"/>
    <x v="0"/>
  </r>
  <r>
    <s v="Mindset: The New Psychology of Success"/>
    <s v="Carol S. Dweck"/>
    <n v="4.5999999999999996"/>
    <n v="5542"/>
    <n v="10"/>
    <n v="2014"/>
    <x v="0"/>
  </r>
  <r>
    <s v="Mindset: The New Psychology of Success"/>
    <s v="Carol S. Dweck"/>
    <n v="4.5999999999999996"/>
    <n v="5542"/>
    <n v="10"/>
    <n v="2015"/>
    <x v="0"/>
  </r>
  <r>
    <s v="Mindset: The New Psychology of Success"/>
    <s v="Carol S. Dweck"/>
    <n v="4.5999999999999996"/>
    <n v="5542"/>
    <n v="10"/>
    <n v="2016"/>
    <x v="0"/>
  </r>
  <r>
    <s v="Mockingjay (The Hunger Games)"/>
    <s v="Suzanne Collins"/>
    <n v="4.5"/>
    <n v="26741"/>
    <n v="8"/>
    <n v="2010"/>
    <x v="1"/>
  </r>
  <r>
    <s v="Mockingjay (The Hunger Games)"/>
    <s v="Suzanne Collins"/>
    <n v="4.5"/>
    <n v="26741"/>
    <n v="8"/>
    <n v="2011"/>
    <x v="1"/>
  </r>
  <r>
    <s v="Mockingjay (The Hunger Games)"/>
    <s v="Suzanne Collins"/>
    <n v="4.5"/>
    <n v="26741"/>
    <n v="8"/>
    <n v="2012"/>
    <x v="1"/>
  </r>
  <r>
    <s v="National Geographic Kids Why?: Over 1,111 Answers to Everything"/>
    <s v="Crispin Boyer"/>
    <n v="4.8"/>
    <n v="5347"/>
    <n v="16"/>
    <n v="2019"/>
    <x v="0"/>
  </r>
  <r>
    <s v="National Geographic Little Kids First Big Book of Why (National Geographic Little Kids First Big Books)"/>
    <s v="Amy Shields"/>
    <n v="4.8"/>
    <n v="7866"/>
    <n v="11"/>
    <n v="2019"/>
    <x v="0"/>
  </r>
  <r>
    <s v="New Moon (The Twilight Saga)"/>
    <s v="Stephenie Meyer"/>
    <n v="4.5999999999999996"/>
    <n v="5680"/>
    <n v="10"/>
    <n v="2009"/>
    <x v="1"/>
  </r>
  <r>
    <s v="Night (Night)"/>
    <s v="Elie Wiesel"/>
    <n v="4.7"/>
    <n v="5178"/>
    <n v="9"/>
    <n v="2016"/>
    <x v="0"/>
  </r>
  <r>
    <s v="No Easy Day: The Autobiography of a Navy Seal: The Firsthand Account of the Mission That Killed Osama Bin Laden"/>
    <s v="Mark Owen"/>
    <n v="4.5999999999999996"/>
    <n v="8093"/>
    <n v="14"/>
    <n v="2012"/>
    <x v="0"/>
  </r>
  <r>
    <s v="Obama: An Intimate Portrait"/>
    <s v="Pete Souza"/>
    <n v="4.9000000000000004"/>
    <n v="3192"/>
    <n v="22"/>
    <n v="2017"/>
    <x v="0"/>
  </r>
  <r>
    <s v="Oh, the Places You'll Go!"/>
    <s v="Dr. Seuss"/>
    <n v="4.9000000000000004"/>
    <n v="21834"/>
    <n v="8"/>
    <n v="2012"/>
    <x v="1"/>
  </r>
  <r>
    <s v="Oh, the Places You'll Go!"/>
    <s v="Dr. Seuss"/>
    <n v="4.9000000000000004"/>
    <n v="21834"/>
    <n v="8"/>
    <n v="2013"/>
    <x v="1"/>
  </r>
  <r>
    <s v="Oh, the Places You'll Go!"/>
    <s v="Dr. Seuss"/>
    <n v="4.9000000000000004"/>
    <n v="21834"/>
    <n v="8"/>
    <n v="2014"/>
    <x v="1"/>
  </r>
  <r>
    <s v="Oh, the Places You'll Go!"/>
    <s v="Dr. Seuss"/>
    <n v="4.9000000000000004"/>
    <n v="21834"/>
    <n v="8"/>
    <n v="2015"/>
    <x v="1"/>
  </r>
  <r>
    <s v="Oh, the Places You'll Go!"/>
    <s v="Dr. Seuss"/>
    <n v="4.9000000000000004"/>
    <n v="21834"/>
    <n v="8"/>
    <n v="2016"/>
    <x v="1"/>
  </r>
  <r>
    <s v="Oh, the Places You'll Go!"/>
    <s v="Dr. Seuss"/>
    <n v="4.9000000000000004"/>
    <n v="21834"/>
    <n v="8"/>
    <n v="2017"/>
    <x v="1"/>
  </r>
  <r>
    <s v="Oh, the Places You'll Go!"/>
    <s v="Dr. Seuss"/>
    <n v="4.9000000000000004"/>
    <n v="21834"/>
    <n v="8"/>
    <n v="2018"/>
    <x v="1"/>
  </r>
  <r>
    <s v="Oh, the Places You'll Go!"/>
    <s v="Dr. Seuss"/>
    <n v="4.9000000000000004"/>
    <n v="21834"/>
    <n v="8"/>
    <n v="2019"/>
    <x v="1"/>
  </r>
  <r>
    <s v="Old School (Diary of a Wimpy Kid #10)"/>
    <s v="Jeff Kinney"/>
    <n v="4.8"/>
    <n v="6169"/>
    <n v="7"/>
    <n v="2015"/>
    <x v="1"/>
  </r>
  <r>
    <s v="Olive Kitteridge"/>
    <s v="Elizabeth Strout"/>
    <n v="4.2"/>
    <n v="4519"/>
    <n v="12"/>
    <n v="2009"/>
    <x v="1"/>
  </r>
  <r>
    <s v="One Thousand Gifts: A Dare to Live Fully Right Where You Are"/>
    <s v="Ann Voskamp"/>
    <n v="4.5999999999999996"/>
    <n v="3163"/>
    <n v="13"/>
    <n v="2011"/>
    <x v="0"/>
  </r>
  <r>
    <s v="One Thousand Gifts: A Dare to Live Fully Right Where You Are"/>
    <s v="Ann Voskamp"/>
    <n v="4.5999999999999996"/>
    <n v="3163"/>
    <n v="13"/>
    <n v="2012"/>
    <x v="0"/>
  </r>
  <r>
    <s v="Option B: Facing Adversity, Building Resilience, and Finding Joy"/>
    <s v="Sheryl Sandberg"/>
    <n v="4.5"/>
    <n v="1831"/>
    <n v="9"/>
    <n v="2017"/>
    <x v="0"/>
  </r>
  <r>
    <s v="Origin: A Novel (Robert Langdon)"/>
    <s v="Dan Brown"/>
    <n v="4.3"/>
    <n v="18904"/>
    <n v="13"/>
    <n v="2017"/>
    <x v="1"/>
  </r>
  <r>
    <s v="Orphan Train"/>
    <s v="Christina Baker Kline"/>
    <n v="4.5999999999999996"/>
    <n v="21930"/>
    <n v="11"/>
    <n v="2014"/>
    <x v="1"/>
  </r>
  <r>
    <s v="Outliers: The Story of Success"/>
    <s v="Malcolm Gladwell"/>
    <n v="4.5999999999999996"/>
    <n v="10426"/>
    <n v="20"/>
    <n v="2009"/>
    <x v="0"/>
  </r>
  <r>
    <s v="Outliers: The Story of Success"/>
    <s v="Malcolm Gladwell"/>
    <n v="4.5999999999999996"/>
    <n v="10426"/>
    <n v="20"/>
    <n v="2010"/>
    <x v="0"/>
  </r>
  <r>
    <s v="P is for Potty! (Sesame Street) (Lift-the-Flap)"/>
    <s v="Naomi Kleinberg"/>
    <n v="4.7"/>
    <n v="10820"/>
    <n v="5"/>
    <n v="2018"/>
    <x v="0"/>
  </r>
  <r>
    <s v="P is for Potty! (Sesame Street) (Lift-the-Flap)"/>
    <s v="Naomi Kleinberg"/>
    <n v="4.7"/>
    <n v="10820"/>
    <n v="5"/>
    <n v="2019"/>
    <x v="0"/>
  </r>
  <r>
    <s v="Percy Jackson and the Olympians Paperback Boxed Set (Books 1-3)"/>
    <s v="Rick Riordan"/>
    <n v="4.8"/>
    <n v="548"/>
    <n v="2"/>
    <n v="2010"/>
    <x v="1"/>
  </r>
  <r>
    <s v="Player's Handbook (Dungeons &amp; Dragons)"/>
    <s v="Wizards RPG Team"/>
    <n v="4.8"/>
    <n v="16990"/>
    <n v="27"/>
    <n v="2017"/>
    <x v="1"/>
  </r>
  <r>
    <s v="Player's Handbook (Dungeons &amp; Dragons)"/>
    <s v="Wizards RPG Team"/>
    <n v="4.8"/>
    <n v="16990"/>
    <n v="27"/>
    <n v="2018"/>
    <x v="1"/>
  </r>
  <r>
    <s v="Player's Handbook (Dungeons &amp; Dragons)"/>
    <s v="Wizards RPG Team"/>
    <n v="4.8"/>
    <n v="16990"/>
    <n v="27"/>
    <n v="2019"/>
    <x v="1"/>
  </r>
  <r>
    <s v="PokÃ©mon Deluxe Essential Handbook: The Need-to-Know Stats and Facts on Over 700 PokÃ©mon"/>
    <s v="Scholastic"/>
    <n v="4.7"/>
    <n v="3503"/>
    <n v="9"/>
    <n v="2016"/>
    <x v="1"/>
  </r>
  <r>
    <s v="Proof of Heaven: A Neurosurgeon's Journey into the Afterlife"/>
    <s v="Eben Alexander"/>
    <n v="4.3"/>
    <n v="13616"/>
    <n v="10"/>
    <n v="2012"/>
    <x v="0"/>
  </r>
  <r>
    <s v="Proof of Heaven: A Neurosurgeon's Journey into the Afterlife"/>
    <s v="Eben Alexander"/>
    <n v="4.3"/>
    <n v="13616"/>
    <n v="10"/>
    <n v="2013"/>
    <x v="0"/>
  </r>
  <r>
    <s v="Publication Manual of the American Psychological Association, 6th Edition"/>
    <s v="American Psychological Association"/>
    <n v="4.5"/>
    <n v="8580"/>
    <n v="46"/>
    <n v="2009"/>
    <x v="0"/>
  </r>
  <r>
    <s v="Publication Manual of the American Psychological Association, 6th Edition"/>
    <s v="American Psychological Association"/>
    <n v="4.5"/>
    <n v="8580"/>
    <n v="46"/>
    <n v="2010"/>
    <x v="0"/>
  </r>
  <r>
    <s v="Publication Manual of the American Psychological Association, 6th Edition"/>
    <s v="American Psychological Association"/>
    <n v="4.5"/>
    <n v="8580"/>
    <n v="46"/>
    <n v="2011"/>
    <x v="0"/>
  </r>
  <r>
    <s v="Publication Manual of the American Psychological Association, 6th Edition"/>
    <s v="American Psychological Association"/>
    <n v="4.5"/>
    <n v="8580"/>
    <n v="46"/>
    <n v="2012"/>
    <x v="0"/>
  </r>
  <r>
    <s v="Publication Manual of the American Psychological Association, 6th Edition"/>
    <s v="American Psychological Association"/>
    <n v="4.5"/>
    <n v="8580"/>
    <n v="46"/>
    <n v="2013"/>
    <x v="0"/>
  </r>
  <r>
    <s v="Publication Manual of the American Psychological Association, 6th Edition"/>
    <s v="American Psychological Association"/>
    <n v="4.5"/>
    <n v="8580"/>
    <n v="46"/>
    <n v="2014"/>
    <x v="0"/>
  </r>
  <r>
    <s v="Publication Manual of the American Psychological Association, 6th Edition"/>
    <s v="American Psychological Association"/>
    <n v="4.5"/>
    <n v="8580"/>
    <n v="46"/>
    <n v="2015"/>
    <x v="0"/>
  </r>
  <r>
    <s v="Publication Manual of the American Psychological Association, 6th Edition"/>
    <s v="American Psychological Association"/>
    <n v="4.5"/>
    <n v="8580"/>
    <n v="46"/>
    <n v="2016"/>
    <x v="0"/>
  </r>
  <r>
    <s v="Publication Manual of the American Psychological Association, 6th Edition"/>
    <s v="American Psychological Association"/>
    <n v="4.5"/>
    <n v="8580"/>
    <n v="46"/>
    <n v="2017"/>
    <x v="0"/>
  </r>
  <r>
    <s v="Publication Manual of the American Psychological Association, 6th Edition"/>
    <s v="American Psychological Association"/>
    <n v="4.5"/>
    <n v="8580"/>
    <n v="46"/>
    <n v="2018"/>
    <x v="0"/>
  </r>
  <r>
    <s v="Puppy Birthday to You! (Paw Patrol) (Little Golden Book)"/>
    <s v="Golden Books"/>
    <n v="4.8"/>
    <n v="4757"/>
    <n v="4"/>
    <n v="2017"/>
    <x v="1"/>
  </r>
  <r>
    <s v="Quiet: The Power of Introverts in a World That Can't Stop Talking"/>
    <s v="Susan Cain"/>
    <n v="4.5999999999999996"/>
    <n v="10009"/>
    <n v="20"/>
    <n v="2012"/>
    <x v="0"/>
  </r>
  <r>
    <s v="Quiet: The Power of Introverts in a World That Can't Stop Talking"/>
    <s v="Susan Cain"/>
    <n v="4.5999999999999996"/>
    <n v="10009"/>
    <n v="7"/>
    <n v="2013"/>
    <x v="0"/>
  </r>
  <r>
    <s v="Radical: Taking Back Your Faith from the American Dream"/>
    <s v="David Platt"/>
    <n v="4.7"/>
    <n v="1985"/>
    <n v="9"/>
    <n v="2010"/>
    <x v="0"/>
  </r>
  <r>
    <s v="Radical: Taking Back Your Faith from the American Dream"/>
    <s v="David Platt"/>
    <n v="4.7"/>
    <n v="1985"/>
    <n v="9"/>
    <n v="2011"/>
    <x v="0"/>
  </r>
  <r>
    <s v="Ready Player One: A Novel"/>
    <s v="Ernest Cline"/>
    <n v="4.5999999999999996"/>
    <n v="22536"/>
    <n v="12"/>
    <n v="2017"/>
    <x v="1"/>
  </r>
  <r>
    <s v="Ready Player One: A Novel"/>
    <s v="Ernest Cline"/>
    <n v="4.5999999999999996"/>
    <n v="22536"/>
    <n v="12"/>
    <n v="2018"/>
    <x v="1"/>
  </r>
  <r>
    <s v="Rush Revere and the Brave Pilgrims: Time-Travel Adventures with Exceptional Americans (1)"/>
    <s v="Rush Limbaugh"/>
    <n v="4.9000000000000004"/>
    <n v="7150"/>
    <n v="12"/>
    <n v="2013"/>
    <x v="1"/>
  </r>
  <r>
    <s v="Rush Revere and the First Patriots: Time-Travel Adventures With Exceptional Americans (2)"/>
    <s v="Rush Limbaugh"/>
    <n v="4.9000000000000004"/>
    <n v="3836"/>
    <n v="12"/>
    <n v="2014"/>
    <x v="1"/>
  </r>
  <r>
    <s v="Salt, Fat, Acid, Heat: Mastering the Elements of Good Cooking"/>
    <s v="Samin Nosrat"/>
    <n v="4.8"/>
    <n v="7802"/>
    <n v="20"/>
    <n v="2018"/>
    <x v="0"/>
  </r>
  <r>
    <s v="Salt, Fat, Acid, Heat: Mastering the Elements of Good Cooking"/>
    <s v="Samin Nosrat"/>
    <n v="4.8"/>
    <n v="7802"/>
    <n v="20"/>
    <n v="2019"/>
    <x v="0"/>
  </r>
  <r>
    <s v="Sarah's Key"/>
    <s v="Tatiana de Rosnay"/>
    <n v="4.5999999999999996"/>
    <n v="3619"/>
    <n v="10"/>
    <n v="2010"/>
    <x v="1"/>
  </r>
  <r>
    <s v="School Zone - Big Preschool Workbook - Ages 4 and Up, Colors, Shapes, Numbers 1-10, Alphabet, Pre-Writing, Pre-Readingâ€¦"/>
    <s v="School Zone"/>
    <n v="4.8"/>
    <n v="23047"/>
    <n v="6"/>
    <n v="2018"/>
    <x v="0"/>
  </r>
  <r>
    <s v="School Zone - Big Preschool Workbook - Ages 4 and Up, Colors, Shapes, Numbers 1-10, Alphabet, Pre-Writing, Pre-Readingâ€¦"/>
    <s v="School Zone"/>
    <n v="4.8"/>
    <n v="23047"/>
    <n v="6"/>
    <n v="2019"/>
    <x v="0"/>
  </r>
  <r>
    <s v="Secret Garden: An Inky Treasure Hunt and Coloring Book (For Adults, mindfulness coloring)"/>
    <s v="Johanna Basford"/>
    <n v="4.7"/>
    <n v="9366"/>
    <n v="9"/>
    <n v="2015"/>
    <x v="0"/>
  </r>
  <r>
    <s v="Sh*t My Dad Says"/>
    <s v="Justin Halpern"/>
    <n v="4.7"/>
    <n v="1265"/>
    <n v="11"/>
    <n v="2010"/>
    <x v="0"/>
  </r>
  <r>
    <s v="Ship of Fools: How a Selfish Ruling Class Is Bringing America to the Brink of Revolution"/>
    <s v="Tucker Carlson"/>
    <n v="4.8"/>
    <n v="3923"/>
    <n v="16"/>
    <n v="2018"/>
    <x v="0"/>
  </r>
  <r>
    <s v="Shred: The Revolutionary Diet: 6 Weeks 4 Inches 2 Sizes"/>
    <s v="Ian K. Smith M.D."/>
    <n v="4.0999999999999996"/>
    <n v="2272"/>
    <n v="6"/>
    <n v="2013"/>
    <x v="0"/>
  </r>
  <r>
    <s v="Sookie Stackhouse"/>
    <s v="Charlaine Harris"/>
    <n v="4.7"/>
    <n v="973"/>
    <n v="25"/>
    <n v="2009"/>
    <x v="1"/>
  </r>
  <r>
    <s v="Soul Healing Miracles: Ancient and New Sacred Wisdom, Knowledge, and Practical Techniques for Healing the Spiritualâ€¦"/>
    <s v="Zhi Gang Sha"/>
    <n v="4.5999999999999996"/>
    <n v="220"/>
    <n v="17"/>
    <n v="2013"/>
    <x v="0"/>
  </r>
  <r>
    <s v="Steve Jobs"/>
    <s v="Walter Isaacson"/>
    <n v="4.5999999999999996"/>
    <n v="7827"/>
    <n v="20"/>
    <n v="2011"/>
    <x v="0"/>
  </r>
  <r>
    <s v="Steve Jobs"/>
    <s v="Walter Isaacson"/>
    <n v="4.5999999999999996"/>
    <n v="7827"/>
    <n v="20"/>
    <n v="2012"/>
    <x v="0"/>
  </r>
  <r>
    <s v="Strange Planet (Strange Planet Series)"/>
    <s v="Nathan W. Pyle"/>
    <n v="4.9000000000000004"/>
    <n v="9382"/>
    <n v="6"/>
    <n v="2019"/>
    <x v="1"/>
  </r>
  <r>
    <s v="StrengthsFinder 2.0"/>
    <s v="Gallup"/>
    <n v="4"/>
    <n v="5069"/>
    <n v="17"/>
    <n v="2009"/>
    <x v="0"/>
  </r>
  <r>
    <s v="StrengthsFinder 2.0"/>
    <s v="Gallup"/>
    <n v="4"/>
    <n v="5069"/>
    <n v="17"/>
    <n v="2010"/>
    <x v="0"/>
  </r>
  <r>
    <s v="StrengthsFinder 2.0"/>
    <s v="Gallup"/>
    <n v="4"/>
    <n v="5069"/>
    <n v="17"/>
    <n v="2011"/>
    <x v="0"/>
  </r>
  <r>
    <s v="StrengthsFinder 2.0"/>
    <s v="Gallup"/>
    <n v="4"/>
    <n v="5069"/>
    <n v="17"/>
    <n v="2012"/>
    <x v="0"/>
  </r>
  <r>
    <s v="StrengthsFinder 2.0"/>
    <s v="Gallup"/>
    <n v="4"/>
    <n v="5069"/>
    <n v="17"/>
    <n v="2013"/>
    <x v="0"/>
  </r>
  <r>
    <s v="StrengthsFinder 2.0"/>
    <s v="Gallup"/>
    <n v="4"/>
    <n v="5069"/>
    <n v="17"/>
    <n v="2014"/>
    <x v="0"/>
  </r>
  <r>
    <s v="StrengthsFinder 2.0"/>
    <s v="Gallup"/>
    <n v="4"/>
    <n v="5069"/>
    <n v="17"/>
    <n v="2015"/>
    <x v="0"/>
  </r>
  <r>
    <s v="StrengthsFinder 2.0"/>
    <s v="Gallup"/>
    <n v="4"/>
    <n v="5069"/>
    <n v="17"/>
    <n v="2016"/>
    <x v="0"/>
  </r>
  <r>
    <s v="StrengthsFinder 2.0"/>
    <s v="Gallup"/>
    <n v="4"/>
    <n v="5069"/>
    <n v="17"/>
    <n v="2017"/>
    <x v="0"/>
  </r>
  <r>
    <s v="Super Freakonomics: Global Cooling, Patriotic Prostitutes, and Why Suicide Bombers Should Buy Life Insurance"/>
    <s v="Steven D. Levitt"/>
    <n v="4.5"/>
    <n v="1583"/>
    <n v="18"/>
    <n v="2009"/>
    <x v="0"/>
  </r>
  <r>
    <s v="Switch: How to Change Things When Change Is Hard"/>
    <s v="Chip Heath"/>
    <n v="4.5999999999999996"/>
    <n v="1907"/>
    <n v="13"/>
    <n v="2010"/>
    <x v="0"/>
  </r>
  <r>
    <s v="Sycamore Row (Jake Brigance)"/>
    <s v="John Grisham"/>
    <n v="4.5"/>
    <n v="23114"/>
    <n v="18"/>
    <n v="2013"/>
    <x v="1"/>
  </r>
  <r>
    <s v="Teach Like a Champion: 49 Techniques that Put Students on the Path to College"/>
    <s v="Doug Lemov"/>
    <n v="4.4000000000000004"/>
    <n v="637"/>
    <n v="20"/>
    <n v="2010"/>
    <x v="0"/>
  </r>
  <r>
    <s v="Teach Like a Champion: 49 Techniques that Put Students on the Path to College"/>
    <s v="Doug Lemov"/>
    <n v="4.4000000000000004"/>
    <n v="637"/>
    <n v="20"/>
    <n v="2011"/>
    <x v="0"/>
  </r>
  <r>
    <s v="The 17 Day Diet: A Doctor's Plan Designed for Rapid Results"/>
    <s v="Mike Moreno"/>
    <n v="4.3"/>
    <n v="2314"/>
    <n v="22"/>
    <n v="2011"/>
    <x v="0"/>
  </r>
  <r>
    <s v="The 4 Hour Body: An Uncommon Guide to Rapid Fat Loss, Incredible Sex and Becoming Superhuman"/>
    <s v="Timothy Ferriss"/>
    <n v="4.3"/>
    <n v="4587"/>
    <n v="21"/>
    <n v="2011"/>
    <x v="0"/>
  </r>
  <r>
    <s v="The 5 Love Languages: The Secret to Love That Lasts"/>
    <s v="Gary Chapman"/>
    <n v="4.7"/>
    <n v="3477"/>
    <n v="28"/>
    <n v="2010"/>
    <x v="0"/>
  </r>
  <r>
    <s v="The 5 Love Languages: The Secret to Love That Lasts"/>
    <s v="Gary Chapman"/>
    <n v="4.7"/>
    <n v="3477"/>
    <n v="28"/>
    <n v="2011"/>
    <x v="0"/>
  </r>
  <r>
    <s v="The 5 Love Languages: The Secret to Love That Lasts"/>
    <s v="Gary Chapman"/>
    <n v="4.7"/>
    <n v="3477"/>
    <n v="28"/>
    <n v="2012"/>
    <x v="0"/>
  </r>
  <r>
    <s v="The 5 Love Languages: The Secret to Love That Lasts"/>
    <s v="Gary Chapman"/>
    <n v="4.7"/>
    <n v="3477"/>
    <n v="28"/>
    <n v="2013"/>
    <x v="0"/>
  </r>
  <r>
    <s v="The 5 Love Languages: The Secret to Love That Lasts"/>
    <s v="Gary Chapman"/>
    <n v="4.7"/>
    <n v="3477"/>
    <n v="28"/>
    <n v="2014"/>
    <x v="0"/>
  </r>
  <r>
    <s v="The 5 Love Languages: The Secret to Love that Lasts"/>
    <s v="Gary Chapman"/>
    <n v="4.8"/>
    <n v="25554"/>
    <n v="8"/>
    <n v="2015"/>
    <x v="0"/>
  </r>
  <r>
    <s v="The 5 Love Languages: The Secret to Love that Lasts"/>
    <s v="Gary Chapman"/>
    <n v="4.8"/>
    <n v="25554"/>
    <n v="8"/>
    <n v="2016"/>
    <x v="0"/>
  </r>
  <r>
    <s v="The 5 Love Languages: The Secret to Love that Lasts"/>
    <s v="Gary Chapman"/>
    <n v="4.8"/>
    <n v="25554"/>
    <n v="8"/>
    <n v="2017"/>
    <x v="0"/>
  </r>
  <r>
    <s v="The 5 Love Languages: The Secret to Love that Lasts"/>
    <s v="Gary Chapman"/>
    <n v="4.8"/>
    <n v="25554"/>
    <n v="8"/>
    <n v="2018"/>
    <x v="0"/>
  </r>
  <r>
    <s v="The 5 Love Languages: The Secret to Love that Lasts"/>
    <s v="Gary Chapman"/>
    <n v="4.8"/>
    <n v="25554"/>
    <n v="8"/>
    <n v="2019"/>
    <x v="0"/>
  </r>
  <r>
    <s v="The 5000 Year Leap"/>
    <s v="W. Cleon Skousen"/>
    <n v="4.8"/>
    <n v="1680"/>
    <n v="12"/>
    <n v="2009"/>
    <x v="0"/>
  </r>
  <r>
    <s v="The 7 Habits of Highly Effective People: Powerful Lessons in Personal Change"/>
    <s v="Stephen R. Covey"/>
    <n v="4.5999999999999996"/>
    <n v="9325"/>
    <n v="24"/>
    <n v="2009"/>
    <x v="0"/>
  </r>
  <r>
    <s v="The 7 Habits of Highly Effective People: Powerful Lessons in Personal Change"/>
    <s v="Stephen R. Covey"/>
    <n v="4.5999999999999996"/>
    <n v="9325"/>
    <n v="24"/>
    <n v="2011"/>
    <x v="0"/>
  </r>
  <r>
    <s v="The 7 Habits of Highly Effective People: Powerful Lessons in Personal Change"/>
    <s v="Stephen R. Covey"/>
    <n v="4.5999999999999996"/>
    <n v="9325"/>
    <n v="24"/>
    <n v="2012"/>
    <x v="0"/>
  </r>
  <r>
    <s v="The 7 Habits of Highly Effective People: Powerful Lessons in Personal Change"/>
    <s v="Stephen R. Covey"/>
    <n v="4.5999999999999996"/>
    <n v="9325"/>
    <n v="24"/>
    <n v="2013"/>
    <x v="0"/>
  </r>
  <r>
    <s v="The 7 Habits of Highly Effective People: Powerful Lessons in Personal Change"/>
    <s v="Stephen R. Covey"/>
    <n v="4.7"/>
    <n v="4725"/>
    <n v="16"/>
    <n v="2015"/>
    <x v="0"/>
  </r>
  <r>
    <s v="The 7 Habits of Highly Effective People: Powerful Lessons in Personal Change"/>
    <s v="Stephen R. Covey"/>
    <n v="4.7"/>
    <n v="4725"/>
    <n v="16"/>
    <n v="2016"/>
    <x v="0"/>
  </r>
  <r>
    <s v="The 7 Habits of Highly Effective People: Powerful Lessons in Personal Change"/>
    <s v="Stephen R. Covey"/>
    <n v="4.7"/>
    <n v="4725"/>
    <n v="16"/>
    <n v="2017"/>
    <x v="0"/>
  </r>
  <r>
    <s v="The Alchemist"/>
    <s v="Paulo Coelho"/>
    <n v="4.7"/>
    <n v="35799"/>
    <n v="39"/>
    <n v="2014"/>
    <x v="1"/>
  </r>
  <r>
    <s v="The Amateur"/>
    <s v="Edward Klein"/>
    <n v="4.5999999999999996"/>
    <n v="2580"/>
    <n v="9"/>
    <n v="2012"/>
    <x v="0"/>
  </r>
  <r>
    <s v="The Art of Racing in the Rain: A Novel"/>
    <s v="Garth Stein"/>
    <n v="4.7"/>
    <n v="11813"/>
    <n v="10"/>
    <n v="2010"/>
    <x v="1"/>
  </r>
  <r>
    <s v="The Art of Racing in the Rain: A Novel"/>
    <s v="Garth Stein"/>
    <n v="4.7"/>
    <n v="11813"/>
    <n v="10"/>
    <n v="2011"/>
    <x v="1"/>
  </r>
  <r>
    <s v="The Big Short: Inside the Doomsday Machine"/>
    <s v="Michael Lewis"/>
    <n v="4.7"/>
    <n v="3536"/>
    <n v="17"/>
    <n v="2010"/>
    <x v="0"/>
  </r>
  <r>
    <s v="The Blood of Olympus (The Heroes of Olympus (5))"/>
    <s v="Rick Riordan"/>
    <n v="4.8"/>
    <n v="6600"/>
    <n v="11"/>
    <n v="2014"/>
    <x v="1"/>
  </r>
  <r>
    <s v="The Blood Sugar Solution: The UltraHealthy Program for Losing Weight, Preventing Disease, and Feeling Great Now!"/>
    <s v="Mark Hyman M.D."/>
    <n v="4.2"/>
    <n v="1789"/>
    <n v="14"/>
    <n v="2012"/>
    <x v="0"/>
  </r>
  <r>
    <s v="The Body Keeps the Score: Brain, Mind, and Body in the Healing of Trauma"/>
    <s v="Bessel van der Kolk M.D."/>
    <n v="4.8"/>
    <n v="12361"/>
    <n v="12"/>
    <n v="2019"/>
    <x v="0"/>
  </r>
  <r>
    <s v="The Book of Basketball: The NBA According to The Sports Guy"/>
    <s v="Bill Simmons"/>
    <n v="4.7"/>
    <n v="858"/>
    <n v="53"/>
    <n v="2009"/>
    <x v="0"/>
  </r>
  <r>
    <s v="The Book Thief"/>
    <s v="Markus Zusak"/>
    <n v="4.5999999999999996"/>
    <n v="23148"/>
    <n v="6"/>
    <n v="2013"/>
    <x v="1"/>
  </r>
  <r>
    <s v="The Book Thief"/>
    <s v="Markus Zusak"/>
    <n v="4.5999999999999996"/>
    <n v="23148"/>
    <n v="6"/>
    <n v="2014"/>
    <x v="1"/>
  </r>
  <r>
    <s v="The Book with No Pictures"/>
    <s v="B. J. Novak"/>
    <n v="4.8"/>
    <n v="8081"/>
    <n v="8"/>
    <n v="2014"/>
    <x v="1"/>
  </r>
  <r>
    <s v="The Book with No Pictures"/>
    <s v="B. J. Novak"/>
    <n v="4.8"/>
    <n v="8081"/>
    <n v="8"/>
    <n v="2015"/>
    <x v="1"/>
  </r>
  <r>
    <s v="The Boys in the Boat: Nine Americans and Their Epic Quest for Gold at the 1936 Berlin Olympics"/>
    <s v="Daniel James Brown"/>
    <n v="4.8"/>
    <n v="23358"/>
    <n v="12"/>
    <n v="2014"/>
    <x v="0"/>
  </r>
  <r>
    <s v="The Boys in the Boat: Nine Americans and Their Epic Quest for Gold at the 1936 Berlin Olympics"/>
    <s v="Daniel James Brown"/>
    <n v="4.8"/>
    <n v="23358"/>
    <n v="12"/>
    <n v="2015"/>
    <x v="0"/>
  </r>
  <r>
    <s v="The Casual Vacancy"/>
    <s v="J.K. Rowling"/>
    <n v="3.3"/>
    <n v="9372"/>
    <n v="12"/>
    <n v="2012"/>
    <x v="1"/>
  </r>
  <r>
    <s v="The China Study: The Most Comprehensive Study of Nutrition Ever Conducted And the Startling Implications for Dietâ€¦"/>
    <s v="Thomas Campbell"/>
    <n v="4.7"/>
    <n v="4633"/>
    <n v="21"/>
    <n v="2011"/>
    <x v="0"/>
  </r>
  <r>
    <s v="The Complete Ketogenic Diet for Beginners: Your Essential Guide to Living the Keto Lifestyle"/>
    <s v="Amy Ramos"/>
    <n v="4.3"/>
    <n v="13061"/>
    <n v="6"/>
    <n v="2018"/>
    <x v="0"/>
  </r>
  <r>
    <s v="The Complete Ketogenic Diet for Beginners: Your Essential Guide to Living the Keto Lifestyle"/>
    <s v="Amy Ramos"/>
    <n v="4.3"/>
    <n v="13061"/>
    <n v="6"/>
    <n v="2019"/>
    <x v="0"/>
  </r>
  <r>
    <s v="The Confession: A Novel"/>
    <s v="John Grisham"/>
    <n v="4.3"/>
    <n v="3523"/>
    <n v="13"/>
    <n v="2010"/>
    <x v="1"/>
  </r>
  <r>
    <s v="The Constitution of the United States"/>
    <s v="Delegates of the ConstitutionalÂ…"/>
    <n v="4.8"/>
    <n v="2774"/>
    <n v="0"/>
    <n v="2016"/>
    <x v="0"/>
  </r>
  <r>
    <s v="The Daily Show with Jon Stewart Presents Earth (The Book): A Visitor's Guide to the Human Race"/>
    <s v="Jon Stewart"/>
    <n v="4.4000000000000004"/>
    <n v="440"/>
    <n v="11"/>
    <n v="2010"/>
    <x v="0"/>
  </r>
  <r>
    <s v="The Day the Crayons Quit"/>
    <s v="Drew Daywalt"/>
    <n v="4.8"/>
    <n v="8922"/>
    <n v="9"/>
    <n v="2013"/>
    <x v="1"/>
  </r>
  <r>
    <s v="The Day the Crayons Quit"/>
    <s v="Drew Daywalt"/>
    <n v="4.8"/>
    <n v="8922"/>
    <n v="9"/>
    <n v="2014"/>
    <x v="1"/>
  </r>
  <r>
    <s v="The Day the Crayons Quit"/>
    <s v="Drew Daywalt"/>
    <n v="4.8"/>
    <n v="8922"/>
    <n v="9"/>
    <n v="2015"/>
    <x v="1"/>
  </r>
  <r>
    <s v="The Dukan Diet: 2 Steps to Lose the Weight, 2 Steps to Keep It Off Forever"/>
    <s v="Pierre Dukan"/>
    <n v="4.0999999999999996"/>
    <n v="2023"/>
    <n v="15"/>
    <n v="2011"/>
    <x v="0"/>
  </r>
  <r>
    <s v="The Elegance of the Hedgehog"/>
    <s v="Muriel Barbery"/>
    <n v="4"/>
    <n v="1859"/>
    <n v="11"/>
    <n v="2009"/>
    <x v="1"/>
  </r>
  <r>
    <s v="The Fault in Our Stars"/>
    <s v="John Green"/>
    <n v="4.7"/>
    <n v="50482"/>
    <n v="13"/>
    <n v="2012"/>
    <x v="1"/>
  </r>
  <r>
    <s v="The Fault in Our Stars"/>
    <s v="John Green"/>
    <n v="4.7"/>
    <n v="50482"/>
    <n v="13"/>
    <n v="2013"/>
    <x v="1"/>
  </r>
  <r>
    <s v="The Fault in Our Stars"/>
    <s v="John Green"/>
    <n v="4.7"/>
    <n v="50482"/>
    <n v="7"/>
    <n v="2014"/>
    <x v="1"/>
  </r>
  <r>
    <s v="The Fault in Our Stars"/>
    <s v="John Green"/>
    <n v="4.7"/>
    <n v="50482"/>
    <n v="13"/>
    <n v="2014"/>
    <x v="1"/>
  </r>
  <r>
    <s v="The Five Dysfunctions of a Team: A Leadership Fable"/>
    <s v="Patrick Lencioni"/>
    <n v="4.5999999999999996"/>
    <n v="3207"/>
    <n v="6"/>
    <n v="2009"/>
    <x v="0"/>
  </r>
  <r>
    <s v="The Five Dysfunctions of a Team: A Leadership Fable"/>
    <s v="Patrick Lencioni"/>
    <n v="4.5999999999999996"/>
    <n v="3207"/>
    <n v="6"/>
    <n v="2010"/>
    <x v="0"/>
  </r>
  <r>
    <s v="The Five Dysfunctions of a Team: A Leadership Fable"/>
    <s v="Patrick Lencioni"/>
    <n v="4.5999999999999996"/>
    <n v="3207"/>
    <n v="6"/>
    <n v="2011"/>
    <x v="0"/>
  </r>
  <r>
    <s v="The Five Dysfunctions of a Team: A Leadership Fable"/>
    <s v="Patrick Lencioni"/>
    <n v="4.5999999999999996"/>
    <n v="3207"/>
    <n v="6"/>
    <n v="2012"/>
    <x v="0"/>
  </r>
  <r>
    <s v="The Five Dysfunctions of a Team: A Leadership Fable"/>
    <s v="Patrick Lencioni"/>
    <n v="4.5999999999999996"/>
    <n v="3207"/>
    <n v="6"/>
    <n v="2013"/>
    <x v="0"/>
  </r>
  <r>
    <s v="The Five Love Languages: How to Express Heartfelt Commitment to Your Mate"/>
    <s v="Gary Chapman"/>
    <n v="4.5999999999999996"/>
    <n v="803"/>
    <n v="9"/>
    <n v="2009"/>
    <x v="0"/>
  </r>
  <r>
    <s v="The Four Agreements: A Practical Guide to Personal Freedom (A Toltec Wisdom Book)"/>
    <s v="Don Miguel Ruiz"/>
    <n v="4.7"/>
    <n v="23308"/>
    <n v="6"/>
    <n v="2013"/>
    <x v="0"/>
  </r>
  <r>
    <s v="The Four Agreements: A Practical Guide to Personal Freedom (A Toltec Wisdom Book)"/>
    <s v="Don Miguel Ruiz"/>
    <n v="4.7"/>
    <n v="23308"/>
    <n v="6"/>
    <n v="2015"/>
    <x v="0"/>
  </r>
  <r>
    <s v="The Four Agreements: A Practical Guide to Personal Freedom (A Toltec Wisdom Book)"/>
    <s v="Don Miguel Ruiz"/>
    <n v="4.7"/>
    <n v="23308"/>
    <n v="6"/>
    <n v="2016"/>
    <x v="0"/>
  </r>
  <r>
    <s v="The Four Agreements: A Practical Guide to Personal Freedom (A Toltec Wisdom Book)"/>
    <s v="Don Miguel Ruiz"/>
    <n v="4.7"/>
    <n v="23308"/>
    <n v="6"/>
    <n v="2017"/>
    <x v="0"/>
  </r>
  <r>
    <s v="The Four Agreements: A Practical Guide to Personal Freedom (A Toltec Wisdom Book)"/>
    <s v="Don Miguel Ruiz"/>
    <n v="4.7"/>
    <n v="23308"/>
    <n v="6"/>
    <n v="2018"/>
    <x v="0"/>
  </r>
  <r>
    <s v="The Four Agreements: A Practical Guide to Personal Freedom (A Toltec Wisdom Book)"/>
    <s v="Don Miguel Ruiz"/>
    <n v="4.7"/>
    <n v="23308"/>
    <n v="6"/>
    <n v="2019"/>
    <x v="0"/>
  </r>
  <r>
    <s v="The Getaway"/>
    <s v="Jeff Kinney"/>
    <n v="4.8"/>
    <n v="5836"/>
    <n v="0"/>
    <n v="2017"/>
    <x v="1"/>
  </r>
  <r>
    <s v="The Girl on the Train"/>
    <s v="Paula Hawkins"/>
    <n v="4.0999999999999996"/>
    <n v="79446"/>
    <n v="18"/>
    <n v="2015"/>
    <x v="1"/>
  </r>
  <r>
    <s v="The Girl on the Train"/>
    <s v="Paula Hawkins"/>
    <n v="4.0999999999999996"/>
    <n v="79446"/>
    <n v="7"/>
    <n v="2016"/>
    <x v="1"/>
  </r>
  <r>
    <s v="The Girl Who Kicked the Hornet's Nest (Millennium Trilogy)"/>
    <s v="Stieg Larsson"/>
    <n v="4.7"/>
    <n v="7747"/>
    <n v="14"/>
    <n v="2010"/>
    <x v="1"/>
  </r>
  <r>
    <s v="The Girl Who Kicked the Hornet's Nest (Millennium Trilogy)"/>
    <s v="Stieg Larsson"/>
    <n v="4.7"/>
    <n v="7747"/>
    <n v="14"/>
    <n v="2011"/>
    <x v="1"/>
  </r>
  <r>
    <s v="The Girl Who Played with Fire (Millennium Series)"/>
    <s v="Stieg Larsson"/>
    <n v="4.7"/>
    <n v="7251"/>
    <n v="9"/>
    <n v="2010"/>
    <x v="1"/>
  </r>
  <r>
    <s v="The Girl Who Played with Fire (Millennium)"/>
    <s v="Stieg Larsson"/>
    <n v="4.7"/>
    <n v="7251"/>
    <n v="16"/>
    <n v="2009"/>
    <x v="1"/>
  </r>
  <r>
    <s v="The Girl with the Dragon Tattoo (Millennium Series)"/>
    <s v="Stieg Larsson"/>
    <n v="4.4000000000000004"/>
    <n v="10559"/>
    <n v="2"/>
    <n v="2009"/>
    <x v="1"/>
  </r>
  <r>
    <s v="The Girl with the Dragon Tattoo (Millennium Series)"/>
    <s v="Stieg Larsson"/>
    <n v="4.4000000000000004"/>
    <n v="10559"/>
    <n v="2"/>
    <n v="2010"/>
    <x v="1"/>
  </r>
  <r>
    <s v="The Going-To-Bed Book"/>
    <s v="Sandra Boynton"/>
    <n v="4.8"/>
    <n v="5249"/>
    <n v="5"/>
    <n v="2016"/>
    <x v="1"/>
  </r>
  <r>
    <s v="The Going-To-Bed Book"/>
    <s v="Sandra Boynton"/>
    <n v="4.8"/>
    <n v="5249"/>
    <n v="5"/>
    <n v="2017"/>
    <x v="1"/>
  </r>
  <r>
    <s v="The Goldfinch: A Novel (Pulitzer Prize for Fiction)"/>
    <s v="Donna Tartt"/>
    <n v="3.9"/>
    <n v="33844"/>
    <n v="20"/>
    <n v="2013"/>
    <x v="1"/>
  </r>
  <r>
    <s v="The Goldfinch: A Novel (Pulitzer Prize for Fiction)"/>
    <s v="Donna Tartt"/>
    <n v="3.9"/>
    <n v="33844"/>
    <n v="20"/>
    <n v="2014"/>
    <x v="1"/>
  </r>
  <r>
    <s v="The Great Gatsby"/>
    <s v="F. Scott Fitzgerald"/>
    <n v="4.4000000000000004"/>
    <n v="11616"/>
    <n v="7"/>
    <n v="2012"/>
    <x v="1"/>
  </r>
  <r>
    <s v="The Great Gatsby"/>
    <s v="F. Scott Fitzgerald"/>
    <n v="4.4000000000000004"/>
    <n v="11616"/>
    <n v="7"/>
    <n v="2013"/>
    <x v="1"/>
  </r>
  <r>
    <s v="The Great Gatsby"/>
    <s v="F. Scott Fitzgerald"/>
    <n v="4.4000000000000004"/>
    <n v="11616"/>
    <n v="7"/>
    <n v="2014"/>
    <x v="1"/>
  </r>
  <r>
    <s v="The Guardians: A Novel"/>
    <s v="John Grisham"/>
    <n v="4.5"/>
    <n v="13609"/>
    <n v="14"/>
    <n v="2019"/>
    <x v="1"/>
  </r>
  <r>
    <s v="The Guernsey Literary and Potato Peel Pie Society"/>
    <s v="Mary Ann Shaffer"/>
    <n v="4.7"/>
    <n v="8587"/>
    <n v="10"/>
    <n v="2009"/>
    <x v="1"/>
  </r>
  <r>
    <s v="The Handmaid's Tale"/>
    <s v="Margaret Atwood"/>
    <n v="4.3"/>
    <n v="29442"/>
    <n v="7"/>
    <n v="2017"/>
    <x v="1"/>
  </r>
  <r>
    <s v="The Harbinger: The Ancient Mystery that Holds the Secret of America's Future"/>
    <s v="Jonathan Cahn"/>
    <n v="4.5999999999999996"/>
    <n v="11098"/>
    <n v="13"/>
    <n v="2012"/>
    <x v="1"/>
  </r>
  <r>
    <s v="The Hate U Give"/>
    <s v="Angie Thomas"/>
    <n v="4.8"/>
    <n v="9947"/>
    <n v="11"/>
    <n v="2018"/>
    <x v="1"/>
  </r>
  <r>
    <s v="The Help"/>
    <s v="Kathryn Stockett"/>
    <n v="4.8"/>
    <n v="13871"/>
    <n v="6"/>
    <n v="2009"/>
    <x v="1"/>
  </r>
  <r>
    <s v="The Help"/>
    <s v="Kathryn Stockett"/>
    <n v="4.8"/>
    <n v="13871"/>
    <n v="6"/>
    <n v="2010"/>
    <x v="1"/>
  </r>
  <r>
    <s v="The Help"/>
    <s v="Kathryn Stockett"/>
    <n v="4.8"/>
    <n v="13871"/>
    <n v="8"/>
    <n v="2011"/>
    <x v="1"/>
  </r>
  <r>
    <s v="The Help"/>
    <s v="Kathryn Stockett"/>
    <n v="4.8"/>
    <n v="13871"/>
    <n v="7"/>
    <n v="2011"/>
    <x v="1"/>
  </r>
  <r>
    <s v="The House of Hades (Heroes of Olympus, Book 4)"/>
    <s v="Rick Riordan"/>
    <n v="4.8"/>
    <n v="6982"/>
    <n v="14"/>
    <n v="2013"/>
    <x v="1"/>
  </r>
  <r>
    <s v="The Hunger Games"/>
    <s v="Suzanne Collins"/>
    <n v="4.7"/>
    <n v="32122"/>
    <n v="14"/>
    <n v="2010"/>
    <x v="1"/>
  </r>
  <r>
    <s v="The Hunger Games (Book 1)"/>
    <s v="Suzanne Collins"/>
    <n v="4.7"/>
    <n v="32122"/>
    <n v="8"/>
    <n v="2011"/>
    <x v="1"/>
  </r>
  <r>
    <s v="The Hunger Games (Book 1)"/>
    <s v="Suzanne Collins"/>
    <n v="4.7"/>
    <n v="32122"/>
    <n v="8"/>
    <n v="2012"/>
    <x v="1"/>
  </r>
  <r>
    <s v="The Hunger Games Trilogy Boxed Set (1)"/>
    <s v="Suzanne Collins"/>
    <n v="4.8"/>
    <n v="16949"/>
    <n v="30"/>
    <n v="2011"/>
    <x v="1"/>
  </r>
  <r>
    <s v="The Hunger Games Trilogy Boxed Set (1)"/>
    <s v="Suzanne Collins"/>
    <n v="4.8"/>
    <n v="16949"/>
    <n v="30"/>
    <n v="2012"/>
    <x v="1"/>
  </r>
  <r>
    <s v="The Immortal Life of Henrietta Lacks"/>
    <s v="Rebecca Skloot"/>
    <n v="4.7"/>
    <n v="9289"/>
    <n v="13"/>
    <n v="2010"/>
    <x v="0"/>
  </r>
  <r>
    <s v="The Immortal Life of Henrietta Lacks"/>
    <s v="Rebecca Skloot"/>
    <n v="4.7"/>
    <n v="9289"/>
    <n v="9"/>
    <n v="2011"/>
    <x v="0"/>
  </r>
  <r>
    <s v="The Immortal Life of Henrietta Lacks"/>
    <s v="Rebecca Skloot"/>
    <n v="4.7"/>
    <n v="9289"/>
    <n v="9"/>
    <n v="2012"/>
    <x v="0"/>
  </r>
  <r>
    <s v="The Instant Pot Electric Pressure Cooker Cookbook: Easy Recipes for Fast &amp; Healthy Meals"/>
    <s v="Laurel Randolph"/>
    <n v="4.3"/>
    <n v="7368"/>
    <n v="7"/>
    <n v="2017"/>
    <x v="0"/>
  </r>
  <r>
    <s v="The Instant Pot Electric Pressure Cooker Cookbook: Easy Recipes for Fast &amp; Healthy Meals"/>
    <s v="Laurel Randolph"/>
    <n v="4.3"/>
    <n v="7368"/>
    <n v="7"/>
    <n v="2018"/>
    <x v="0"/>
  </r>
  <r>
    <s v="The Last Lecture"/>
    <s v="Randy Pausch"/>
    <n v="4.7"/>
    <n v="4028"/>
    <n v="9"/>
    <n v="2009"/>
    <x v="0"/>
  </r>
  <r>
    <s v="The Last Olympian (Percy Jackson and the Olympians, Book 5)"/>
    <s v="Rick Riordan"/>
    <n v="4.8"/>
    <n v="4628"/>
    <n v="7"/>
    <n v="2009"/>
    <x v="1"/>
  </r>
  <r>
    <s v="The Last Olympian (Percy Jackson and the Olympians, Book 5)"/>
    <s v="Rick Riordan"/>
    <n v="4.8"/>
    <n v="4628"/>
    <n v="7"/>
    <n v="2010"/>
    <x v="1"/>
  </r>
  <r>
    <s v="The Legend of Zelda: Hyrule Historia"/>
    <s v="Patrick Thorpe"/>
    <n v="4.9000000000000004"/>
    <n v="5396"/>
    <n v="20"/>
    <n v="2013"/>
    <x v="1"/>
  </r>
  <r>
    <s v="The Lego Ideas Book: Unlock Your Imagination"/>
    <s v="Daniel Lipkowitz"/>
    <n v="4.4000000000000004"/>
    <n v="4247"/>
    <n v="13"/>
    <n v="2011"/>
    <x v="0"/>
  </r>
  <r>
    <s v="The Lego Ideas Book: Unlock Your Imagination"/>
    <s v="Daniel Lipkowitz"/>
    <n v="4.4000000000000004"/>
    <n v="4247"/>
    <n v="13"/>
    <n v="2012"/>
    <x v="0"/>
  </r>
  <r>
    <s v="The Life-Changing Magic of Tidying Up: The Japanese Art of Decluttering and Organizing"/>
    <s v="Marie KondÅ"/>
    <n v="4.5"/>
    <n v="22641"/>
    <n v="11"/>
    <n v="2015"/>
    <x v="0"/>
  </r>
  <r>
    <s v="The Life-Changing Magic of Tidying Up: The Japanese Art of Decluttering and Organizing"/>
    <s v="Marie KondÅ"/>
    <n v="4.5"/>
    <n v="22641"/>
    <n v="11"/>
    <n v="2016"/>
    <x v="0"/>
  </r>
  <r>
    <s v="The Life-Changing Magic of Tidying Up: The Japanese Art of Decluttering and Organizing"/>
    <s v="Marie KondÅ"/>
    <n v="4.5"/>
    <n v="22641"/>
    <n v="11"/>
    <n v="2017"/>
    <x v="0"/>
  </r>
  <r>
    <s v="The Life-Changing Magic of Tidying Up: The Japanese Art of Decluttering and Organizing"/>
    <s v="Marie KondÅ"/>
    <n v="4.5"/>
    <n v="22641"/>
    <n v="11"/>
    <n v="2019"/>
    <x v="0"/>
  </r>
  <r>
    <s v="The Litigators"/>
    <s v="John Grisham"/>
    <n v="4.4000000000000004"/>
    <n v="6222"/>
    <n v="18"/>
    <n v="2011"/>
    <x v="1"/>
  </r>
  <r>
    <s v="The Lost Hero (Heroes of Olympus, Book 1)"/>
    <s v="Rick Riordan"/>
    <n v="4.8"/>
    <n v="4506"/>
    <n v="14"/>
    <n v="2010"/>
    <x v="1"/>
  </r>
  <r>
    <s v="The Lost Symbol"/>
    <s v="Dan Brown"/>
    <n v="4.2"/>
    <n v="8747"/>
    <n v="19"/>
    <n v="2009"/>
    <x v="1"/>
  </r>
  <r>
    <s v="The Love Dare"/>
    <s v="Stephen Kendrick"/>
    <n v="4.8"/>
    <n v="1655"/>
    <n v="13"/>
    <n v="2009"/>
    <x v="0"/>
  </r>
  <r>
    <s v="The Magnolia Story"/>
    <s v="Chip Gaines"/>
    <n v="4.9000000000000004"/>
    <n v="7861"/>
    <n v="5"/>
    <n v="2016"/>
    <x v="0"/>
  </r>
  <r>
    <s v="The Mark of Athena (Heroes of Olympus, Book 3)"/>
    <s v="Rick Riordan"/>
    <n v="4.8"/>
    <n v="6247"/>
    <n v="10"/>
    <n v="2012"/>
    <x v="1"/>
  </r>
  <r>
    <s v="The Martian"/>
    <s v="Andy Weir"/>
    <n v="4.7"/>
    <n v="39459"/>
    <n v="9"/>
    <n v="2015"/>
    <x v="1"/>
  </r>
  <r>
    <s v="The Maze Runner (Book 1)"/>
    <s v="James Dashner"/>
    <n v="4.5"/>
    <n v="10101"/>
    <n v="8"/>
    <n v="2014"/>
    <x v="1"/>
  </r>
  <r>
    <s v="The Meltdown (Diary of a Wimpy Kid Book 13)"/>
    <s v="Jeff Kinney"/>
    <n v="4.8"/>
    <n v="5898"/>
    <n v="8"/>
    <n v="2018"/>
    <x v="1"/>
  </r>
  <r>
    <s v="The Mueller Report"/>
    <s v="The Washington Post"/>
    <n v="4.5999999999999996"/>
    <n v="2744"/>
    <n v="12"/>
    <n v="2019"/>
    <x v="0"/>
  </r>
  <r>
    <s v="The Nightingale: A Novel"/>
    <s v="Kristin Hannah"/>
    <n v="4.8"/>
    <n v="49288"/>
    <n v="11"/>
    <n v="2015"/>
    <x v="1"/>
  </r>
  <r>
    <s v="The Nightingale: A Novel"/>
    <s v="Kristin Hannah"/>
    <n v="4.8"/>
    <n v="49288"/>
    <n v="11"/>
    <n v="2016"/>
    <x v="1"/>
  </r>
  <r>
    <s v="The Official SAT Study Guide"/>
    <s v="The College Board"/>
    <n v="4.4000000000000004"/>
    <n v="1201"/>
    <n v="40"/>
    <n v="2010"/>
    <x v="0"/>
  </r>
  <r>
    <s v="The Official SAT Study Guide"/>
    <s v="The College Board"/>
    <n v="4.4000000000000004"/>
    <n v="1201"/>
    <n v="40"/>
    <n v="2011"/>
    <x v="0"/>
  </r>
  <r>
    <s v="The Official SAT Study Guide"/>
    <s v="The College Board"/>
    <n v="4.4000000000000004"/>
    <n v="1201"/>
    <n v="40"/>
    <n v="2012"/>
    <x v="0"/>
  </r>
  <r>
    <s v="The Official SAT Study Guide"/>
    <s v="The College Board"/>
    <n v="4.4000000000000004"/>
    <n v="1201"/>
    <n v="40"/>
    <n v="2013"/>
    <x v="0"/>
  </r>
  <r>
    <s v="The Official SAT Study Guide"/>
    <s v="The College Board"/>
    <n v="4.4000000000000004"/>
    <n v="1201"/>
    <n v="40"/>
    <n v="2014"/>
    <x v="0"/>
  </r>
  <r>
    <s v="The Official SAT Study Guide, 2016 Edition (Official Study Guide for the New Sat)"/>
    <s v="The College Board"/>
    <n v="4.3"/>
    <n v="807"/>
    <n v="36"/>
    <n v="2016"/>
    <x v="0"/>
  </r>
  <r>
    <s v="The Paris Wife: A Novel"/>
    <s v="Paula McLain"/>
    <n v="4.3"/>
    <n v="3759"/>
    <n v="16"/>
    <n v="2011"/>
    <x v="1"/>
  </r>
  <r>
    <s v="The Pioneer Woman Cooks: A Year of Holidays: 140 Step-by-Step Recipes for Simple, Scrumptious Celebrations"/>
    <s v="Ree Drummond"/>
    <n v="4.8"/>
    <n v="2663"/>
    <n v="17"/>
    <n v="2013"/>
    <x v="0"/>
  </r>
  <r>
    <s v="The Pioneer Woman Cooks: Dinnertime - Comfort Classics, Freezer Food, 16-minute Meals, and Other Delicious Ways to Solveâ€¦"/>
    <s v="Ree Drummond"/>
    <n v="4.8"/>
    <n v="3428"/>
    <n v="14"/>
    <n v="2015"/>
    <x v="0"/>
  </r>
  <r>
    <s v="The Pioneer Woman Cooks: Food from My Frontier"/>
    <s v="Ree Drummond"/>
    <n v="4.8"/>
    <n v="2876"/>
    <n v="21"/>
    <n v="2012"/>
    <x v="0"/>
  </r>
  <r>
    <s v="The Plant Paradox Cookbook: 100 Delicious Recipes to Help You Lose Weight, Heal Your Gut, and Live Lectin-Free"/>
    <s v="Dr. Steven R Gundry MD"/>
    <n v="4.5"/>
    <n v="3601"/>
    <n v="18"/>
    <n v="2018"/>
    <x v="0"/>
  </r>
  <r>
    <s v="The Plant Paradox: The Hidden Dangers in &quot;Healthy&quot; Foods That Cause Disease and Weight Gain"/>
    <s v="Dr. Steven R Gundry MD"/>
    <n v="4.4000000000000004"/>
    <n v="7058"/>
    <n v="17"/>
    <n v="2018"/>
    <x v="0"/>
  </r>
  <r>
    <s v="The Pout-Pout Fish"/>
    <s v="Deborah Diesen"/>
    <n v="4.8"/>
    <n v="9784"/>
    <n v="5"/>
    <n v="2017"/>
    <x v="1"/>
  </r>
  <r>
    <s v="The Pout-Pout Fish"/>
    <s v="Deborah Diesen"/>
    <n v="4.8"/>
    <n v="9784"/>
    <n v="5"/>
    <n v="2018"/>
    <x v="1"/>
  </r>
  <r>
    <s v="The Power of Habit: Why We Do What We Do in Life and Business"/>
    <s v="Charles Duhigg"/>
    <n v="4.5999999999999996"/>
    <n v="10795"/>
    <n v="21"/>
    <n v="2012"/>
    <x v="0"/>
  </r>
  <r>
    <s v="The President Is Missing: A Novel"/>
    <s v="James Patterson"/>
    <n v="4.3"/>
    <n v="10191"/>
    <n v="18"/>
    <n v="2018"/>
    <x v="1"/>
  </r>
  <r>
    <s v="The Racketeer"/>
    <s v="John Grisham"/>
    <n v="4.3"/>
    <n v="14493"/>
    <n v="18"/>
    <n v="2012"/>
    <x v="1"/>
  </r>
  <r>
    <s v="The Red Pyramid (The Kane Chronicles, Book 1)"/>
    <s v="Rick Riordan"/>
    <n v="4.5999999999999996"/>
    <n v="2186"/>
    <n v="12"/>
    <n v="2010"/>
    <x v="1"/>
  </r>
  <r>
    <s v="The Road to Serfdom: Text and Documents--The Definitive Edition (The Collected Works of F. A. Hayek, Volume 2)"/>
    <s v="F. A. Hayek"/>
    <n v="4.5999999999999996"/>
    <n v="1204"/>
    <n v="14"/>
    <n v="2010"/>
    <x v="0"/>
  </r>
  <r>
    <s v="The Serpent's Shadow (The Kane Chronicles, Book 3)"/>
    <s v="Rick Riordan"/>
    <n v="4.8"/>
    <n v="2091"/>
    <n v="12"/>
    <n v="2012"/>
    <x v="1"/>
  </r>
  <r>
    <s v="The Shack: Where Tragedy Confronts Eternity"/>
    <s v="William P. Young"/>
    <n v="4.5999999999999996"/>
    <n v="19720"/>
    <n v="8"/>
    <n v="2009"/>
    <x v="1"/>
  </r>
  <r>
    <s v="The Shack: Where Tragedy Confronts Eternity"/>
    <s v="William P. Young"/>
    <n v="4.5999999999999996"/>
    <n v="19720"/>
    <n v="8"/>
    <n v="2017"/>
    <x v="1"/>
  </r>
  <r>
    <s v="The Short Second Life of Bree Tanner: An Eclipse Novella (The Twilight Saga)"/>
    <s v="Stephenie Meyer"/>
    <n v="4.5999999999999996"/>
    <n v="2122"/>
    <n v="0"/>
    <n v="2010"/>
    <x v="1"/>
  </r>
  <r>
    <s v="The Silent Patient"/>
    <s v="Alex Michaelides"/>
    <n v="4.5"/>
    <n v="27536"/>
    <n v="14"/>
    <n v="2019"/>
    <x v="1"/>
  </r>
  <r>
    <s v="The Son of Neptune (Heroes of Olympus, Book 2)"/>
    <s v="Rick Riordan"/>
    <n v="4.8"/>
    <n v="4290"/>
    <n v="10"/>
    <n v="2011"/>
    <x v="1"/>
  </r>
  <r>
    <s v="The Subtle Art of Not Giving a F*ck: A Counterintuitive Approach to Living a Good Life"/>
    <s v="Mark Manson"/>
    <n v="4.5999999999999996"/>
    <n v="26490"/>
    <n v="15"/>
    <n v="2017"/>
    <x v="0"/>
  </r>
  <r>
    <s v="The Subtle Art of Not Giving a F*ck: A Counterintuitive Approach to Living a Good Life"/>
    <s v="Mark Manson"/>
    <n v="4.5999999999999996"/>
    <n v="26490"/>
    <n v="15"/>
    <n v="2018"/>
    <x v="0"/>
  </r>
  <r>
    <s v="The Subtle Art of Not Giving a F*ck: A Counterintuitive Approach to Living a Good Life"/>
    <s v="Mark Manson"/>
    <n v="4.5999999999999996"/>
    <n v="26490"/>
    <n v="15"/>
    <n v="2019"/>
    <x v="0"/>
  </r>
  <r>
    <s v="The Sun and Her Flowers"/>
    <s v="Rupi Kaur"/>
    <n v="4.7"/>
    <n v="5487"/>
    <n v="9"/>
    <n v="2017"/>
    <x v="0"/>
  </r>
  <r>
    <s v="The Third Wheel (Diary of a Wimpy Kid, Book 7)"/>
    <s v="Jeff Kinney"/>
    <n v="4.7"/>
    <n v="6377"/>
    <n v="7"/>
    <n v="2012"/>
    <x v="1"/>
  </r>
  <r>
    <s v="The Throne of Fire (The Kane Chronicles, Book 2)"/>
    <s v="Rick Riordan"/>
    <n v="4.7"/>
    <n v="1463"/>
    <n v="10"/>
    <n v="2011"/>
    <x v="1"/>
  </r>
  <r>
    <s v="The Time Traveler's Wife"/>
    <s v="Audrey Niffenegger"/>
    <n v="4.4000000000000004"/>
    <n v="3759"/>
    <n v="6"/>
    <n v="2009"/>
    <x v="1"/>
  </r>
  <r>
    <s v="The Tipping Point: How Little Things Can Make a Big Difference"/>
    <s v="Malcolm Gladwell"/>
    <n v="4.4000000000000004"/>
    <n v="3503"/>
    <n v="9"/>
    <n v="2009"/>
    <x v="0"/>
  </r>
  <r>
    <s v="The Total Money Makeover: Classic Edition: A Proven Plan for Financial Fitness"/>
    <s v="Dave Ramsey"/>
    <n v="4.7"/>
    <n v="11550"/>
    <n v="10"/>
    <n v="2019"/>
    <x v="0"/>
  </r>
  <r>
    <s v="The Twilight Saga Collection"/>
    <s v="Stephenie Meyer"/>
    <n v="4.7"/>
    <n v="3801"/>
    <n v="82"/>
    <n v="2009"/>
    <x v="1"/>
  </r>
  <r>
    <s v="The Ugly Truth (Diary of a Wimpy Kid, Book 5)"/>
    <s v="Jeff Kinney"/>
    <n v="4.8"/>
    <n v="3796"/>
    <n v="12"/>
    <n v="2010"/>
    <x v="1"/>
  </r>
  <r>
    <s v="The Unofficial Harry Potter Cookbook: From Cauldron Cakes to Knickerbocker Glory--More Than 150 Magical Recipes forâ€¦"/>
    <s v="Dinah Bucholz"/>
    <n v="4.7"/>
    <n v="9030"/>
    <n v="10"/>
    <n v="2019"/>
    <x v="0"/>
  </r>
  <r>
    <s v="The Very Hungry Caterpillar"/>
    <s v="Eric Carle"/>
    <n v="4.9000000000000004"/>
    <n v="19546"/>
    <n v="5"/>
    <n v="2013"/>
    <x v="1"/>
  </r>
  <r>
    <s v="The Very Hungry Caterpillar"/>
    <s v="Eric Carle"/>
    <n v="4.9000000000000004"/>
    <n v="19546"/>
    <n v="5"/>
    <n v="2014"/>
    <x v="1"/>
  </r>
  <r>
    <s v="The Very Hungry Caterpillar"/>
    <s v="Eric Carle"/>
    <n v="4.9000000000000004"/>
    <n v="19546"/>
    <n v="5"/>
    <n v="2015"/>
    <x v="1"/>
  </r>
  <r>
    <s v="The Very Hungry Caterpillar"/>
    <s v="Eric Carle"/>
    <n v="4.9000000000000004"/>
    <n v="19546"/>
    <n v="5"/>
    <n v="2016"/>
    <x v="1"/>
  </r>
  <r>
    <s v="The Very Hungry Caterpillar"/>
    <s v="Eric Carle"/>
    <n v="4.9000000000000004"/>
    <n v="19546"/>
    <n v="5"/>
    <n v="2017"/>
    <x v="1"/>
  </r>
  <r>
    <s v="The Very Hungry Caterpillar"/>
    <s v="Eric Carle"/>
    <n v="4.9000000000000004"/>
    <n v="19546"/>
    <n v="5"/>
    <n v="2018"/>
    <x v="1"/>
  </r>
  <r>
    <s v="The Very Hungry Caterpillar"/>
    <s v="Eric Carle"/>
    <n v="4.9000000000000004"/>
    <n v="19546"/>
    <n v="5"/>
    <n v="2019"/>
    <x v="1"/>
  </r>
  <r>
    <s v="The Whole30: The 30-Day Guide to Total Health and Food Freedom"/>
    <s v="Melissa Hartwig Urban"/>
    <n v="4.5999999999999996"/>
    <n v="7508"/>
    <n v="16"/>
    <n v="2015"/>
    <x v="0"/>
  </r>
  <r>
    <s v="The Whole30: The 30-Day Guide to Total Health and Food Freedom"/>
    <s v="Melissa Hartwig Urban"/>
    <n v="4.5999999999999996"/>
    <n v="7508"/>
    <n v="16"/>
    <n v="2016"/>
    <x v="0"/>
  </r>
  <r>
    <s v="The Whole30: The 30-Day Guide to Total Health and Food Freedom"/>
    <s v="Melissa Hartwig Urban"/>
    <n v="4.5999999999999996"/>
    <n v="7508"/>
    <n v="16"/>
    <n v="2017"/>
    <x v="0"/>
  </r>
  <r>
    <s v="The Wonderful Things You Will Be"/>
    <s v="Emily Winfield Martin"/>
    <n v="4.9000000000000004"/>
    <n v="8842"/>
    <n v="10"/>
    <n v="2016"/>
    <x v="1"/>
  </r>
  <r>
    <s v="The Wonderful Things You Will Be"/>
    <s v="Emily Winfield Martin"/>
    <n v="4.9000000000000004"/>
    <n v="8842"/>
    <n v="10"/>
    <n v="2017"/>
    <x v="1"/>
  </r>
  <r>
    <s v="The Wonderful Things You Will Be"/>
    <s v="Emily Winfield Martin"/>
    <n v="4.9000000000000004"/>
    <n v="8842"/>
    <n v="10"/>
    <n v="2018"/>
    <x v="1"/>
  </r>
  <r>
    <s v="The Wonderful Things You Will Be"/>
    <s v="Emily Winfield Martin"/>
    <n v="4.9000000000000004"/>
    <n v="8842"/>
    <n v="10"/>
    <n v="2019"/>
    <x v="1"/>
  </r>
  <r>
    <s v="The Wonky Donkey"/>
    <s v="Craig Smith"/>
    <n v="4.8"/>
    <n v="30183"/>
    <n v="4"/>
    <n v="2018"/>
    <x v="1"/>
  </r>
  <r>
    <s v="The Wonky Donkey"/>
    <s v="Craig Smith"/>
    <n v="4.8"/>
    <n v="30183"/>
    <n v="4"/>
    <n v="2019"/>
    <x v="1"/>
  </r>
  <r>
    <s v="The Wright Brothers"/>
    <s v="David McCullough"/>
    <n v="4.7"/>
    <n v="6169"/>
    <n v="16"/>
    <n v="2015"/>
    <x v="0"/>
  </r>
  <r>
    <s v="Things That Matter: Three Decades of Passions, Pastimes and Politics [Deckled Edge]"/>
    <s v="Charles Krauthammer"/>
    <n v="4.7"/>
    <n v="7034"/>
    <n v="15"/>
    <n v="2013"/>
    <x v="0"/>
  </r>
  <r>
    <s v="Thinking, Fast and Slow"/>
    <s v="Daniel Kahneman"/>
    <n v="4.5999999999999996"/>
    <n v="11034"/>
    <n v="19"/>
    <n v="2011"/>
    <x v="0"/>
  </r>
  <r>
    <s v="Thinking, Fast and Slow"/>
    <s v="Daniel Kahneman"/>
    <n v="4.5999999999999996"/>
    <n v="11034"/>
    <n v="19"/>
    <n v="2012"/>
    <x v="0"/>
  </r>
  <r>
    <s v="Thirteen Reasons Why"/>
    <s v="Jay Asher"/>
    <n v="4.5"/>
    <n v="7932"/>
    <n v="9"/>
    <n v="2017"/>
    <x v="1"/>
  </r>
  <r>
    <s v="Thomas Jefferson: The Art of Power"/>
    <s v="Jon Meacham"/>
    <n v="4.5"/>
    <n v="1904"/>
    <n v="23"/>
    <n v="2012"/>
    <x v="0"/>
  </r>
  <r>
    <s v="Three Cups of Tea: One Man's Mission to Promote Peace - One School at a Time"/>
    <s v="Greg Mortenson"/>
    <n v="4.3"/>
    <n v="3319"/>
    <n v="11"/>
    <n v="2009"/>
    <x v="0"/>
  </r>
  <r>
    <s v="Three Cups of Tea: One Man's Mission to Promote Peace - One School at a Time"/>
    <s v="Greg Mortenson"/>
    <n v="4.3"/>
    <n v="3319"/>
    <n v="11"/>
    <n v="2010"/>
    <x v="0"/>
  </r>
  <r>
    <s v="Thug Kitchen: The Official Cookbook: Eat Like You Give a F*ck (Thug Kitchen Cookbooks)"/>
    <s v="Thug Kitchen"/>
    <n v="4.5999999999999996"/>
    <n v="11128"/>
    <n v="23"/>
    <n v="2014"/>
    <x v="0"/>
  </r>
  <r>
    <s v="Thug Kitchen: The Official Cookbook: Eat Like You Give a F*ck (Thug Kitchen Cookbooks)"/>
    <s v="Thug Kitchen"/>
    <n v="4.5999999999999996"/>
    <n v="11128"/>
    <n v="23"/>
    <n v="2015"/>
    <x v="0"/>
  </r>
  <r>
    <s v="Thug Kitchen: The Official Cookbook: Eat Like You Give a F*ck (Thug Kitchen Cookbooks)"/>
    <s v="Thug Kitchen"/>
    <n v="4.5999999999999996"/>
    <n v="11128"/>
    <n v="23"/>
    <n v="2016"/>
    <x v="0"/>
  </r>
  <r>
    <s v="Thug Kitchen: The Official Cookbook: Eat Like You Give a F*ck (Thug Kitchen Cookbooks)"/>
    <s v="Thug Kitchen"/>
    <n v="4.5999999999999996"/>
    <n v="11128"/>
    <n v="23"/>
    <n v="2017"/>
    <x v="0"/>
  </r>
  <r>
    <s v="Tina Fey: Bossypants"/>
    <s v="Tina Fey"/>
    <n v="4.3"/>
    <n v="5977"/>
    <n v="12"/>
    <n v="2011"/>
    <x v="0"/>
  </r>
  <r>
    <s v="To Kill a Mockingbird"/>
    <s v="Harper Lee"/>
    <n v="4.8"/>
    <n v="26234"/>
    <n v="0"/>
    <n v="2013"/>
    <x v="1"/>
  </r>
  <r>
    <s v="To Kill a Mockingbird"/>
    <s v="Harper Lee"/>
    <n v="4.8"/>
    <n v="26234"/>
    <n v="0"/>
    <n v="2014"/>
    <x v="1"/>
  </r>
  <r>
    <s v="To Kill a Mockingbird"/>
    <s v="Harper Lee"/>
    <n v="4.8"/>
    <n v="26234"/>
    <n v="0"/>
    <n v="2015"/>
    <x v="1"/>
  </r>
  <r>
    <s v="To Kill a Mockingbird"/>
    <s v="Harper Lee"/>
    <n v="4.8"/>
    <n v="26234"/>
    <n v="0"/>
    <n v="2016"/>
    <x v="1"/>
  </r>
  <r>
    <s v="To Kill a Mockingbird"/>
    <s v="Harper Lee"/>
    <n v="4.8"/>
    <n v="26234"/>
    <n v="7"/>
    <n v="2019"/>
    <x v="1"/>
  </r>
  <r>
    <s v="Tools of Titans: The Tactics, Routines, and Habits of Billionaires, Icons, and World-Class Performers"/>
    <s v="Timothy Ferriss"/>
    <n v="4.5999999999999996"/>
    <n v="4360"/>
    <n v="21"/>
    <n v="2017"/>
    <x v="0"/>
  </r>
  <r>
    <s v="Towers of Midnight (Wheel of Time, Book Thirteen)"/>
    <s v="Robert Jordan"/>
    <n v="4.8"/>
    <n v="2282"/>
    <n v="21"/>
    <n v="2010"/>
    <x v="1"/>
  </r>
  <r>
    <s v="True Compass: A Memoir"/>
    <s v="Edward M. Kennedy"/>
    <n v="4.5"/>
    <n v="438"/>
    <n v="15"/>
    <n v="2009"/>
    <x v="0"/>
  </r>
  <r>
    <s v="Twilight (The Twilight Saga, Book 1)"/>
    <s v="Stephenie Meyer"/>
    <n v="4.7"/>
    <n v="11676"/>
    <n v="9"/>
    <n v="2009"/>
    <x v="1"/>
  </r>
  <r>
    <s v="Ultimate Sticker Book: Frozen: More Than 60 Reusable Full-Color Stickers"/>
    <s v="DK"/>
    <n v="4.5"/>
    <n v="2586"/>
    <n v="5"/>
    <n v="2014"/>
    <x v="1"/>
  </r>
  <r>
    <s v="Unbroken: A World War II Story of Survival, Resilience, and Redemption"/>
    <s v="Laura Hillenbrand"/>
    <n v="4.8"/>
    <n v="29673"/>
    <n v="16"/>
    <n v="2010"/>
    <x v="0"/>
  </r>
  <r>
    <s v="Unbroken: A World War II Story of Survival, Resilience, and Redemption"/>
    <s v="Laura Hillenbrand"/>
    <n v="4.8"/>
    <n v="29673"/>
    <n v="16"/>
    <n v="2011"/>
    <x v="0"/>
  </r>
  <r>
    <s v="Unbroken: A World War II Story of Survival, Resilience, and Redemption"/>
    <s v="Laura Hillenbrand"/>
    <n v="4.8"/>
    <n v="29673"/>
    <n v="16"/>
    <n v="2012"/>
    <x v="0"/>
  </r>
  <r>
    <s v="Unbroken: A World War II Story of Survival, Resilience, and Redemption"/>
    <s v="Laura Hillenbrand"/>
    <n v="4.8"/>
    <n v="29673"/>
    <n v="13"/>
    <n v="2014"/>
    <x v="0"/>
  </r>
  <r>
    <s v="Unbroken: A World War II Story of Survival, Resilience, and Redemption"/>
    <s v="Laura Hillenbrand"/>
    <n v="4.8"/>
    <n v="29673"/>
    <n v="16"/>
    <n v="2014"/>
    <x v="0"/>
  </r>
  <r>
    <s v="Under the Dome: A Novel"/>
    <s v="Stephen King"/>
    <n v="4.3"/>
    <n v="6740"/>
    <n v="20"/>
    <n v="2009"/>
    <x v="1"/>
  </r>
  <r>
    <s v="Unfreedom of the Press"/>
    <s v="Mark R. Levin"/>
    <n v="4.9000000000000004"/>
    <n v="5956"/>
    <n v="11"/>
    <n v="2019"/>
    <x v="0"/>
  </r>
  <r>
    <s v="Unicorn Coloring Book: For Kids Ages 4-8 (US Edition) (Silly Bear Coloring Books)"/>
    <s v="Silly Bear"/>
    <n v="4.8"/>
    <n v="6108"/>
    <n v="4"/>
    <n v="2019"/>
    <x v="0"/>
  </r>
  <r>
    <s v="Uninvited: Living Loved When You Feel Less Than, Left Out, and Lonely"/>
    <s v="Lysa TerKeurst"/>
    <n v="4.7"/>
    <n v="4585"/>
    <n v="9"/>
    <n v="2016"/>
    <x v="0"/>
  </r>
  <r>
    <s v="Watchmen"/>
    <s v="Alan Moore"/>
    <n v="4.8"/>
    <n v="3829"/>
    <n v="42"/>
    <n v="2009"/>
    <x v="1"/>
  </r>
  <r>
    <s v="Water for Elephants: A Novel"/>
    <s v="Sara Gruen"/>
    <n v="4.5"/>
    <n v="8958"/>
    <n v="12"/>
    <n v="2011"/>
    <x v="1"/>
  </r>
  <r>
    <s v="What Happened"/>
    <s v="Hillary Rodham Clinton"/>
    <n v="4.5999999999999996"/>
    <n v="5492"/>
    <n v="18"/>
    <n v="2017"/>
    <x v="0"/>
  </r>
  <r>
    <s v="What If?: Serious Scientific Answers to Absurd Hypothetical Questions"/>
    <s v="Randall Munroe"/>
    <n v="4.7"/>
    <n v="9292"/>
    <n v="17"/>
    <n v="2014"/>
    <x v="0"/>
  </r>
  <r>
    <s v="What Pet Should I Get? (Classic Seuss)"/>
    <s v="Dr. Seuss"/>
    <n v="4.7"/>
    <n v="1873"/>
    <n v="14"/>
    <n v="2015"/>
    <x v="1"/>
  </r>
  <r>
    <s v="What Should Danny Do? (The Power to Choose Series)"/>
    <s v="Adir Levy"/>
    <n v="4.8"/>
    <n v="8170"/>
    <n v="13"/>
    <n v="2019"/>
    <x v="1"/>
  </r>
  <r>
    <s v="What to Expect When You're Expecting"/>
    <s v="Heidi Murkoff"/>
    <n v="4.4000000000000004"/>
    <n v="3341"/>
    <n v="9"/>
    <n v="2011"/>
    <x v="0"/>
  </r>
  <r>
    <s v="Wheat Belly: Lose the Wheat, Lose the Weight, and Find Your Path Back to Health"/>
    <s v="William Davis"/>
    <n v="4.4000000000000004"/>
    <n v="7497"/>
    <n v="6"/>
    <n v="2012"/>
    <x v="0"/>
  </r>
  <r>
    <s v="Wheat Belly: Lose the Wheat, Lose the Weight, and Find Your Path Back to Health"/>
    <s v="William Davis"/>
    <n v="4.4000000000000004"/>
    <n v="7497"/>
    <n v="6"/>
    <n v="2013"/>
    <x v="0"/>
  </r>
  <r>
    <s v="When Breath Becomes Air"/>
    <s v="Paul Kalanithi"/>
    <n v="4.8"/>
    <n v="13779"/>
    <n v="14"/>
    <n v="2016"/>
    <x v="0"/>
  </r>
  <r>
    <s v="Where the Crawdads Sing"/>
    <s v="Delia Owens"/>
    <n v="4.8"/>
    <n v="87841"/>
    <n v="15"/>
    <n v="2019"/>
    <x v="1"/>
  </r>
  <r>
    <s v="Where the Wild Things Are"/>
    <s v="Maurice Sendak"/>
    <n v="4.8"/>
    <n v="9967"/>
    <n v="13"/>
    <n v="2009"/>
    <x v="1"/>
  </r>
  <r>
    <s v="Whose Boat Is This Boat?: Comments That Don't Help in the Aftermath of a Hurricane"/>
    <s v="The Staff of The Late Show withÂ…"/>
    <n v="4.5999999999999996"/>
    <n v="6669"/>
    <n v="12"/>
    <n v="2018"/>
    <x v="0"/>
  </r>
  <r>
    <s v="Wild: From Lost to Found on the Pacific Crest Trail"/>
    <s v="Cheryl Strayed"/>
    <n v="4.4000000000000004"/>
    <n v="17044"/>
    <n v="18"/>
    <n v="2012"/>
    <x v="0"/>
  </r>
  <r>
    <s v="Winter of the World: Book Two of the Century Trilogy"/>
    <s v="Ken Follett"/>
    <n v="4.5"/>
    <n v="10760"/>
    <n v="15"/>
    <n v="2012"/>
    <x v="1"/>
  </r>
  <r>
    <s v="Women Food and God: An Unexpected Path to Almost Everything"/>
    <s v="Geneen Roth"/>
    <n v="4.2"/>
    <n v="1302"/>
    <n v="11"/>
    <n v="2010"/>
    <x v="0"/>
  </r>
  <r>
    <s v="Wonder"/>
    <s v="R. J. Palacio"/>
    <n v="4.8"/>
    <n v="21625"/>
    <n v="9"/>
    <n v="2013"/>
    <x v="1"/>
  </r>
  <r>
    <s v="Wonder"/>
    <s v="R. J. Palacio"/>
    <n v="4.8"/>
    <n v="21625"/>
    <n v="9"/>
    <n v="2014"/>
    <x v="1"/>
  </r>
  <r>
    <s v="Wonder"/>
    <s v="R. J. Palacio"/>
    <n v="4.8"/>
    <n v="21625"/>
    <n v="9"/>
    <n v="2015"/>
    <x v="1"/>
  </r>
  <r>
    <s v="Wonder"/>
    <s v="R. J. Palacio"/>
    <n v="4.8"/>
    <n v="21625"/>
    <n v="9"/>
    <n v="2016"/>
    <x v="1"/>
  </r>
  <r>
    <s v="Wonder"/>
    <s v="R. J. Palacio"/>
    <n v="4.8"/>
    <n v="21625"/>
    <n v="9"/>
    <n v="2017"/>
    <x v="1"/>
  </r>
  <r>
    <s v="Wrecking Ball (Diary of a Wimpy Kid Book 14)"/>
    <s v="Jeff Kinney"/>
    <n v="4.9000000000000004"/>
    <n v="9413"/>
    <n v="8"/>
    <n v="2019"/>
    <x v="1"/>
  </r>
  <r>
    <s v="You Are a Badass: How to Stop Doubting Your Greatness and Start Living an Awesome Life"/>
    <s v="Jen Sincero"/>
    <n v="4.7"/>
    <n v="14331"/>
    <n v="8"/>
    <n v="2016"/>
    <x v="0"/>
  </r>
  <r>
    <s v="You Are a Badass: How to Stop Doubting Your Greatness and Start Living an Awesome Life"/>
    <s v="Jen Sincero"/>
    <n v="4.7"/>
    <n v="14331"/>
    <n v="8"/>
    <n v="2017"/>
    <x v="0"/>
  </r>
  <r>
    <s v="You Are a Badass: How to Stop Doubting Your Greatness and Start Living an Awesome Life"/>
    <s v="Jen Sincero"/>
    <n v="4.7"/>
    <n v="14331"/>
    <n v="8"/>
    <n v="2018"/>
    <x v="0"/>
  </r>
  <r>
    <s v="You Are a Badass: How to Stop Doubting Your Greatness and Start Living an Awesome Life"/>
    <s v="Jen Sincero"/>
    <n v="4.7"/>
    <n v="14331"/>
    <n v="8"/>
    <n v="20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6DB374-9C29-4F74-BF6F-BB09C170DA1D}"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I8:K11" firstHeaderRow="0" firstDataRow="1" firstDataCol="1"/>
  <pivotFields count="7">
    <pivotField showAll="0"/>
    <pivotField showAll="0"/>
    <pivotField dataField="1" showAll="0"/>
    <pivotField dataField="1" showAll="0"/>
    <pivotField showAll="0"/>
    <pivotField showAll="0"/>
    <pivotField axis="axisRow" showAll="0">
      <items count="3">
        <item x="1"/>
        <item x="0"/>
        <item t="default"/>
      </items>
    </pivotField>
  </pivotFields>
  <rowFields count="1">
    <field x="6"/>
  </rowFields>
  <rowItems count="3">
    <i>
      <x/>
    </i>
    <i>
      <x v="1"/>
    </i>
    <i t="grand">
      <x/>
    </i>
  </rowItems>
  <colFields count="1">
    <field x="-2"/>
  </colFields>
  <colItems count="2">
    <i>
      <x/>
    </i>
    <i i="1">
      <x v="1"/>
    </i>
  </colItems>
  <dataFields count="2">
    <dataField name="Average User Rating" fld="2" subtotal="average" baseField="6" baseItem="0"/>
    <dataField name="Sum of Reviews" fld="3"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EE90BD63-8802-446D-846B-3F1F3C36E72B}" sourceName="Year">
  <extLst>
    <x:ext xmlns:x15="http://schemas.microsoft.com/office/spreadsheetml/2010/11/main" uri="{2F2917AC-EB37-4324-AD4E-5DD8C200BD13}">
      <x15:tableSlicerCache tableId="3" column="6"/>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1" xr10:uid="{E536CB41-FB0F-45D1-9FD7-49D106429FEE}" sourceName="Genre">
  <extLst>
    <x:ext xmlns:x15="http://schemas.microsoft.com/office/spreadsheetml/2010/11/main" uri="{2F2917AC-EB37-4324-AD4E-5DD8C200BD13}">
      <x15:tableSlicerCache tableId="3"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77D55F76-2FDB-4EFE-AFA5-882CFB33D690}" cache="Slicer_Year1" caption="Year" startItem="3" rowHeight="241300"/>
  <slicer name="Genre 1" xr10:uid="{A1F20B8E-5E79-498C-B60C-72E550306B21}" cache="Slicer_Genre1" caption="Genr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F20F065-9003-4CF5-ACAB-158239942291}" name="Table3" displayName="Table3" ref="A1:G551" totalsRowShown="0">
  <autoFilter ref="A1:G551" xr:uid="{DF20F065-9003-4CF5-ACAB-158239942291}"/>
  <tableColumns count="7">
    <tableColumn id="1" xr3:uid="{D34BEEDB-98F0-4654-9878-C3A7E028D237}" name="Name"/>
    <tableColumn id="2" xr3:uid="{518549EC-5B09-495E-8F98-1DE0E71260E3}" name="Author"/>
    <tableColumn id="3" xr3:uid="{A932C1B7-C718-4233-A2A2-C74E3227F287}" name="User Rating"/>
    <tableColumn id="4" xr3:uid="{31B602BE-E62C-4964-B292-1231E2727810}" name="Reviews"/>
    <tableColumn id="5" xr3:uid="{75A427B3-8B72-4EF5-8617-F63598FD1C62}" name="Price"/>
    <tableColumn id="6" xr3:uid="{349CEFF4-4ED1-4B9E-A5A5-E54AD1C29C7C}" name="Year"/>
    <tableColumn id="7" xr3:uid="{7E6169C1-06B3-4F72-80C0-2E1B80EAB396}" name="Gen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7.bin"/><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D6FA5-8185-4B78-A22F-CAD01EDF402B}">
  <dimension ref="A1:S563"/>
  <sheetViews>
    <sheetView tabSelected="1" topLeftCell="I1" zoomScaleNormal="100" workbookViewId="0">
      <selection activeCell="M13" sqref="M13"/>
    </sheetView>
  </sheetViews>
  <sheetFormatPr defaultRowHeight="15" x14ac:dyDescent="0.25"/>
  <cols>
    <col min="1" max="1" width="29.7109375" customWidth="1"/>
    <col min="2" max="2" width="33.42578125" customWidth="1"/>
    <col min="4" max="4" width="10.7109375" bestFit="1" customWidth="1"/>
    <col min="7" max="7" width="11.140625" bestFit="1" customWidth="1"/>
    <col min="8" max="8" width="13.42578125" customWidth="1"/>
    <col min="9" max="9" width="11.140625" bestFit="1" customWidth="1"/>
    <col min="10" max="10" width="14" customWidth="1"/>
    <col min="12" max="12" width="16.42578125" bestFit="1" customWidth="1"/>
    <col min="13" max="13" width="27.85546875" customWidth="1"/>
    <col min="14" max="14" width="17.85546875" customWidth="1"/>
    <col min="15" max="15" width="40.85546875" customWidth="1"/>
    <col min="16" max="16" width="6.85546875" customWidth="1"/>
    <col min="17" max="17" width="7.5703125" customWidth="1"/>
    <col min="18" max="18" width="29.7109375" customWidth="1"/>
    <col min="19" max="19" width="19.5703125" customWidth="1"/>
  </cols>
  <sheetData>
    <row r="1" spans="1:19" x14ac:dyDescent="0.25">
      <c r="A1" t="s">
        <v>0</v>
      </c>
      <c r="B1" t="s">
        <v>610</v>
      </c>
      <c r="C1" t="s">
        <v>1</v>
      </c>
      <c r="D1" t="s">
        <v>2</v>
      </c>
      <c r="E1" t="s">
        <v>3</v>
      </c>
      <c r="F1" t="s">
        <v>4</v>
      </c>
      <c r="G1" t="s">
        <v>5</v>
      </c>
      <c r="H1" t="s">
        <v>607</v>
      </c>
      <c r="I1" t="s">
        <v>627</v>
      </c>
      <c r="J1" t="s">
        <v>626</v>
      </c>
      <c r="K1" t="s">
        <v>620</v>
      </c>
      <c r="L1" t="s">
        <v>611</v>
      </c>
      <c r="M1" t="s">
        <v>614</v>
      </c>
      <c r="N1" t="s">
        <v>621</v>
      </c>
      <c r="O1" t="s">
        <v>622</v>
      </c>
      <c r="P1" t="s">
        <v>628</v>
      </c>
      <c r="Q1" t="s">
        <v>629</v>
      </c>
    </row>
    <row r="2" spans="1:19" x14ac:dyDescent="0.25">
      <c r="A2" t="s">
        <v>6</v>
      </c>
      <c r="B2" t="s">
        <v>7</v>
      </c>
      <c r="C2">
        <v>4.7</v>
      </c>
      <c r="D2">
        <v>17350</v>
      </c>
      <c r="E2">
        <v>8</v>
      </c>
      <c r="F2">
        <v>2016</v>
      </c>
      <c r="G2" t="s">
        <v>8</v>
      </c>
      <c r="H2">
        <f>AVERAGE(C:C)</f>
        <v>4.6183636363636413</v>
      </c>
      <c r="I2">
        <f>MAX(C:C)</f>
        <v>4.9000000000000004</v>
      </c>
      <c r="J2">
        <f>MIN(C:C)</f>
        <v>3.3</v>
      </c>
      <c r="K2">
        <f>MAX(D:D)</f>
        <v>87841</v>
      </c>
      <c r="L2" t="str">
        <f>_xlfn.XLOOKUP(K2,D:D,B:B)</f>
        <v>Delia Owens</v>
      </c>
      <c r="M2" t="s">
        <v>615</v>
      </c>
      <c r="N2">
        <f>AVERAGE(E:E)</f>
        <v>13.1</v>
      </c>
      <c r="O2">
        <f>AVERAGEIF(G:G,G2,E:E)</f>
        <v>14.841935483870968</v>
      </c>
      <c r="P2">
        <f>MAX(E:E)</f>
        <v>105</v>
      </c>
      <c r="Q2">
        <f>MIN(E:E)</f>
        <v>0</v>
      </c>
      <c r="R2" t="str" cm="1">
        <f t="array" ref="R2:R551">IF(E2:E551=P2,A2:A551,"")</f>
        <v/>
      </c>
    </row>
    <row r="3" spans="1:19" x14ac:dyDescent="0.25">
      <c r="A3" t="s">
        <v>606</v>
      </c>
      <c r="B3" t="s">
        <v>9</v>
      </c>
      <c r="C3">
        <v>4.5999999999999996</v>
      </c>
      <c r="D3">
        <v>2052</v>
      </c>
      <c r="E3">
        <v>22</v>
      </c>
      <c r="F3">
        <v>2011</v>
      </c>
      <c r="G3" t="s">
        <v>10</v>
      </c>
      <c r="M3" t="s">
        <v>616</v>
      </c>
      <c r="O3">
        <f>AVERAGEIF(G:G,G3,E:E)</f>
        <v>10.85</v>
      </c>
      <c r="R3" t="str">
        <v/>
      </c>
    </row>
    <row r="4" spans="1:19" x14ac:dyDescent="0.25">
      <c r="A4" t="s">
        <v>11</v>
      </c>
      <c r="B4" t="s">
        <v>12</v>
      </c>
      <c r="C4">
        <v>4.7</v>
      </c>
      <c r="D4">
        <v>18979</v>
      </c>
      <c r="E4">
        <v>15</v>
      </c>
      <c r="F4">
        <v>2018</v>
      </c>
      <c r="G4" t="s">
        <v>8</v>
      </c>
      <c r="I4" s="1" t="s">
        <v>8</v>
      </c>
      <c r="J4" s="1">
        <f>AVERAGEIFS(C2:C551,G2:G551,I4)</f>
        <v>4.5951612903225794</v>
      </c>
      <c r="K4" s="1"/>
      <c r="L4" s="1"/>
      <c r="M4" t="s">
        <v>617</v>
      </c>
      <c r="O4" t="s">
        <v>625</v>
      </c>
      <c r="R4" t="str">
        <v/>
      </c>
      <c r="S4" t="str" cm="1">
        <f t="array" ref="S4:S553">IF(E2:E551=Q2,A2:A551,"")</f>
        <v/>
      </c>
    </row>
    <row r="5" spans="1:19" x14ac:dyDescent="0.25">
      <c r="A5" t="s">
        <v>13</v>
      </c>
      <c r="B5" t="s">
        <v>14</v>
      </c>
      <c r="C5">
        <v>4.7</v>
      </c>
      <c r="D5">
        <v>21424</v>
      </c>
      <c r="E5">
        <v>6</v>
      </c>
      <c r="F5">
        <v>2017</v>
      </c>
      <c r="G5" t="s">
        <v>10</v>
      </c>
      <c r="I5" s="1" t="s">
        <v>10</v>
      </c>
      <c r="J5" s="1">
        <f>AVERAGEIFS(C2:C552,G2:G552,I5)</f>
        <v>4.6483333333333263</v>
      </c>
      <c r="K5" s="1"/>
      <c r="L5" s="1"/>
      <c r="M5" t="s">
        <v>618</v>
      </c>
      <c r="O5" t="s">
        <v>624</v>
      </c>
      <c r="R5" t="str">
        <v/>
      </c>
      <c r="S5" t="str">
        <v/>
      </c>
    </row>
    <row r="6" spans="1:19" x14ac:dyDescent="0.25">
      <c r="A6" t="s">
        <v>15</v>
      </c>
      <c r="B6" t="s">
        <v>16</v>
      </c>
      <c r="C6">
        <v>4.8</v>
      </c>
      <c r="D6">
        <v>7665</v>
      </c>
      <c r="E6">
        <v>12</v>
      </c>
      <c r="F6">
        <v>2019</v>
      </c>
      <c r="G6" t="s">
        <v>8</v>
      </c>
      <c r="M6" t="s">
        <v>619</v>
      </c>
      <c r="O6" t="s">
        <v>623</v>
      </c>
      <c r="R6" t="str">
        <v/>
      </c>
      <c r="S6" t="str">
        <v/>
      </c>
    </row>
    <row r="7" spans="1:19" x14ac:dyDescent="0.25">
      <c r="A7" t="s">
        <v>17</v>
      </c>
      <c r="B7" t="s">
        <v>18</v>
      </c>
      <c r="C7">
        <v>4.4000000000000004</v>
      </c>
      <c r="D7">
        <v>12643</v>
      </c>
      <c r="E7">
        <v>11</v>
      </c>
      <c r="F7">
        <v>2011</v>
      </c>
      <c r="G7" t="s">
        <v>10</v>
      </c>
      <c r="I7" s="2"/>
      <c r="J7" s="2"/>
      <c r="K7" s="2"/>
      <c r="L7" s="2"/>
      <c r="R7" t="str">
        <v/>
      </c>
      <c r="S7" t="str">
        <v/>
      </c>
    </row>
    <row r="8" spans="1:19" x14ac:dyDescent="0.25">
      <c r="A8" t="s">
        <v>19</v>
      </c>
      <c r="B8" t="s">
        <v>18</v>
      </c>
      <c r="C8">
        <v>4.7</v>
      </c>
      <c r="D8">
        <v>19735</v>
      </c>
      <c r="E8">
        <v>30</v>
      </c>
      <c r="F8">
        <v>2014</v>
      </c>
      <c r="G8" t="s">
        <v>10</v>
      </c>
      <c r="I8" s="2"/>
      <c r="J8" s="2"/>
      <c r="K8" s="2"/>
      <c r="L8" s="2"/>
      <c r="R8" t="str">
        <v/>
      </c>
      <c r="S8" t="str">
        <v/>
      </c>
    </row>
    <row r="9" spans="1:19" x14ac:dyDescent="0.25">
      <c r="A9" t="s">
        <v>20</v>
      </c>
      <c r="B9" t="s">
        <v>21</v>
      </c>
      <c r="C9">
        <v>4.7</v>
      </c>
      <c r="D9">
        <v>19699</v>
      </c>
      <c r="E9">
        <v>15</v>
      </c>
      <c r="F9">
        <v>2017</v>
      </c>
      <c r="G9" t="s">
        <v>10</v>
      </c>
      <c r="R9" t="str">
        <v/>
      </c>
      <c r="S9" t="str">
        <v/>
      </c>
    </row>
    <row r="10" spans="1:19" x14ac:dyDescent="0.25">
      <c r="A10" t="s">
        <v>22</v>
      </c>
      <c r="B10" t="s">
        <v>23</v>
      </c>
      <c r="C10">
        <v>4.7</v>
      </c>
      <c r="D10">
        <v>5983</v>
      </c>
      <c r="E10">
        <v>3</v>
      </c>
      <c r="F10">
        <v>2018</v>
      </c>
      <c r="G10" t="s">
        <v>8</v>
      </c>
      <c r="R10" t="str">
        <v/>
      </c>
      <c r="S10" t="str">
        <v/>
      </c>
    </row>
    <row r="11" spans="1:19" x14ac:dyDescent="0.25">
      <c r="A11" t="s">
        <v>24</v>
      </c>
      <c r="B11" t="s">
        <v>25</v>
      </c>
      <c r="C11">
        <v>4.5999999999999996</v>
      </c>
      <c r="D11">
        <v>23848</v>
      </c>
      <c r="E11">
        <v>8</v>
      </c>
      <c r="F11">
        <v>2016</v>
      </c>
      <c r="G11" t="s">
        <v>10</v>
      </c>
      <c r="R11" t="str">
        <v/>
      </c>
      <c r="S11" t="str">
        <v/>
      </c>
    </row>
    <row r="12" spans="1:19" x14ac:dyDescent="0.25">
      <c r="A12" t="s">
        <v>24</v>
      </c>
      <c r="B12" t="s">
        <v>25</v>
      </c>
      <c r="C12">
        <v>4.5999999999999996</v>
      </c>
      <c r="D12">
        <v>23848</v>
      </c>
      <c r="E12">
        <v>8</v>
      </c>
      <c r="F12">
        <v>2017</v>
      </c>
      <c r="G12" t="s">
        <v>10</v>
      </c>
      <c r="R12" t="str">
        <v/>
      </c>
      <c r="S12" t="str">
        <v/>
      </c>
    </row>
    <row r="13" spans="1:19" x14ac:dyDescent="0.25">
      <c r="A13" t="s">
        <v>26</v>
      </c>
      <c r="B13" t="s">
        <v>27</v>
      </c>
      <c r="C13">
        <v>4.5999999999999996</v>
      </c>
      <c r="D13">
        <v>460</v>
      </c>
      <c r="E13">
        <v>2</v>
      </c>
      <c r="F13">
        <v>2010</v>
      </c>
      <c r="G13" t="s">
        <v>8</v>
      </c>
      <c r="R13" t="str">
        <v/>
      </c>
      <c r="S13" t="str">
        <v/>
      </c>
    </row>
    <row r="14" spans="1:19" x14ac:dyDescent="0.25">
      <c r="A14" t="s">
        <v>28</v>
      </c>
      <c r="B14" t="s">
        <v>29</v>
      </c>
      <c r="C14">
        <v>4.5999999999999996</v>
      </c>
      <c r="D14">
        <v>4149</v>
      </c>
      <c r="E14">
        <v>32</v>
      </c>
      <c r="F14">
        <v>2011</v>
      </c>
      <c r="G14" t="s">
        <v>8</v>
      </c>
      <c r="R14" t="str">
        <v/>
      </c>
      <c r="S14" t="str">
        <v/>
      </c>
    </row>
    <row r="15" spans="1:19" x14ac:dyDescent="0.25">
      <c r="A15" t="s">
        <v>30</v>
      </c>
      <c r="B15" t="s">
        <v>31</v>
      </c>
      <c r="C15">
        <v>4.5</v>
      </c>
      <c r="D15">
        <v>5153</v>
      </c>
      <c r="E15">
        <v>5</v>
      </c>
      <c r="F15">
        <v>2018</v>
      </c>
      <c r="G15" t="s">
        <v>10</v>
      </c>
      <c r="R15" t="str">
        <v/>
      </c>
      <c r="S15" t="str">
        <v/>
      </c>
    </row>
    <row r="16" spans="1:19" x14ac:dyDescent="0.25">
      <c r="A16" t="s">
        <v>32</v>
      </c>
      <c r="B16" t="s">
        <v>33</v>
      </c>
      <c r="C16">
        <v>4.5999999999999996</v>
      </c>
      <c r="D16">
        <v>5013</v>
      </c>
      <c r="E16">
        <v>17</v>
      </c>
      <c r="F16">
        <v>2009</v>
      </c>
      <c r="G16" t="s">
        <v>8</v>
      </c>
      <c r="R16" t="str">
        <v/>
      </c>
      <c r="S16" t="str">
        <v/>
      </c>
    </row>
    <row r="17" spans="1:19" x14ac:dyDescent="0.25">
      <c r="A17" t="s">
        <v>34</v>
      </c>
      <c r="B17" t="s">
        <v>35</v>
      </c>
      <c r="C17">
        <v>4.5</v>
      </c>
      <c r="D17">
        <v>2313</v>
      </c>
      <c r="E17">
        <v>4</v>
      </c>
      <c r="F17">
        <v>2016</v>
      </c>
      <c r="G17" t="s">
        <v>8</v>
      </c>
      <c r="R17" t="str">
        <v/>
      </c>
      <c r="S17" t="str">
        <v/>
      </c>
    </row>
    <row r="18" spans="1:19" x14ac:dyDescent="0.25">
      <c r="A18" t="s">
        <v>36</v>
      </c>
      <c r="B18" t="s">
        <v>37</v>
      </c>
      <c r="C18">
        <v>4.5999999999999996</v>
      </c>
      <c r="D18">
        <v>2925</v>
      </c>
      <c r="E18">
        <v>6</v>
      </c>
      <c r="F18">
        <v>2015</v>
      </c>
      <c r="G18" t="s">
        <v>8</v>
      </c>
      <c r="R18" t="str">
        <v/>
      </c>
      <c r="S18" t="str">
        <v/>
      </c>
    </row>
    <row r="19" spans="1:19" x14ac:dyDescent="0.25">
      <c r="A19" t="s">
        <v>38</v>
      </c>
      <c r="B19" t="s">
        <v>37</v>
      </c>
      <c r="C19">
        <v>4.4000000000000004</v>
      </c>
      <c r="D19">
        <v>2951</v>
      </c>
      <c r="E19">
        <v>6</v>
      </c>
      <c r="F19">
        <v>2015</v>
      </c>
      <c r="G19" t="s">
        <v>8</v>
      </c>
      <c r="R19" t="str">
        <v/>
      </c>
      <c r="S19" t="str">
        <v/>
      </c>
    </row>
    <row r="20" spans="1:19" x14ac:dyDescent="0.25">
      <c r="A20" t="s">
        <v>39</v>
      </c>
      <c r="B20" t="s">
        <v>40</v>
      </c>
      <c r="C20">
        <v>4.5</v>
      </c>
      <c r="D20">
        <v>2426</v>
      </c>
      <c r="E20">
        <v>8</v>
      </c>
      <c r="F20">
        <v>2015</v>
      </c>
      <c r="G20" t="s">
        <v>8</v>
      </c>
      <c r="R20" t="str">
        <v/>
      </c>
      <c r="S20" t="str">
        <v/>
      </c>
    </row>
    <row r="21" spans="1:19" x14ac:dyDescent="0.25">
      <c r="A21" t="s">
        <v>41</v>
      </c>
      <c r="B21" t="s">
        <v>42</v>
      </c>
      <c r="C21">
        <v>4.8</v>
      </c>
      <c r="D21">
        <v>9198</v>
      </c>
      <c r="E21">
        <v>13</v>
      </c>
      <c r="F21">
        <v>2016</v>
      </c>
      <c r="G21" t="s">
        <v>8</v>
      </c>
      <c r="R21" t="str">
        <v/>
      </c>
      <c r="S21" t="str">
        <v/>
      </c>
    </row>
    <row r="22" spans="1:19" x14ac:dyDescent="0.25">
      <c r="A22" t="s">
        <v>43</v>
      </c>
      <c r="B22" t="s">
        <v>44</v>
      </c>
      <c r="C22">
        <v>4.5999999999999996</v>
      </c>
      <c r="D22">
        <v>36348</v>
      </c>
      <c r="E22">
        <v>14</v>
      </c>
      <c r="F22">
        <v>2014</v>
      </c>
      <c r="G22" t="s">
        <v>10</v>
      </c>
      <c r="R22" t="str">
        <v/>
      </c>
      <c r="S22" t="str">
        <v/>
      </c>
    </row>
    <row r="23" spans="1:19" x14ac:dyDescent="0.25">
      <c r="A23" t="s">
        <v>43</v>
      </c>
      <c r="B23" t="s">
        <v>44</v>
      </c>
      <c r="C23">
        <v>4.5999999999999996</v>
      </c>
      <c r="D23">
        <v>36348</v>
      </c>
      <c r="E23">
        <v>14</v>
      </c>
      <c r="F23">
        <v>2015</v>
      </c>
      <c r="G23" t="s">
        <v>10</v>
      </c>
      <c r="R23" t="str">
        <v/>
      </c>
      <c r="S23" t="str">
        <v/>
      </c>
    </row>
    <row r="24" spans="1:19" x14ac:dyDescent="0.25">
      <c r="A24" t="s">
        <v>45</v>
      </c>
      <c r="B24" t="s">
        <v>46</v>
      </c>
      <c r="C24">
        <v>3.9</v>
      </c>
      <c r="D24">
        <v>6310</v>
      </c>
      <c r="E24">
        <v>13</v>
      </c>
      <c r="F24">
        <v>2013</v>
      </c>
      <c r="G24" t="s">
        <v>10</v>
      </c>
      <c r="R24" t="str">
        <v/>
      </c>
      <c r="S24" t="str">
        <v/>
      </c>
    </row>
    <row r="25" spans="1:19" x14ac:dyDescent="0.25">
      <c r="A25" t="s">
        <v>47</v>
      </c>
      <c r="B25" t="s">
        <v>48</v>
      </c>
      <c r="C25">
        <v>4.5999999999999996</v>
      </c>
      <c r="D25">
        <v>15921</v>
      </c>
      <c r="E25">
        <v>9</v>
      </c>
      <c r="F25">
        <v>2015</v>
      </c>
      <c r="G25" t="s">
        <v>8</v>
      </c>
      <c r="R25" t="str">
        <v/>
      </c>
      <c r="S25" t="str">
        <v/>
      </c>
    </row>
    <row r="26" spans="1:19" x14ac:dyDescent="0.25">
      <c r="A26" t="s">
        <v>49</v>
      </c>
      <c r="B26" t="s">
        <v>50</v>
      </c>
      <c r="C26">
        <v>4.3</v>
      </c>
      <c r="D26">
        <v>12159</v>
      </c>
      <c r="E26">
        <v>13</v>
      </c>
      <c r="F26">
        <v>2013</v>
      </c>
      <c r="G26" t="s">
        <v>10</v>
      </c>
      <c r="R26" t="str">
        <v/>
      </c>
      <c r="S26" t="str">
        <v/>
      </c>
    </row>
    <row r="27" spans="1:19" x14ac:dyDescent="0.25">
      <c r="A27" t="s">
        <v>51</v>
      </c>
      <c r="B27" t="s">
        <v>52</v>
      </c>
      <c r="C27">
        <v>4.5999999999999996</v>
      </c>
      <c r="D27">
        <v>798</v>
      </c>
      <c r="E27">
        <v>5</v>
      </c>
      <c r="F27">
        <v>2009</v>
      </c>
      <c r="G27" t="s">
        <v>8</v>
      </c>
      <c r="R27" t="str">
        <v/>
      </c>
      <c r="S27" t="str">
        <v/>
      </c>
    </row>
    <row r="28" spans="1:19" x14ac:dyDescent="0.25">
      <c r="A28" t="s">
        <v>53</v>
      </c>
      <c r="B28" t="s">
        <v>54</v>
      </c>
      <c r="C28">
        <v>4.7</v>
      </c>
      <c r="D28">
        <v>9374</v>
      </c>
      <c r="E28">
        <v>9</v>
      </c>
      <c r="F28">
        <v>2017</v>
      </c>
      <c r="G28" t="s">
        <v>8</v>
      </c>
      <c r="R28" t="str">
        <v/>
      </c>
      <c r="S28" t="str">
        <v/>
      </c>
    </row>
    <row r="29" spans="1:19" x14ac:dyDescent="0.25">
      <c r="A29" t="s">
        <v>55</v>
      </c>
      <c r="B29" t="s">
        <v>56</v>
      </c>
      <c r="C29">
        <v>4.2</v>
      </c>
      <c r="D29">
        <v>491</v>
      </c>
      <c r="E29">
        <v>14</v>
      </c>
      <c r="F29">
        <v>2010</v>
      </c>
      <c r="G29" t="s">
        <v>8</v>
      </c>
      <c r="R29" t="str">
        <v/>
      </c>
      <c r="S29" t="str">
        <v/>
      </c>
    </row>
    <row r="30" spans="1:19" x14ac:dyDescent="0.25">
      <c r="A30" t="s">
        <v>57</v>
      </c>
      <c r="B30" t="s">
        <v>58</v>
      </c>
      <c r="C30">
        <v>4.5999999999999996</v>
      </c>
      <c r="D30">
        <v>5360</v>
      </c>
      <c r="E30">
        <v>5</v>
      </c>
      <c r="F30">
        <v>2015</v>
      </c>
      <c r="G30" t="s">
        <v>8</v>
      </c>
      <c r="R30" t="str">
        <v/>
      </c>
      <c r="S30" t="str">
        <v/>
      </c>
    </row>
    <row r="31" spans="1:19" x14ac:dyDescent="0.25">
      <c r="A31" t="s">
        <v>59</v>
      </c>
      <c r="B31" t="s">
        <v>60</v>
      </c>
      <c r="C31">
        <v>4.5999999999999996</v>
      </c>
      <c r="D31">
        <v>1909</v>
      </c>
      <c r="E31">
        <v>11</v>
      </c>
      <c r="F31">
        <v>2015</v>
      </c>
      <c r="G31" t="s">
        <v>8</v>
      </c>
      <c r="R31" t="str">
        <v/>
      </c>
      <c r="S31" t="str">
        <v/>
      </c>
    </row>
    <row r="32" spans="1:19" x14ac:dyDescent="0.25">
      <c r="A32" t="s">
        <v>61</v>
      </c>
      <c r="B32" t="s">
        <v>62</v>
      </c>
      <c r="C32">
        <v>4.8</v>
      </c>
      <c r="D32">
        <v>1296</v>
      </c>
      <c r="E32">
        <v>24</v>
      </c>
      <c r="F32">
        <v>2012</v>
      </c>
      <c r="G32" t="s">
        <v>8</v>
      </c>
      <c r="R32" t="str">
        <v/>
      </c>
      <c r="S32" t="str">
        <v/>
      </c>
    </row>
    <row r="33" spans="1:19" x14ac:dyDescent="0.25">
      <c r="A33" t="s">
        <v>63</v>
      </c>
      <c r="B33" t="s">
        <v>62</v>
      </c>
      <c r="C33">
        <v>4.7</v>
      </c>
      <c r="D33">
        <v>615</v>
      </c>
      <c r="E33">
        <v>21</v>
      </c>
      <c r="F33">
        <v>2010</v>
      </c>
      <c r="G33" t="s">
        <v>8</v>
      </c>
      <c r="R33" t="str">
        <v/>
      </c>
      <c r="S33" t="str">
        <v/>
      </c>
    </row>
    <row r="34" spans="1:19" x14ac:dyDescent="0.25">
      <c r="A34" t="s">
        <v>64</v>
      </c>
      <c r="B34" t="s">
        <v>65</v>
      </c>
      <c r="C34">
        <v>4.8</v>
      </c>
      <c r="D34">
        <v>61133</v>
      </c>
      <c r="E34">
        <v>11</v>
      </c>
      <c r="F34">
        <v>2018</v>
      </c>
      <c r="G34" t="s">
        <v>8</v>
      </c>
      <c r="R34" t="str">
        <v/>
      </c>
      <c r="S34" t="str">
        <v/>
      </c>
    </row>
    <row r="35" spans="1:19" x14ac:dyDescent="0.25">
      <c r="A35" t="s">
        <v>64</v>
      </c>
      <c r="B35" t="s">
        <v>65</v>
      </c>
      <c r="C35">
        <v>4.8</v>
      </c>
      <c r="D35">
        <v>61133</v>
      </c>
      <c r="E35">
        <v>11</v>
      </c>
      <c r="F35">
        <v>2019</v>
      </c>
      <c r="G35" t="s">
        <v>8</v>
      </c>
      <c r="R35" t="str">
        <v/>
      </c>
      <c r="S35" t="str">
        <v/>
      </c>
    </row>
    <row r="36" spans="1:19" x14ac:dyDescent="0.25">
      <c r="A36" t="s">
        <v>66</v>
      </c>
      <c r="B36" t="s">
        <v>67</v>
      </c>
      <c r="C36">
        <v>4.8</v>
      </c>
      <c r="D36">
        <v>11113</v>
      </c>
      <c r="E36">
        <v>15</v>
      </c>
      <c r="F36">
        <v>2015</v>
      </c>
      <c r="G36" t="s">
        <v>8</v>
      </c>
      <c r="R36" t="str">
        <v/>
      </c>
      <c r="S36" t="str">
        <v/>
      </c>
    </row>
    <row r="37" spans="1:19" x14ac:dyDescent="0.25">
      <c r="A37" t="s">
        <v>68</v>
      </c>
      <c r="B37" t="s">
        <v>69</v>
      </c>
      <c r="C37">
        <v>4.7</v>
      </c>
      <c r="D37">
        <v>10070</v>
      </c>
      <c r="E37">
        <v>13</v>
      </c>
      <c r="F37">
        <v>2015</v>
      </c>
      <c r="G37" t="s">
        <v>8</v>
      </c>
      <c r="R37" t="str">
        <v/>
      </c>
      <c r="S37" t="str">
        <v/>
      </c>
    </row>
    <row r="38" spans="1:19" x14ac:dyDescent="0.25">
      <c r="A38" t="s">
        <v>68</v>
      </c>
      <c r="B38" t="s">
        <v>69</v>
      </c>
      <c r="C38">
        <v>4.7</v>
      </c>
      <c r="D38">
        <v>10070</v>
      </c>
      <c r="E38">
        <v>13</v>
      </c>
      <c r="F38">
        <v>2016</v>
      </c>
      <c r="G38" t="s">
        <v>8</v>
      </c>
      <c r="R38" t="str">
        <v/>
      </c>
      <c r="S38" t="str">
        <v/>
      </c>
    </row>
    <row r="39" spans="1:19" x14ac:dyDescent="0.25">
      <c r="A39" t="s">
        <v>70</v>
      </c>
      <c r="B39" t="s">
        <v>71</v>
      </c>
      <c r="C39">
        <v>4.7</v>
      </c>
      <c r="D39">
        <v>3729</v>
      </c>
      <c r="E39">
        <v>18</v>
      </c>
      <c r="F39">
        <v>2016</v>
      </c>
      <c r="G39" t="s">
        <v>8</v>
      </c>
      <c r="R39" t="str">
        <v/>
      </c>
      <c r="S39" t="str">
        <v/>
      </c>
    </row>
    <row r="40" spans="1:19" x14ac:dyDescent="0.25">
      <c r="A40" t="s">
        <v>72</v>
      </c>
      <c r="B40" t="s">
        <v>73</v>
      </c>
      <c r="C40">
        <v>4.5999999999999996</v>
      </c>
      <c r="D40">
        <v>9769</v>
      </c>
      <c r="E40">
        <v>13</v>
      </c>
      <c r="F40">
        <v>2009</v>
      </c>
      <c r="G40" t="s">
        <v>10</v>
      </c>
      <c r="R40" t="str">
        <v/>
      </c>
      <c r="S40" t="str">
        <v/>
      </c>
    </row>
    <row r="41" spans="1:19" x14ac:dyDescent="0.25">
      <c r="A41" t="s">
        <v>74</v>
      </c>
      <c r="B41" t="s">
        <v>52</v>
      </c>
      <c r="C41">
        <v>4.5</v>
      </c>
      <c r="D41">
        <v>471</v>
      </c>
      <c r="E41">
        <v>8</v>
      </c>
      <c r="F41">
        <v>2010</v>
      </c>
      <c r="G41" t="s">
        <v>8</v>
      </c>
      <c r="R41" t="str">
        <v/>
      </c>
      <c r="S41" t="str">
        <v/>
      </c>
    </row>
    <row r="42" spans="1:19" x14ac:dyDescent="0.25">
      <c r="A42" t="s">
        <v>75</v>
      </c>
      <c r="B42" t="s">
        <v>76</v>
      </c>
      <c r="C42">
        <v>4.9000000000000004</v>
      </c>
      <c r="D42">
        <v>14344</v>
      </c>
      <c r="E42">
        <v>5</v>
      </c>
      <c r="F42">
        <v>2017</v>
      </c>
      <c r="G42" t="s">
        <v>10</v>
      </c>
      <c r="R42" t="str">
        <v/>
      </c>
      <c r="S42" t="str">
        <v/>
      </c>
    </row>
    <row r="43" spans="1:19" x14ac:dyDescent="0.25">
      <c r="A43" t="s">
        <v>75</v>
      </c>
      <c r="B43" t="s">
        <v>76</v>
      </c>
      <c r="C43">
        <v>4.9000000000000004</v>
      </c>
      <c r="D43">
        <v>14344</v>
      </c>
      <c r="E43">
        <v>5</v>
      </c>
      <c r="F43">
        <v>2019</v>
      </c>
      <c r="G43" t="s">
        <v>10</v>
      </c>
      <c r="R43" t="str">
        <v/>
      </c>
      <c r="S43" t="str">
        <v/>
      </c>
    </row>
    <row r="44" spans="1:19" x14ac:dyDescent="0.25">
      <c r="A44" t="s">
        <v>77</v>
      </c>
      <c r="B44" t="s">
        <v>78</v>
      </c>
      <c r="C44">
        <v>4.8</v>
      </c>
      <c r="D44">
        <v>4505</v>
      </c>
      <c r="E44">
        <v>0</v>
      </c>
      <c r="F44">
        <v>2011</v>
      </c>
      <c r="G44" t="s">
        <v>10</v>
      </c>
      <c r="R44" t="str">
        <v/>
      </c>
      <c r="S44" t="str">
        <v/>
      </c>
    </row>
    <row r="45" spans="1:19" x14ac:dyDescent="0.25">
      <c r="A45" t="s">
        <v>79</v>
      </c>
      <c r="B45" t="s">
        <v>80</v>
      </c>
      <c r="C45">
        <v>4.5999999999999996</v>
      </c>
      <c r="D45">
        <v>10369</v>
      </c>
      <c r="E45">
        <v>4</v>
      </c>
      <c r="F45">
        <v>2016</v>
      </c>
      <c r="G45" t="s">
        <v>8</v>
      </c>
      <c r="R45" t="str">
        <v/>
      </c>
      <c r="S45" t="str">
        <v/>
      </c>
    </row>
    <row r="46" spans="1:19" x14ac:dyDescent="0.25">
      <c r="A46" t="s">
        <v>81</v>
      </c>
      <c r="B46" t="s">
        <v>82</v>
      </c>
      <c r="C46">
        <v>4.8</v>
      </c>
      <c r="D46">
        <v>16244</v>
      </c>
      <c r="E46">
        <v>18</v>
      </c>
      <c r="F46">
        <v>2019</v>
      </c>
      <c r="G46" t="s">
        <v>8</v>
      </c>
      <c r="R46" t="str">
        <v/>
      </c>
      <c r="S46" t="str">
        <v>Cabin Fever (Diary of a Wimpy Kid, Book 6)</v>
      </c>
    </row>
    <row r="47" spans="1:19" x14ac:dyDescent="0.25">
      <c r="A47" t="s">
        <v>83</v>
      </c>
      <c r="B47" t="s">
        <v>84</v>
      </c>
      <c r="C47">
        <v>4.5</v>
      </c>
      <c r="D47">
        <v>2884</v>
      </c>
      <c r="E47">
        <v>28</v>
      </c>
      <c r="F47">
        <v>2014</v>
      </c>
      <c r="G47" t="s">
        <v>8</v>
      </c>
      <c r="R47" t="str">
        <v/>
      </c>
      <c r="S47" t="str">
        <v/>
      </c>
    </row>
    <row r="48" spans="1:19" x14ac:dyDescent="0.25">
      <c r="A48" t="s">
        <v>85</v>
      </c>
      <c r="B48" t="s">
        <v>86</v>
      </c>
      <c r="C48">
        <v>4.7</v>
      </c>
      <c r="D48">
        <v>22614</v>
      </c>
      <c r="E48">
        <v>11</v>
      </c>
      <c r="F48">
        <v>2010</v>
      </c>
      <c r="G48" t="s">
        <v>10</v>
      </c>
      <c r="R48" t="str">
        <v/>
      </c>
      <c r="S48" t="str">
        <v/>
      </c>
    </row>
    <row r="49" spans="1:19" x14ac:dyDescent="0.25">
      <c r="A49" t="s">
        <v>85</v>
      </c>
      <c r="B49" t="s">
        <v>86</v>
      </c>
      <c r="C49">
        <v>4.7</v>
      </c>
      <c r="D49">
        <v>22614</v>
      </c>
      <c r="E49">
        <v>11</v>
      </c>
      <c r="F49">
        <v>2011</v>
      </c>
      <c r="G49" t="s">
        <v>10</v>
      </c>
      <c r="R49" t="str">
        <v/>
      </c>
      <c r="S49" t="str">
        <v/>
      </c>
    </row>
    <row r="50" spans="1:19" x14ac:dyDescent="0.25">
      <c r="A50" t="s">
        <v>85</v>
      </c>
      <c r="B50" t="s">
        <v>86</v>
      </c>
      <c r="C50">
        <v>4.7</v>
      </c>
      <c r="D50">
        <v>22614</v>
      </c>
      <c r="E50">
        <v>11</v>
      </c>
      <c r="F50">
        <v>2012</v>
      </c>
      <c r="G50" t="s">
        <v>10</v>
      </c>
      <c r="R50" t="str">
        <v/>
      </c>
      <c r="S50" t="str">
        <v/>
      </c>
    </row>
    <row r="51" spans="1:19" x14ac:dyDescent="0.25">
      <c r="A51" t="s">
        <v>87</v>
      </c>
      <c r="B51" t="s">
        <v>88</v>
      </c>
      <c r="C51">
        <v>4.7</v>
      </c>
      <c r="D51">
        <v>4761</v>
      </c>
      <c r="E51">
        <v>16</v>
      </c>
      <c r="F51">
        <v>2016</v>
      </c>
      <c r="G51" t="s">
        <v>8</v>
      </c>
      <c r="R51" t="str">
        <v/>
      </c>
      <c r="S51" t="str">
        <v/>
      </c>
    </row>
    <row r="52" spans="1:19" x14ac:dyDescent="0.25">
      <c r="A52" t="s">
        <v>89</v>
      </c>
      <c r="B52" t="s">
        <v>90</v>
      </c>
      <c r="C52">
        <v>4.7</v>
      </c>
      <c r="D52">
        <v>1542</v>
      </c>
      <c r="E52">
        <v>14</v>
      </c>
      <c r="F52">
        <v>2009</v>
      </c>
      <c r="G52" t="s">
        <v>8</v>
      </c>
      <c r="R52" t="str">
        <v/>
      </c>
      <c r="S52" t="str">
        <v/>
      </c>
    </row>
    <row r="53" spans="1:19" x14ac:dyDescent="0.25">
      <c r="A53" t="s">
        <v>89</v>
      </c>
      <c r="B53" t="s">
        <v>90</v>
      </c>
      <c r="C53">
        <v>4.7</v>
      </c>
      <c r="D53">
        <v>1542</v>
      </c>
      <c r="E53">
        <v>14</v>
      </c>
      <c r="F53">
        <v>2010</v>
      </c>
      <c r="G53" t="s">
        <v>8</v>
      </c>
      <c r="R53" t="str">
        <v/>
      </c>
      <c r="S53" t="str">
        <v/>
      </c>
    </row>
    <row r="54" spans="1:19" x14ac:dyDescent="0.25">
      <c r="A54" t="s">
        <v>89</v>
      </c>
      <c r="B54" t="s">
        <v>90</v>
      </c>
      <c r="C54">
        <v>4.7</v>
      </c>
      <c r="D54">
        <v>1542</v>
      </c>
      <c r="E54">
        <v>14</v>
      </c>
      <c r="F54">
        <v>2011</v>
      </c>
      <c r="G54" t="s">
        <v>8</v>
      </c>
      <c r="R54" t="str">
        <v/>
      </c>
      <c r="S54" t="str">
        <v/>
      </c>
    </row>
    <row r="55" spans="1:19" x14ac:dyDescent="0.25">
      <c r="A55" t="s">
        <v>91</v>
      </c>
      <c r="B55" t="s">
        <v>92</v>
      </c>
      <c r="C55">
        <v>4.3</v>
      </c>
      <c r="D55">
        <v>6143</v>
      </c>
      <c r="E55">
        <v>8</v>
      </c>
      <c r="F55">
        <v>2018</v>
      </c>
      <c r="G55" t="s">
        <v>10</v>
      </c>
      <c r="R55" t="str">
        <v/>
      </c>
      <c r="S55" t="str">
        <v/>
      </c>
    </row>
    <row r="56" spans="1:19" x14ac:dyDescent="0.25">
      <c r="A56" t="s">
        <v>93</v>
      </c>
      <c r="B56" t="s">
        <v>94</v>
      </c>
      <c r="C56">
        <v>4.8</v>
      </c>
      <c r="D56">
        <v>4022</v>
      </c>
      <c r="E56">
        <v>4</v>
      </c>
      <c r="F56">
        <v>2015</v>
      </c>
      <c r="G56" t="s">
        <v>8</v>
      </c>
      <c r="R56" t="str">
        <v/>
      </c>
      <c r="S56" t="str">
        <v/>
      </c>
    </row>
    <row r="57" spans="1:19" x14ac:dyDescent="0.25">
      <c r="A57" t="s">
        <v>95</v>
      </c>
      <c r="B57" t="s">
        <v>94</v>
      </c>
      <c r="C57">
        <v>4.8</v>
      </c>
      <c r="D57">
        <v>3871</v>
      </c>
      <c r="E57">
        <v>5</v>
      </c>
      <c r="F57">
        <v>2015</v>
      </c>
      <c r="G57" t="s">
        <v>8</v>
      </c>
      <c r="R57" t="str">
        <v/>
      </c>
      <c r="S57" t="str">
        <v/>
      </c>
    </row>
    <row r="58" spans="1:19" x14ac:dyDescent="0.25">
      <c r="A58" t="s">
        <v>96</v>
      </c>
      <c r="B58" t="s">
        <v>97</v>
      </c>
      <c r="C58">
        <v>4.5999999999999996</v>
      </c>
      <c r="D58">
        <v>4866</v>
      </c>
      <c r="E58">
        <v>11</v>
      </c>
      <c r="F58">
        <v>2010</v>
      </c>
      <c r="G58" t="s">
        <v>10</v>
      </c>
      <c r="R58" t="str">
        <v/>
      </c>
      <c r="S58" t="str">
        <v/>
      </c>
    </row>
    <row r="59" spans="1:19" x14ac:dyDescent="0.25">
      <c r="A59" t="s">
        <v>96</v>
      </c>
      <c r="B59" t="s">
        <v>97</v>
      </c>
      <c r="C59">
        <v>4.5999999999999996</v>
      </c>
      <c r="D59">
        <v>4866</v>
      </c>
      <c r="E59">
        <v>11</v>
      </c>
      <c r="F59">
        <v>2011</v>
      </c>
      <c r="G59" t="s">
        <v>10</v>
      </c>
      <c r="R59" t="str">
        <v/>
      </c>
      <c r="S59" t="str">
        <v/>
      </c>
    </row>
    <row r="60" spans="1:19" x14ac:dyDescent="0.25">
      <c r="A60" t="s">
        <v>98</v>
      </c>
      <c r="B60" t="s">
        <v>99</v>
      </c>
      <c r="C60">
        <v>4.8</v>
      </c>
      <c r="D60">
        <v>1329</v>
      </c>
      <c r="E60">
        <v>10</v>
      </c>
      <c r="F60">
        <v>2013</v>
      </c>
      <c r="G60" t="s">
        <v>8</v>
      </c>
      <c r="R60" t="str">
        <v/>
      </c>
      <c r="S60" t="str">
        <v/>
      </c>
    </row>
    <row r="61" spans="1:19" x14ac:dyDescent="0.25">
      <c r="A61" t="s">
        <v>100</v>
      </c>
      <c r="B61" t="s">
        <v>101</v>
      </c>
      <c r="C61">
        <v>4.4000000000000004</v>
      </c>
      <c r="D61">
        <v>4642</v>
      </c>
      <c r="E61">
        <v>13</v>
      </c>
      <c r="F61">
        <v>2013</v>
      </c>
      <c r="G61" t="s">
        <v>8</v>
      </c>
      <c r="R61" t="str">
        <v/>
      </c>
      <c r="S61" t="str">
        <v/>
      </c>
    </row>
    <row r="62" spans="1:19" x14ac:dyDescent="0.25">
      <c r="A62" t="s">
        <v>102</v>
      </c>
      <c r="B62" t="s">
        <v>103</v>
      </c>
      <c r="C62">
        <v>4.5999999999999996</v>
      </c>
      <c r="D62">
        <v>1541</v>
      </c>
      <c r="E62">
        <v>4</v>
      </c>
      <c r="F62">
        <v>2009</v>
      </c>
      <c r="G62" t="s">
        <v>10</v>
      </c>
      <c r="R62" t="str">
        <v/>
      </c>
      <c r="S62" t="str">
        <v/>
      </c>
    </row>
    <row r="63" spans="1:19" x14ac:dyDescent="0.25">
      <c r="A63" t="s">
        <v>104</v>
      </c>
      <c r="B63" t="s">
        <v>103</v>
      </c>
      <c r="C63">
        <v>4.3</v>
      </c>
      <c r="D63">
        <v>1924</v>
      </c>
      <c r="E63">
        <v>8</v>
      </c>
      <c r="F63">
        <v>2010</v>
      </c>
      <c r="G63" t="s">
        <v>10</v>
      </c>
      <c r="R63" t="str">
        <v/>
      </c>
      <c r="S63" t="str">
        <v/>
      </c>
    </row>
    <row r="64" spans="1:19" x14ac:dyDescent="0.25">
      <c r="A64" t="s">
        <v>105</v>
      </c>
      <c r="B64" t="s">
        <v>103</v>
      </c>
      <c r="C64">
        <v>4.2</v>
      </c>
      <c r="D64">
        <v>2094</v>
      </c>
      <c r="E64">
        <v>4</v>
      </c>
      <c r="F64">
        <v>2011</v>
      </c>
      <c r="G64" t="s">
        <v>10</v>
      </c>
      <c r="R64" t="str">
        <v/>
      </c>
      <c r="S64" t="str">
        <v/>
      </c>
    </row>
    <row r="65" spans="1:19" x14ac:dyDescent="0.25">
      <c r="A65" t="s">
        <v>106</v>
      </c>
      <c r="B65" t="s">
        <v>107</v>
      </c>
      <c r="C65">
        <v>4.8</v>
      </c>
      <c r="D65">
        <v>10922</v>
      </c>
      <c r="E65">
        <v>5</v>
      </c>
      <c r="F65">
        <v>2015</v>
      </c>
      <c r="G65" t="s">
        <v>10</v>
      </c>
      <c r="R65" t="str">
        <v/>
      </c>
      <c r="S65" t="str">
        <v/>
      </c>
    </row>
    <row r="66" spans="1:19" x14ac:dyDescent="0.25">
      <c r="A66" t="s">
        <v>106</v>
      </c>
      <c r="B66" t="s">
        <v>107</v>
      </c>
      <c r="C66">
        <v>4.8</v>
      </c>
      <c r="D66">
        <v>10922</v>
      </c>
      <c r="E66">
        <v>5</v>
      </c>
      <c r="F66">
        <v>2016</v>
      </c>
      <c r="G66" t="s">
        <v>10</v>
      </c>
      <c r="R66" t="str">
        <v/>
      </c>
      <c r="S66" t="str">
        <v/>
      </c>
    </row>
    <row r="67" spans="1:19" x14ac:dyDescent="0.25">
      <c r="A67" t="s">
        <v>106</v>
      </c>
      <c r="B67" t="s">
        <v>107</v>
      </c>
      <c r="C67">
        <v>4.8</v>
      </c>
      <c r="D67">
        <v>10922</v>
      </c>
      <c r="E67">
        <v>5</v>
      </c>
      <c r="F67">
        <v>2017</v>
      </c>
      <c r="G67" t="s">
        <v>10</v>
      </c>
      <c r="R67" t="str">
        <v/>
      </c>
      <c r="S67" t="str">
        <v/>
      </c>
    </row>
    <row r="68" spans="1:19" x14ac:dyDescent="0.25">
      <c r="A68" t="s">
        <v>106</v>
      </c>
      <c r="B68" t="s">
        <v>107</v>
      </c>
      <c r="C68">
        <v>4.8</v>
      </c>
      <c r="D68">
        <v>10922</v>
      </c>
      <c r="E68">
        <v>5</v>
      </c>
      <c r="F68">
        <v>2018</v>
      </c>
      <c r="G68" t="s">
        <v>10</v>
      </c>
      <c r="R68" t="str">
        <v/>
      </c>
      <c r="S68" t="str">
        <v/>
      </c>
    </row>
    <row r="69" spans="1:19" x14ac:dyDescent="0.25">
      <c r="A69" t="s">
        <v>108</v>
      </c>
      <c r="B69" t="s">
        <v>109</v>
      </c>
      <c r="C69">
        <v>4.5999999999999996</v>
      </c>
      <c r="D69">
        <v>2137</v>
      </c>
      <c r="E69">
        <v>17</v>
      </c>
      <c r="F69">
        <v>2010</v>
      </c>
      <c r="G69" t="s">
        <v>8</v>
      </c>
      <c r="R69" t="str">
        <v/>
      </c>
      <c r="S69" t="str">
        <v/>
      </c>
    </row>
    <row r="70" spans="1:19" x14ac:dyDescent="0.25">
      <c r="A70" t="s">
        <v>110</v>
      </c>
      <c r="B70" t="s">
        <v>111</v>
      </c>
      <c r="C70">
        <v>4.5999999999999996</v>
      </c>
      <c r="D70">
        <v>1651</v>
      </c>
      <c r="E70">
        <v>15</v>
      </c>
      <c r="F70">
        <v>2010</v>
      </c>
      <c r="G70" t="s">
        <v>8</v>
      </c>
      <c r="R70" t="str">
        <v/>
      </c>
      <c r="S70" t="str">
        <v/>
      </c>
    </row>
    <row r="71" spans="1:19" x14ac:dyDescent="0.25">
      <c r="A71" t="s">
        <v>112</v>
      </c>
      <c r="B71" t="s">
        <v>113</v>
      </c>
      <c r="C71">
        <v>4.5</v>
      </c>
      <c r="D71">
        <v>6679</v>
      </c>
      <c r="E71">
        <v>105</v>
      </c>
      <c r="F71">
        <v>2013</v>
      </c>
      <c r="G71" t="s">
        <v>8</v>
      </c>
      <c r="R71" t="str">
        <v>Diagnostic and Statistical Manual of Mental Disorders, 5th Edition: DSM-5</v>
      </c>
      <c r="S71" t="str">
        <v/>
      </c>
    </row>
    <row r="72" spans="1:19" x14ac:dyDescent="0.25">
      <c r="A72" t="s">
        <v>112</v>
      </c>
      <c r="B72" t="s">
        <v>113</v>
      </c>
      <c r="C72">
        <v>4.5</v>
      </c>
      <c r="D72">
        <v>6679</v>
      </c>
      <c r="E72">
        <v>105</v>
      </c>
      <c r="F72">
        <v>2014</v>
      </c>
      <c r="G72" t="s">
        <v>8</v>
      </c>
      <c r="R72" t="str">
        <v>Diagnostic and Statistical Manual of Mental Disorders, 5th Edition: DSM-5</v>
      </c>
      <c r="S72" t="str">
        <v/>
      </c>
    </row>
    <row r="73" spans="1:19" x14ac:dyDescent="0.25">
      <c r="A73" t="s">
        <v>114</v>
      </c>
      <c r="B73" t="s">
        <v>78</v>
      </c>
      <c r="C73">
        <v>4.8</v>
      </c>
      <c r="D73">
        <v>6812</v>
      </c>
      <c r="E73">
        <v>0</v>
      </c>
      <c r="F73">
        <v>2013</v>
      </c>
      <c r="G73" t="s">
        <v>10</v>
      </c>
      <c r="R73" t="str">
        <v/>
      </c>
      <c r="S73" t="str">
        <v/>
      </c>
    </row>
    <row r="74" spans="1:19" x14ac:dyDescent="0.25">
      <c r="A74" t="s">
        <v>115</v>
      </c>
      <c r="B74" t="s">
        <v>78</v>
      </c>
      <c r="C74">
        <v>4.8</v>
      </c>
      <c r="D74">
        <v>3837</v>
      </c>
      <c r="E74">
        <v>15</v>
      </c>
      <c r="F74">
        <v>2009</v>
      </c>
      <c r="G74" t="s">
        <v>10</v>
      </c>
      <c r="R74" t="str">
        <v/>
      </c>
      <c r="S74" t="str">
        <v/>
      </c>
    </row>
    <row r="75" spans="1:19" x14ac:dyDescent="0.25">
      <c r="A75" t="s">
        <v>116</v>
      </c>
      <c r="B75" t="s">
        <v>78</v>
      </c>
      <c r="C75">
        <v>4.8</v>
      </c>
      <c r="D75">
        <v>6540</v>
      </c>
      <c r="E75">
        <v>22</v>
      </c>
      <c r="F75">
        <v>2014</v>
      </c>
      <c r="G75" t="s">
        <v>10</v>
      </c>
      <c r="R75" t="str">
        <v/>
      </c>
      <c r="S75" t="str">
        <v>Diary of a Wimpy Kid: Hard Luck, Book 8</v>
      </c>
    </row>
    <row r="76" spans="1:19" x14ac:dyDescent="0.25">
      <c r="A76" t="s">
        <v>117</v>
      </c>
      <c r="B76" t="s">
        <v>118</v>
      </c>
      <c r="C76">
        <v>4.5999999999999996</v>
      </c>
      <c r="D76">
        <v>7955</v>
      </c>
      <c r="E76">
        <v>5</v>
      </c>
      <c r="F76">
        <v>2019</v>
      </c>
      <c r="G76" t="s">
        <v>8</v>
      </c>
      <c r="R76" t="str">
        <v/>
      </c>
      <c r="S76" t="str">
        <v/>
      </c>
    </row>
    <row r="77" spans="1:19" x14ac:dyDescent="0.25">
      <c r="A77" t="s">
        <v>119</v>
      </c>
      <c r="B77" t="s">
        <v>46</v>
      </c>
      <c r="C77">
        <v>4.5999999999999996</v>
      </c>
      <c r="D77">
        <v>27098</v>
      </c>
      <c r="E77">
        <v>15</v>
      </c>
      <c r="F77">
        <v>2013</v>
      </c>
      <c r="G77" t="s">
        <v>10</v>
      </c>
      <c r="R77" t="str">
        <v/>
      </c>
      <c r="S77" t="str">
        <v/>
      </c>
    </row>
    <row r="78" spans="1:19" x14ac:dyDescent="0.25">
      <c r="A78" t="s">
        <v>119</v>
      </c>
      <c r="B78" t="s">
        <v>46</v>
      </c>
      <c r="C78">
        <v>4.5999999999999996</v>
      </c>
      <c r="D78">
        <v>27098</v>
      </c>
      <c r="E78">
        <v>15</v>
      </c>
      <c r="F78">
        <v>2014</v>
      </c>
      <c r="G78" t="s">
        <v>10</v>
      </c>
      <c r="R78" t="str">
        <v/>
      </c>
      <c r="S78" t="str">
        <v/>
      </c>
    </row>
    <row r="79" spans="1:19" x14ac:dyDescent="0.25">
      <c r="A79" t="s">
        <v>120</v>
      </c>
      <c r="B79" t="s">
        <v>46</v>
      </c>
      <c r="C79">
        <v>4.5</v>
      </c>
      <c r="D79">
        <v>17684</v>
      </c>
      <c r="E79">
        <v>6</v>
      </c>
      <c r="F79">
        <v>2014</v>
      </c>
      <c r="G79" t="s">
        <v>10</v>
      </c>
      <c r="R79" t="str">
        <v/>
      </c>
      <c r="S79" t="str">
        <v/>
      </c>
    </row>
    <row r="80" spans="1:19" x14ac:dyDescent="0.25">
      <c r="A80" t="s">
        <v>121</v>
      </c>
      <c r="B80" t="s">
        <v>122</v>
      </c>
      <c r="C80">
        <v>4.5999999999999996</v>
      </c>
      <c r="D80">
        <v>37</v>
      </c>
      <c r="E80">
        <v>6</v>
      </c>
      <c r="F80">
        <v>2009</v>
      </c>
      <c r="G80" t="s">
        <v>8</v>
      </c>
      <c r="R80" t="str">
        <v/>
      </c>
      <c r="S80" t="str">
        <v/>
      </c>
    </row>
    <row r="81" spans="1:19" x14ac:dyDescent="0.25">
      <c r="A81" t="s">
        <v>123</v>
      </c>
      <c r="B81" t="s">
        <v>9</v>
      </c>
      <c r="C81">
        <v>4.7</v>
      </c>
      <c r="D81">
        <v>15845</v>
      </c>
      <c r="E81">
        <v>13</v>
      </c>
      <c r="F81">
        <v>2013</v>
      </c>
      <c r="G81" t="s">
        <v>10</v>
      </c>
      <c r="R81" t="str">
        <v/>
      </c>
      <c r="S81" t="str">
        <v/>
      </c>
    </row>
    <row r="82" spans="1:19" x14ac:dyDescent="0.25">
      <c r="A82" t="s">
        <v>124</v>
      </c>
      <c r="B82" t="s">
        <v>78</v>
      </c>
      <c r="C82">
        <v>4.8</v>
      </c>
      <c r="D82">
        <v>3181</v>
      </c>
      <c r="E82">
        <v>12</v>
      </c>
      <c r="F82">
        <v>2009</v>
      </c>
      <c r="G82" t="s">
        <v>10</v>
      </c>
      <c r="R82" t="str">
        <v/>
      </c>
      <c r="S82" t="str">
        <v/>
      </c>
    </row>
    <row r="83" spans="1:19" x14ac:dyDescent="0.25">
      <c r="A83" t="s">
        <v>125</v>
      </c>
      <c r="B83" t="s">
        <v>126</v>
      </c>
      <c r="C83">
        <v>4.9000000000000004</v>
      </c>
      <c r="D83">
        <v>5062</v>
      </c>
      <c r="E83">
        <v>6</v>
      </c>
      <c r="F83">
        <v>2018</v>
      </c>
      <c r="G83" t="s">
        <v>10</v>
      </c>
      <c r="R83" t="str">
        <v/>
      </c>
      <c r="S83" t="str">
        <v/>
      </c>
    </row>
    <row r="84" spans="1:19" x14ac:dyDescent="0.25">
      <c r="A84" t="s">
        <v>127</v>
      </c>
      <c r="B84" t="s">
        <v>126</v>
      </c>
      <c r="C84">
        <v>4.9000000000000004</v>
      </c>
      <c r="D84">
        <v>4786</v>
      </c>
      <c r="E84">
        <v>8</v>
      </c>
      <c r="F84">
        <v>2017</v>
      </c>
      <c r="G84" t="s">
        <v>10</v>
      </c>
      <c r="R84" t="str">
        <v/>
      </c>
      <c r="S84" t="str">
        <v/>
      </c>
    </row>
    <row r="85" spans="1:19" x14ac:dyDescent="0.25">
      <c r="A85" t="s">
        <v>128</v>
      </c>
      <c r="B85" t="s">
        <v>126</v>
      </c>
      <c r="C85">
        <v>4.9000000000000004</v>
      </c>
      <c r="D85">
        <v>7235</v>
      </c>
      <c r="E85">
        <v>4</v>
      </c>
      <c r="F85">
        <v>2018</v>
      </c>
      <c r="G85" t="s">
        <v>10</v>
      </c>
      <c r="R85" t="str">
        <v/>
      </c>
      <c r="S85" t="str">
        <v/>
      </c>
    </row>
    <row r="86" spans="1:19" x14ac:dyDescent="0.25">
      <c r="A86" t="s">
        <v>128</v>
      </c>
      <c r="B86" t="s">
        <v>126</v>
      </c>
      <c r="C86">
        <v>4.9000000000000004</v>
      </c>
      <c r="D86">
        <v>7235</v>
      </c>
      <c r="E86">
        <v>4</v>
      </c>
      <c r="F86">
        <v>2019</v>
      </c>
      <c r="G86" t="s">
        <v>10</v>
      </c>
      <c r="R86" t="str">
        <v/>
      </c>
      <c r="S86" t="str">
        <v/>
      </c>
    </row>
    <row r="87" spans="1:19" x14ac:dyDescent="0.25">
      <c r="A87" t="s">
        <v>129</v>
      </c>
      <c r="B87" t="s">
        <v>126</v>
      </c>
      <c r="C87">
        <v>4.9000000000000004</v>
      </c>
      <c r="D87">
        <v>12619</v>
      </c>
      <c r="E87">
        <v>8</v>
      </c>
      <c r="F87">
        <v>2019</v>
      </c>
      <c r="G87" t="s">
        <v>10</v>
      </c>
      <c r="R87" t="str">
        <v/>
      </c>
      <c r="S87" t="str">
        <v/>
      </c>
    </row>
    <row r="88" spans="1:19" x14ac:dyDescent="0.25">
      <c r="A88" t="s">
        <v>130</v>
      </c>
      <c r="B88" t="s">
        <v>126</v>
      </c>
      <c r="C88">
        <v>4.9000000000000004</v>
      </c>
      <c r="D88">
        <v>9089</v>
      </c>
      <c r="E88">
        <v>8</v>
      </c>
      <c r="F88">
        <v>2019</v>
      </c>
      <c r="G88" t="s">
        <v>10</v>
      </c>
      <c r="R88" t="str">
        <v/>
      </c>
      <c r="S88" t="str">
        <v/>
      </c>
    </row>
    <row r="89" spans="1:19" x14ac:dyDescent="0.25">
      <c r="A89" t="s">
        <v>131</v>
      </c>
      <c r="B89" t="s">
        <v>126</v>
      </c>
      <c r="C89">
        <v>4.9000000000000004</v>
      </c>
      <c r="D89">
        <v>5470</v>
      </c>
      <c r="E89">
        <v>6</v>
      </c>
      <c r="F89">
        <v>2018</v>
      </c>
      <c r="G89" t="s">
        <v>10</v>
      </c>
      <c r="R89" t="str">
        <v/>
      </c>
      <c r="S89" t="str">
        <v/>
      </c>
    </row>
    <row r="90" spans="1:19" x14ac:dyDescent="0.25">
      <c r="A90" t="s">
        <v>132</v>
      </c>
      <c r="B90" t="s">
        <v>78</v>
      </c>
      <c r="C90">
        <v>4.8</v>
      </c>
      <c r="D90">
        <v>5118</v>
      </c>
      <c r="E90">
        <v>20</v>
      </c>
      <c r="F90">
        <v>2016</v>
      </c>
      <c r="G90" t="s">
        <v>10</v>
      </c>
      <c r="R90" t="str">
        <v/>
      </c>
      <c r="S90" t="str">
        <v/>
      </c>
    </row>
    <row r="91" spans="1:19" x14ac:dyDescent="0.25">
      <c r="A91" t="s">
        <v>133</v>
      </c>
      <c r="B91" t="s">
        <v>134</v>
      </c>
      <c r="C91">
        <v>4.5999999999999996</v>
      </c>
      <c r="D91">
        <v>2134</v>
      </c>
      <c r="E91">
        <v>5</v>
      </c>
      <c r="F91">
        <v>2015</v>
      </c>
      <c r="G91" t="s">
        <v>8</v>
      </c>
      <c r="R91" t="str">
        <v/>
      </c>
      <c r="S91" t="str">
        <v/>
      </c>
    </row>
    <row r="92" spans="1:19" x14ac:dyDescent="0.25">
      <c r="A92" t="s">
        <v>135</v>
      </c>
      <c r="B92" t="s">
        <v>136</v>
      </c>
      <c r="C92">
        <v>4.5</v>
      </c>
      <c r="D92">
        <v>2525</v>
      </c>
      <c r="E92">
        <v>16</v>
      </c>
      <c r="F92">
        <v>2010</v>
      </c>
      <c r="G92" t="s">
        <v>8</v>
      </c>
      <c r="R92" t="str">
        <v/>
      </c>
      <c r="S92" t="str">
        <v/>
      </c>
    </row>
    <row r="93" spans="1:19" x14ac:dyDescent="0.25">
      <c r="A93" t="s">
        <v>137</v>
      </c>
      <c r="B93" t="s">
        <v>138</v>
      </c>
      <c r="C93">
        <v>4.5</v>
      </c>
      <c r="D93">
        <v>720</v>
      </c>
      <c r="E93">
        <v>1</v>
      </c>
      <c r="F93">
        <v>2009</v>
      </c>
      <c r="G93" t="s">
        <v>8</v>
      </c>
      <c r="R93" t="str">
        <v/>
      </c>
      <c r="S93" t="str">
        <v/>
      </c>
    </row>
    <row r="94" spans="1:19" x14ac:dyDescent="0.25">
      <c r="A94" t="s">
        <v>139</v>
      </c>
      <c r="B94" t="s">
        <v>138</v>
      </c>
      <c r="C94">
        <v>4.3</v>
      </c>
      <c r="D94">
        <v>956</v>
      </c>
      <c r="E94">
        <v>14</v>
      </c>
      <c r="F94">
        <v>2009</v>
      </c>
      <c r="G94" t="s">
        <v>8</v>
      </c>
      <c r="R94" t="str">
        <v/>
      </c>
      <c r="S94" t="str">
        <v/>
      </c>
    </row>
    <row r="95" spans="1:19" x14ac:dyDescent="0.25">
      <c r="A95" t="s">
        <v>140</v>
      </c>
      <c r="B95" t="s">
        <v>141</v>
      </c>
      <c r="C95">
        <v>4.5</v>
      </c>
      <c r="D95">
        <v>6346</v>
      </c>
      <c r="E95">
        <v>9</v>
      </c>
      <c r="F95">
        <v>2011</v>
      </c>
      <c r="G95" t="s">
        <v>8</v>
      </c>
      <c r="R95" t="str">
        <v/>
      </c>
      <c r="S95" t="str">
        <v/>
      </c>
    </row>
    <row r="96" spans="1:19" x14ac:dyDescent="0.25">
      <c r="A96" t="s">
        <v>140</v>
      </c>
      <c r="B96" t="s">
        <v>141</v>
      </c>
      <c r="C96">
        <v>4.5</v>
      </c>
      <c r="D96">
        <v>6346</v>
      </c>
      <c r="E96">
        <v>9</v>
      </c>
      <c r="F96">
        <v>2012</v>
      </c>
      <c r="G96" t="s">
        <v>8</v>
      </c>
      <c r="R96" t="str">
        <v/>
      </c>
      <c r="S96" t="str">
        <v/>
      </c>
    </row>
    <row r="97" spans="1:19" x14ac:dyDescent="0.25">
      <c r="A97" t="s">
        <v>142</v>
      </c>
      <c r="B97" t="s">
        <v>73</v>
      </c>
      <c r="C97">
        <v>4.7</v>
      </c>
      <c r="D97">
        <v>5505</v>
      </c>
      <c r="E97">
        <v>7</v>
      </c>
      <c r="F97">
        <v>2009</v>
      </c>
      <c r="G97" t="s">
        <v>10</v>
      </c>
      <c r="R97" t="str">
        <v/>
      </c>
      <c r="S97" t="str">
        <v/>
      </c>
    </row>
    <row r="98" spans="1:19" x14ac:dyDescent="0.25">
      <c r="A98" t="s">
        <v>143</v>
      </c>
      <c r="B98" t="s">
        <v>73</v>
      </c>
      <c r="C98">
        <v>4.7</v>
      </c>
      <c r="D98">
        <v>5505</v>
      </c>
      <c r="E98">
        <v>18</v>
      </c>
      <c r="F98">
        <v>2009</v>
      </c>
      <c r="G98" t="s">
        <v>10</v>
      </c>
      <c r="R98" t="str">
        <v/>
      </c>
      <c r="S98" t="str">
        <v/>
      </c>
    </row>
    <row r="99" spans="1:19" x14ac:dyDescent="0.25">
      <c r="A99" t="s">
        <v>144</v>
      </c>
      <c r="B99" t="s">
        <v>145</v>
      </c>
      <c r="C99">
        <v>4.7</v>
      </c>
      <c r="D99">
        <v>28729</v>
      </c>
      <c r="E99">
        <v>15</v>
      </c>
      <c r="F99">
        <v>2018</v>
      </c>
      <c r="G99" t="s">
        <v>8</v>
      </c>
      <c r="R99" t="str">
        <v/>
      </c>
      <c r="S99" t="str">
        <v/>
      </c>
    </row>
    <row r="100" spans="1:19" x14ac:dyDescent="0.25">
      <c r="A100" t="s">
        <v>144</v>
      </c>
      <c r="B100" t="s">
        <v>145</v>
      </c>
      <c r="C100">
        <v>4.7</v>
      </c>
      <c r="D100">
        <v>28729</v>
      </c>
      <c r="E100">
        <v>15</v>
      </c>
      <c r="F100">
        <v>2019</v>
      </c>
      <c r="G100" t="s">
        <v>8</v>
      </c>
      <c r="R100" t="str">
        <v/>
      </c>
      <c r="S100" t="str">
        <v/>
      </c>
    </row>
    <row r="101" spans="1:19" x14ac:dyDescent="0.25">
      <c r="A101" t="s">
        <v>146</v>
      </c>
      <c r="B101" t="s">
        <v>147</v>
      </c>
      <c r="C101">
        <v>4.7</v>
      </c>
      <c r="D101">
        <v>5413</v>
      </c>
      <c r="E101">
        <v>9</v>
      </c>
      <c r="F101">
        <v>2015</v>
      </c>
      <c r="G101" t="s">
        <v>8</v>
      </c>
      <c r="R101" t="str">
        <v/>
      </c>
      <c r="S101" t="str">
        <v/>
      </c>
    </row>
    <row r="102" spans="1:19" x14ac:dyDescent="0.25">
      <c r="A102" t="s">
        <v>148</v>
      </c>
      <c r="B102" t="s">
        <v>149</v>
      </c>
      <c r="C102">
        <v>4.5999999999999996</v>
      </c>
      <c r="D102">
        <v>10721</v>
      </c>
      <c r="E102">
        <v>8</v>
      </c>
      <c r="F102">
        <v>2016</v>
      </c>
      <c r="G102" t="s">
        <v>10</v>
      </c>
      <c r="R102" t="str">
        <v/>
      </c>
      <c r="S102" t="str">
        <v/>
      </c>
    </row>
    <row r="103" spans="1:19" x14ac:dyDescent="0.25">
      <c r="A103" t="s">
        <v>148</v>
      </c>
      <c r="B103" t="s">
        <v>149</v>
      </c>
      <c r="C103">
        <v>4.5999999999999996</v>
      </c>
      <c r="D103">
        <v>10721</v>
      </c>
      <c r="E103">
        <v>8</v>
      </c>
      <c r="F103">
        <v>2018</v>
      </c>
      <c r="G103" t="s">
        <v>10</v>
      </c>
      <c r="R103" t="str">
        <v/>
      </c>
      <c r="S103" t="str">
        <v/>
      </c>
    </row>
    <row r="104" spans="1:19" x14ac:dyDescent="0.25">
      <c r="A104" t="s">
        <v>150</v>
      </c>
      <c r="B104" t="s">
        <v>151</v>
      </c>
      <c r="C104">
        <v>4.7</v>
      </c>
      <c r="D104">
        <v>4370</v>
      </c>
      <c r="E104">
        <v>15</v>
      </c>
      <c r="F104">
        <v>2016</v>
      </c>
      <c r="G104" t="s">
        <v>10</v>
      </c>
      <c r="R104" t="str">
        <v/>
      </c>
      <c r="S104" t="str">
        <v/>
      </c>
    </row>
    <row r="105" spans="1:19" x14ac:dyDescent="0.25">
      <c r="A105" t="s">
        <v>152</v>
      </c>
      <c r="B105" t="s">
        <v>153</v>
      </c>
      <c r="C105">
        <v>4.4000000000000004</v>
      </c>
      <c r="D105">
        <v>6042</v>
      </c>
      <c r="E105">
        <v>2</v>
      </c>
      <c r="F105">
        <v>2018</v>
      </c>
      <c r="G105" t="s">
        <v>8</v>
      </c>
      <c r="R105" t="str">
        <v/>
      </c>
      <c r="S105" t="str">
        <v/>
      </c>
    </row>
    <row r="106" spans="1:19" x14ac:dyDescent="0.25">
      <c r="A106" t="s">
        <v>154</v>
      </c>
      <c r="B106" t="s">
        <v>155</v>
      </c>
      <c r="C106">
        <v>4.4000000000000004</v>
      </c>
      <c r="D106">
        <v>23631</v>
      </c>
      <c r="E106">
        <v>7</v>
      </c>
      <c r="F106">
        <v>2012</v>
      </c>
      <c r="G106" t="s">
        <v>10</v>
      </c>
      <c r="R106" t="str">
        <v/>
      </c>
      <c r="S106" t="str">
        <v/>
      </c>
    </row>
    <row r="107" spans="1:19" x14ac:dyDescent="0.25">
      <c r="A107" t="s">
        <v>156</v>
      </c>
      <c r="B107" t="s">
        <v>155</v>
      </c>
      <c r="C107">
        <v>4.5</v>
      </c>
      <c r="D107">
        <v>20262</v>
      </c>
      <c r="E107">
        <v>11</v>
      </c>
      <c r="F107">
        <v>2012</v>
      </c>
      <c r="G107" t="s">
        <v>10</v>
      </c>
      <c r="R107" t="str">
        <v/>
      </c>
      <c r="S107" t="str">
        <v/>
      </c>
    </row>
    <row r="108" spans="1:19" x14ac:dyDescent="0.25">
      <c r="A108" t="s">
        <v>157</v>
      </c>
      <c r="B108" t="s">
        <v>155</v>
      </c>
      <c r="C108">
        <v>3.8</v>
      </c>
      <c r="D108">
        <v>47265</v>
      </c>
      <c r="E108">
        <v>14</v>
      </c>
      <c r="F108">
        <v>2012</v>
      </c>
      <c r="G108" t="s">
        <v>10</v>
      </c>
      <c r="R108" t="str">
        <v/>
      </c>
      <c r="S108" t="str">
        <v/>
      </c>
    </row>
    <row r="109" spans="1:19" x14ac:dyDescent="0.25">
      <c r="A109" t="s">
        <v>157</v>
      </c>
      <c r="B109" t="s">
        <v>155</v>
      </c>
      <c r="C109">
        <v>3.8</v>
      </c>
      <c r="D109">
        <v>47265</v>
      </c>
      <c r="E109">
        <v>14</v>
      </c>
      <c r="F109">
        <v>2013</v>
      </c>
      <c r="G109" t="s">
        <v>10</v>
      </c>
      <c r="R109" t="str">
        <v/>
      </c>
      <c r="S109" t="str">
        <v/>
      </c>
    </row>
    <row r="110" spans="1:19" x14ac:dyDescent="0.25">
      <c r="A110" t="s">
        <v>158</v>
      </c>
      <c r="B110" t="s">
        <v>155</v>
      </c>
      <c r="C110">
        <v>4.5</v>
      </c>
      <c r="D110">
        <v>13964</v>
      </c>
      <c r="E110">
        <v>32</v>
      </c>
      <c r="F110">
        <v>2012</v>
      </c>
      <c r="G110" t="s">
        <v>10</v>
      </c>
      <c r="R110" t="str">
        <v/>
      </c>
      <c r="S110" t="str">
        <v/>
      </c>
    </row>
    <row r="111" spans="1:19" x14ac:dyDescent="0.25">
      <c r="A111" t="s">
        <v>159</v>
      </c>
      <c r="B111" t="s">
        <v>160</v>
      </c>
      <c r="C111">
        <v>4.2</v>
      </c>
      <c r="D111">
        <v>13677</v>
      </c>
      <c r="E111">
        <v>6</v>
      </c>
      <c r="F111">
        <v>2018</v>
      </c>
      <c r="G111" t="s">
        <v>8</v>
      </c>
      <c r="R111" t="str">
        <v/>
      </c>
      <c r="S111" t="str">
        <v/>
      </c>
    </row>
    <row r="112" spans="1:19" x14ac:dyDescent="0.25">
      <c r="A112" t="s">
        <v>161</v>
      </c>
      <c r="B112" t="s">
        <v>162</v>
      </c>
      <c r="C112">
        <v>4.7</v>
      </c>
      <c r="D112">
        <v>17323</v>
      </c>
      <c r="E112">
        <v>4</v>
      </c>
      <c r="F112">
        <v>2014</v>
      </c>
      <c r="G112" t="s">
        <v>8</v>
      </c>
      <c r="R112" t="str">
        <v/>
      </c>
      <c r="S112" t="str">
        <v/>
      </c>
    </row>
    <row r="113" spans="1:19" x14ac:dyDescent="0.25">
      <c r="A113" t="s">
        <v>161</v>
      </c>
      <c r="B113" t="s">
        <v>162</v>
      </c>
      <c r="C113">
        <v>4.7</v>
      </c>
      <c r="D113">
        <v>17323</v>
      </c>
      <c r="E113">
        <v>4</v>
      </c>
      <c r="F113">
        <v>2015</v>
      </c>
      <c r="G113" t="s">
        <v>8</v>
      </c>
      <c r="R113" t="str">
        <v/>
      </c>
      <c r="S113" t="str">
        <v/>
      </c>
    </row>
    <row r="114" spans="1:19" x14ac:dyDescent="0.25">
      <c r="A114" t="s">
        <v>161</v>
      </c>
      <c r="B114" t="s">
        <v>162</v>
      </c>
      <c r="C114">
        <v>4.7</v>
      </c>
      <c r="D114">
        <v>17323</v>
      </c>
      <c r="E114">
        <v>4</v>
      </c>
      <c r="F114">
        <v>2016</v>
      </c>
      <c r="G114" t="s">
        <v>8</v>
      </c>
      <c r="R114" t="str">
        <v/>
      </c>
      <c r="S114" t="str">
        <v/>
      </c>
    </row>
    <row r="115" spans="1:19" x14ac:dyDescent="0.25">
      <c r="A115" t="s">
        <v>161</v>
      </c>
      <c r="B115" t="s">
        <v>162</v>
      </c>
      <c r="C115">
        <v>4.7</v>
      </c>
      <c r="D115">
        <v>17323</v>
      </c>
      <c r="E115">
        <v>4</v>
      </c>
      <c r="F115">
        <v>2017</v>
      </c>
      <c r="G115" t="s">
        <v>8</v>
      </c>
      <c r="R115" t="str">
        <v/>
      </c>
      <c r="S115" t="str">
        <v/>
      </c>
    </row>
    <row r="116" spans="1:19" x14ac:dyDescent="0.25">
      <c r="A116" t="s">
        <v>161</v>
      </c>
      <c r="B116" t="s">
        <v>162</v>
      </c>
      <c r="C116">
        <v>4.7</v>
      </c>
      <c r="D116">
        <v>17323</v>
      </c>
      <c r="E116">
        <v>4</v>
      </c>
      <c r="F116">
        <v>2018</v>
      </c>
      <c r="G116" t="s">
        <v>8</v>
      </c>
      <c r="R116" t="str">
        <v/>
      </c>
      <c r="S116" t="str">
        <v/>
      </c>
    </row>
    <row r="117" spans="1:19" x14ac:dyDescent="0.25">
      <c r="A117" t="s">
        <v>163</v>
      </c>
      <c r="B117" t="s">
        <v>164</v>
      </c>
      <c r="C117">
        <v>4.4000000000000004</v>
      </c>
      <c r="D117">
        <v>1555</v>
      </c>
      <c r="E117">
        <v>9</v>
      </c>
      <c r="F117">
        <v>2010</v>
      </c>
      <c r="G117" t="s">
        <v>8</v>
      </c>
      <c r="R117" t="str">
        <v/>
      </c>
      <c r="S117" t="str">
        <v/>
      </c>
    </row>
    <row r="118" spans="1:19" x14ac:dyDescent="0.25">
      <c r="A118" t="s">
        <v>165</v>
      </c>
      <c r="B118" t="s">
        <v>166</v>
      </c>
      <c r="C118">
        <v>4.7</v>
      </c>
      <c r="D118">
        <v>3642</v>
      </c>
      <c r="E118">
        <v>0</v>
      </c>
      <c r="F118">
        <v>2014</v>
      </c>
      <c r="G118" t="s">
        <v>10</v>
      </c>
      <c r="R118" t="str">
        <v/>
      </c>
      <c r="S118" t="str">
        <v/>
      </c>
    </row>
    <row r="119" spans="1:19" x14ac:dyDescent="0.25">
      <c r="A119" t="s">
        <v>167</v>
      </c>
      <c r="B119" t="s">
        <v>168</v>
      </c>
      <c r="C119">
        <v>4.4000000000000004</v>
      </c>
      <c r="D119">
        <v>1215</v>
      </c>
      <c r="E119">
        <v>9</v>
      </c>
      <c r="F119">
        <v>2010</v>
      </c>
      <c r="G119" t="s">
        <v>8</v>
      </c>
      <c r="R119" t="str">
        <v/>
      </c>
      <c r="S119" t="str">
        <v/>
      </c>
    </row>
    <row r="120" spans="1:19" x14ac:dyDescent="0.25">
      <c r="A120" t="s">
        <v>169</v>
      </c>
      <c r="B120" t="s">
        <v>170</v>
      </c>
      <c r="C120">
        <v>4.5999999999999996</v>
      </c>
      <c r="D120">
        <v>5594</v>
      </c>
      <c r="E120">
        <v>5</v>
      </c>
      <c r="F120">
        <v>2011</v>
      </c>
      <c r="G120" t="s">
        <v>10</v>
      </c>
      <c r="R120" t="str">
        <v/>
      </c>
      <c r="S120" t="str">
        <v>Frozen (Little Golden Book)</v>
      </c>
    </row>
    <row r="121" spans="1:19" x14ac:dyDescent="0.25">
      <c r="A121" t="s">
        <v>169</v>
      </c>
      <c r="B121" t="s">
        <v>170</v>
      </c>
      <c r="C121">
        <v>4.5999999999999996</v>
      </c>
      <c r="D121">
        <v>5594</v>
      </c>
      <c r="E121">
        <v>5</v>
      </c>
      <c r="F121">
        <v>2012</v>
      </c>
      <c r="G121" t="s">
        <v>10</v>
      </c>
      <c r="R121" t="str">
        <v/>
      </c>
      <c r="S121" t="str">
        <v/>
      </c>
    </row>
    <row r="122" spans="1:19" x14ac:dyDescent="0.25">
      <c r="A122" t="s">
        <v>169</v>
      </c>
      <c r="B122" t="s">
        <v>170</v>
      </c>
      <c r="C122">
        <v>4.5999999999999996</v>
      </c>
      <c r="D122">
        <v>5594</v>
      </c>
      <c r="E122">
        <v>5</v>
      </c>
      <c r="F122">
        <v>2013</v>
      </c>
      <c r="G122" t="s">
        <v>10</v>
      </c>
      <c r="R122" t="str">
        <v/>
      </c>
      <c r="S122" t="str">
        <v/>
      </c>
    </row>
    <row r="123" spans="1:19" x14ac:dyDescent="0.25">
      <c r="A123" t="s">
        <v>171</v>
      </c>
      <c r="B123" t="s">
        <v>172</v>
      </c>
      <c r="C123">
        <v>4.5</v>
      </c>
      <c r="D123">
        <v>408</v>
      </c>
      <c r="E123">
        <v>20</v>
      </c>
      <c r="F123">
        <v>2010</v>
      </c>
      <c r="G123" t="s">
        <v>8</v>
      </c>
      <c r="R123" t="str">
        <v/>
      </c>
      <c r="S123" t="str">
        <v/>
      </c>
    </row>
    <row r="124" spans="1:19" x14ac:dyDescent="0.25">
      <c r="A124" t="s">
        <v>173</v>
      </c>
      <c r="B124" t="s">
        <v>174</v>
      </c>
      <c r="C124">
        <v>4.5999999999999996</v>
      </c>
      <c r="D124">
        <v>4799</v>
      </c>
      <c r="E124">
        <v>16</v>
      </c>
      <c r="F124">
        <v>2013</v>
      </c>
      <c r="G124" t="s">
        <v>8</v>
      </c>
      <c r="R124" t="str">
        <v/>
      </c>
      <c r="S124" t="str">
        <v/>
      </c>
    </row>
    <row r="125" spans="1:19" x14ac:dyDescent="0.25">
      <c r="A125" t="s">
        <v>175</v>
      </c>
      <c r="B125" t="s">
        <v>176</v>
      </c>
      <c r="C125">
        <v>4.8</v>
      </c>
      <c r="D125">
        <v>14038</v>
      </c>
      <c r="E125">
        <v>4</v>
      </c>
      <c r="F125">
        <v>2015</v>
      </c>
      <c r="G125" t="s">
        <v>10</v>
      </c>
      <c r="R125" t="str">
        <v/>
      </c>
      <c r="S125" t="str">
        <v/>
      </c>
    </row>
    <row r="126" spans="1:19" x14ac:dyDescent="0.25">
      <c r="A126" t="s">
        <v>175</v>
      </c>
      <c r="B126" t="s">
        <v>176</v>
      </c>
      <c r="C126">
        <v>4.8</v>
      </c>
      <c r="D126">
        <v>14038</v>
      </c>
      <c r="E126">
        <v>4</v>
      </c>
      <c r="F126">
        <v>2016</v>
      </c>
      <c r="G126" t="s">
        <v>10</v>
      </c>
      <c r="R126" t="str">
        <v/>
      </c>
      <c r="S126" t="str">
        <v/>
      </c>
    </row>
    <row r="127" spans="1:19" x14ac:dyDescent="0.25">
      <c r="A127" t="s">
        <v>175</v>
      </c>
      <c r="B127" t="s">
        <v>176</v>
      </c>
      <c r="C127">
        <v>4.8</v>
      </c>
      <c r="D127">
        <v>14038</v>
      </c>
      <c r="E127">
        <v>4</v>
      </c>
      <c r="F127">
        <v>2017</v>
      </c>
      <c r="G127" t="s">
        <v>10</v>
      </c>
      <c r="R127" t="str">
        <v/>
      </c>
      <c r="S127" t="str">
        <v/>
      </c>
    </row>
    <row r="128" spans="1:19" x14ac:dyDescent="0.25">
      <c r="A128" t="s">
        <v>175</v>
      </c>
      <c r="B128" t="s">
        <v>176</v>
      </c>
      <c r="C128">
        <v>4.8</v>
      </c>
      <c r="D128">
        <v>14038</v>
      </c>
      <c r="E128">
        <v>4</v>
      </c>
      <c r="F128">
        <v>2018</v>
      </c>
      <c r="G128" t="s">
        <v>10</v>
      </c>
      <c r="R128" t="str">
        <v/>
      </c>
      <c r="S128" t="str">
        <v/>
      </c>
    </row>
    <row r="129" spans="1:19" x14ac:dyDescent="0.25">
      <c r="A129" t="s">
        <v>175</v>
      </c>
      <c r="B129" t="s">
        <v>176</v>
      </c>
      <c r="C129">
        <v>4.8</v>
      </c>
      <c r="D129">
        <v>14038</v>
      </c>
      <c r="E129">
        <v>4</v>
      </c>
      <c r="F129">
        <v>2019</v>
      </c>
      <c r="G129" t="s">
        <v>10</v>
      </c>
      <c r="R129" t="str">
        <v/>
      </c>
      <c r="S129" t="str">
        <v/>
      </c>
    </row>
    <row r="130" spans="1:19" x14ac:dyDescent="0.25">
      <c r="A130" t="s">
        <v>177</v>
      </c>
      <c r="B130" t="s">
        <v>178</v>
      </c>
      <c r="C130">
        <v>4.5999999999999996</v>
      </c>
      <c r="D130">
        <v>7660</v>
      </c>
      <c r="E130">
        <v>12</v>
      </c>
      <c r="F130">
        <v>2019</v>
      </c>
      <c r="G130" t="s">
        <v>8</v>
      </c>
      <c r="R130" t="str">
        <v/>
      </c>
      <c r="S130" t="str">
        <v/>
      </c>
    </row>
    <row r="131" spans="1:19" x14ac:dyDescent="0.25">
      <c r="A131" t="s">
        <v>179</v>
      </c>
      <c r="B131" t="s">
        <v>178</v>
      </c>
      <c r="C131">
        <v>4.5999999999999996</v>
      </c>
      <c r="D131">
        <v>22288</v>
      </c>
      <c r="E131">
        <v>12</v>
      </c>
      <c r="F131">
        <v>2018</v>
      </c>
      <c r="G131" t="s">
        <v>8</v>
      </c>
      <c r="R131" t="str">
        <v/>
      </c>
      <c r="S131" t="str">
        <v/>
      </c>
    </row>
    <row r="132" spans="1:19" x14ac:dyDescent="0.25">
      <c r="A132" t="s">
        <v>179</v>
      </c>
      <c r="B132" t="s">
        <v>178</v>
      </c>
      <c r="C132">
        <v>4.5999999999999996</v>
      </c>
      <c r="D132">
        <v>22288</v>
      </c>
      <c r="E132">
        <v>12</v>
      </c>
      <c r="F132">
        <v>2019</v>
      </c>
      <c r="G132" t="s">
        <v>8</v>
      </c>
      <c r="R132" t="str">
        <v/>
      </c>
      <c r="S132" t="str">
        <v/>
      </c>
    </row>
    <row r="133" spans="1:19" x14ac:dyDescent="0.25">
      <c r="A133" t="s">
        <v>180</v>
      </c>
      <c r="B133" t="s">
        <v>52</v>
      </c>
      <c r="C133">
        <v>4.5999999999999996</v>
      </c>
      <c r="D133">
        <v>1365</v>
      </c>
      <c r="E133">
        <v>11</v>
      </c>
      <c r="F133">
        <v>2009</v>
      </c>
      <c r="G133" t="s">
        <v>8</v>
      </c>
      <c r="R133" t="str">
        <v/>
      </c>
      <c r="S133" t="str">
        <v/>
      </c>
    </row>
    <row r="134" spans="1:19" x14ac:dyDescent="0.25">
      <c r="A134" t="s">
        <v>181</v>
      </c>
      <c r="B134" t="s">
        <v>182</v>
      </c>
      <c r="C134">
        <v>3.6</v>
      </c>
      <c r="D134">
        <v>14982</v>
      </c>
      <c r="E134">
        <v>19</v>
      </c>
      <c r="F134">
        <v>2015</v>
      </c>
      <c r="G134" t="s">
        <v>10</v>
      </c>
      <c r="R134" t="str">
        <v/>
      </c>
      <c r="S134" t="str">
        <v/>
      </c>
    </row>
    <row r="135" spans="1:19" x14ac:dyDescent="0.25">
      <c r="A135" t="s">
        <v>183</v>
      </c>
      <c r="B135" t="s">
        <v>184</v>
      </c>
      <c r="C135">
        <v>4.8</v>
      </c>
      <c r="D135">
        <v>9568</v>
      </c>
      <c r="E135">
        <v>9</v>
      </c>
      <c r="F135">
        <v>2011</v>
      </c>
      <c r="G135" t="s">
        <v>10</v>
      </c>
      <c r="R135" t="str">
        <v/>
      </c>
      <c r="S135" t="str">
        <v/>
      </c>
    </row>
    <row r="136" spans="1:19" x14ac:dyDescent="0.25">
      <c r="A136" t="s">
        <v>185</v>
      </c>
      <c r="B136" t="s">
        <v>186</v>
      </c>
      <c r="C136">
        <v>4.5999999999999996</v>
      </c>
      <c r="D136">
        <v>1636</v>
      </c>
      <c r="E136">
        <v>6</v>
      </c>
      <c r="F136">
        <v>2009</v>
      </c>
      <c r="G136" t="s">
        <v>8</v>
      </c>
      <c r="R136" t="str">
        <v/>
      </c>
      <c r="S136" t="str">
        <v/>
      </c>
    </row>
    <row r="137" spans="1:19" x14ac:dyDescent="0.25">
      <c r="A137" t="s">
        <v>187</v>
      </c>
      <c r="B137" t="s">
        <v>188</v>
      </c>
      <c r="C137">
        <v>4</v>
      </c>
      <c r="D137">
        <v>57271</v>
      </c>
      <c r="E137">
        <v>10</v>
      </c>
      <c r="F137">
        <v>2012</v>
      </c>
      <c r="G137" t="s">
        <v>10</v>
      </c>
      <c r="R137" t="str">
        <v/>
      </c>
      <c r="S137" t="str">
        <v/>
      </c>
    </row>
    <row r="138" spans="1:19" x14ac:dyDescent="0.25">
      <c r="A138" t="s">
        <v>187</v>
      </c>
      <c r="B138" t="s">
        <v>188</v>
      </c>
      <c r="C138">
        <v>4</v>
      </c>
      <c r="D138">
        <v>57271</v>
      </c>
      <c r="E138">
        <v>10</v>
      </c>
      <c r="F138">
        <v>2013</v>
      </c>
      <c r="G138" t="s">
        <v>10</v>
      </c>
      <c r="R138" t="str">
        <v/>
      </c>
      <c r="S138" t="str">
        <v/>
      </c>
    </row>
    <row r="139" spans="1:19" x14ac:dyDescent="0.25">
      <c r="A139" t="s">
        <v>187</v>
      </c>
      <c r="B139" t="s">
        <v>188</v>
      </c>
      <c r="C139">
        <v>4</v>
      </c>
      <c r="D139">
        <v>57271</v>
      </c>
      <c r="E139">
        <v>9</v>
      </c>
      <c r="F139">
        <v>2014</v>
      </c>
      <c r="G139" t="s">
        <v>10</v>
      </c>
      <c r="R139" t="str">
        <v/>
      </c>
      <c r="S139" t="str">
        <v/>
      </c>
    </row>
    <row r="140" spans="1:19" x14ac:dyDescent="0.25">
      <c r="A140" t="s">
        <v>189</v>
      </c>
      <c r="B140" t="s">
        <v>190</v>
      </c>
      <c r="C140">
        <v>4.5999999999999996</v>
      </c>
      <c r="D140">
        <v>10141</v>
      </c>
      <c r="E140">
        <v>6</v>
      </c>
      <c r="F140">
        <v>2019</v>
      </c>
      <c r="G140" t="s">
        <v>8</v>
      </c>
      <c r="R140" t="str">
        <v/>
      </c>
      <c r="S140" t="str">
        <v/>
      </c>
    </row>
    <row r="141" spans="1:19" x14ac:dyDescent="0.25">
      <c r="A141" t="s">
        <v>191</v>
      </c>
      <c r="B141" t="s">
        <v>192</v>
      </c>
      <c r="C141">
        <v>4.5</v>
      </c>
      <c r="D141">
        <v>3457</v>
      </c>
      <c r="E141">
        <v>14</v>
      </c>
      <c r="F141">
        <v>2009</v>
      </c>
      <c r="G141" t="s">
        <v>8</v>
      </c>
      <c r="R141" t="str">
        <v/>
      </c>
      <c r="S141" t="str">
        <v/>
      </c>
    </row>
    <row r="142" spans="1:19" x14ac:dyDescent="0.25">
      <c r="A142" t="s">
        <v>191</v>
      </c>
      <c r="B142" t="s">
        <v>192</v>
      </c>
      <c r="C142">
        <v>4.5</v>
      </c>
      <c r="D142">
        <v>3457</v>
      </c>
      <c r="E142">
        <v>14</v>
      </c>
      <c r="F142">
        <v>2010</v>
      </c>
      <c r="G142" t="s">
        <v>8</v>
      </c>
      <c r="R142" t="str">
        <v/>
      </c>
      <c r="S142" t="str">
        <v/>
      </c>
    </row>
    <row r="143" spans="1:19" x14ac:dyDescent="0.25">
      <c r="A143" t="s">
        <v>191</v>
      </c>
      <c r="B143" t="s">
        <v>192</v>
      </c>
      <c r="C143">
        <v>4.5</v>
      </c>
      <c r="D143">
        <v>3457</v>
      </c>
      <c r="E143">
        <v>14</v>
      </c>
      <c r="F143">
        <v>2011</v>
      </c>
      <c r="G143" t="s">
        <v>8</v>
      </c>
      <c r="R143" t="str">
        <v/>
      </c>
      <c r="S143" t="str">
        <v/>
      </c>
    </row>
    <row r="144" spans="1:19" x14ac:dyDescent="0.25">
      <c r="A144" t="s">
        <v>191</v>
      </c>
      <c r="B144" t="s">
        <v>192</v>
      </c>
      <c r="C144">
        <v>4.5</v>
      </c>
      <c r="D144">
        <v>3457</v>
      </c>
      <c r="E144">
        <v>14</v>
      </c>
      <c r="F144">
        <v>2012</v>
      </c>
      <c r="G144" t="s">
        <v>8</v>
      </c>
      <c r="R144" t="str">
        <v/>
      </c>
      <c r="S144" t="str">
        <v/>
      </c>
    </row>
    <row r="145" spans="1:19" x14ac:dyDescent="0.25">
      <c r="A145" t="s">
        <v>193</v>
      </c>
      <c r="B145" t="s">
        <v>194</v>
      </c>
      <c r="C145">
        <v>4.8</v>
      </c>
      <c r="D145">
        <v>8837</v>
      </c>
      <c r="E145">
        <v>5</v>
      </c>
      <c r="F145">
        <v>2017</v>
      </c>
      <c r="G145" t="s">
        <v>10</v>
      </c>
      <c r="R145" t="str">
        <v/>
      </c>
      <c r="S145" t="str">
        <v/>
      </c>
    </row>
    <row r="146" spans="1:19" x14ac:dyDescent="0.25">
      <c r="A146" t="s">
        <v>193</v>
      </c>
      <c r="B146" t="s">
        <v>194</v>
      </c>
      <c r="C146">
        <v>4.8</v>
      </c>
      <c r="D146">
        <v>8837</v>
      </c>
      <c r="E146">
        <v>5</v>
      </c>
      <c r="F146">
        <v>2018</v>
      </c>
      <c r="G146" t="s">
        <v>10</v>
      </c>
      <c r="R146" t="str">
        <v/>
      </c>
      <c r="S146" t="str">
        <v/>
      </c>
    </row>
    <row r="147" spans="1:19" x14ac:dyDescent="0.25">
      <c r="A147" t="s">
        <v>193</v>
      </c>
      <c r="B147" t="s">
        <v>194</v>
      </c>
      <c r="C147">
        <v>4.8</v>
      </c>
      <c r="D147">
        <v>8837</v>
      </c>
      <c r="E147">
        <v>5</v>
      </c>
      <c r="F147">
        <v>2019</v>
      </c>
      <c r="G147" t="s">
        <v>10</v>
      </c>
      <c r="R147" t="str">
        <v/>
      </c>
      <c r="S147" t="str">
        <v/>
      </c>
    </row>
    <row r="148" spans="1:19" x14ac:dyDescent="0.25">
      <c r="A148" t="s">
        <v>195</v>
      </c>
      <c r="B148" t="s">
        <v>196</v>
      </c>
      <c r="C148">
        <v>4.9000000000000004</v>
      </c>
      <c r="D148">
        <v>7038</v>
      </c>
      <c r="E148">
        <v>7</v>
      </c>
      <c r="F148">
        <v>2012</v>
      </c>
      <c r="G148" t="s">
        <v>10</v>
      </c>
      <c r="R148" t="str">
        <v/>
      </c>
      <c r="S148" t="str">
        <v/>
      </c>
    </row>
    <row r="149" spans="1:19" x14ac:dyDescent="0.25">
      <c r="A149" t="s">
        <v>195</v>
      </c>
      <c r="B149" t="s">
        <v>196</v>
      </c>
      <c r="C149">
        <v>4.9000000000000004</v>
      </c>
      <c r="D149">
        <v>7038</v>
      </c>
      <c r="E149">
        <v>7</v>
      </c>
      <c r="F149">
        <v>2013</v>
      </c>
      <c r="G149" t="s">
        <v>10</v>
      </c>
      <c r="R149" t="str">
        <v/>
      </c>
      <c r="S149" t="str">
        <v/>
      </c>
    </row>
    <row r="150" spans="1:19" x14ac:dyDescent="0.25">
      <c r="A150" t="s">
        <v>197</v>
      </c>
      <c r="B150" t="s">
        <v>198</v>
      </c>
      <c r="C150">
        <v>4.5999999999999996</v>
      </c>
      <c r="D150">
        <v>5972</v>
      </c>
      <c r="E150">
        <v>10</v>
      </c>
      <c r="F150">
        <v>2014</v>
      </c>
      <c r="G150" t="s">
        <v>8</v>
      </c>
      <c r="R150" t="str">
        <v/>
      </c>
      <c r="S150" t="str">
        <v/>
      </c>
    </row>
    <row r="151" spans="1:19" x14ac:dyDescent="0.25">
      <c r="A151" t="s">
        <v>199</v>
      </c>
      <c r="B151" t="s">
        <v>155</v>
      </c>
      <c r="C151">
        <v>4.4000000000000004</v>
      </c>
      <c r="D151">
        <v>25624</v>
      </c>
      <c r="E151">
        <v>14</v>
      </c>
      <c r="F151">
        <v>2015</v>
      </c>
      <c r="G151" t="s">
        <v>10</v>
      </c>
      <c r="R151" t="str">
        <v/>
      </c>
      <c r="S151" t="str">
        <v/>
      </c>
    </row>
    <row r="152" spans="1:19" x14ac:dyDescent="0.25">
      <c r="A152" t="s">
        <v>200</v>
      </c>
      <c r="B152" t="s">
        <v>201</v>
      </c>
      <c r="C152">
        <v>4.8</v>
      </c>
      <c r="D152">
        <v>5476</v>
      </c>
      <c r="E152">
        <v>7</v>
      </c>
      <c r="F152">
        <v>2019</v>
      </c>
      <c r="G152" t="s">
        <v>8</v>
      </c>
      <c r="R152" t="str">
        <v/>
      </c>
      <c r="S152" t="str">
        <v/>
      </c>
    </row>
    <row r="153" spans="1:19" x14ac:dyDescent="0.25">
      <c r="A153" t="s">
        <v>202</v>
      </c>
      <c r="B153" t="s">
        <v>203</v>
      </c>
      <c r="C153">
        <v>4.9000000000000004</v>
      </c>
      <c r="D153">
        <v>5867</v>
      </c>
      <c r="E153">
        <v>54</v>
      </c>
      <c r="F153">
        <v>2016</v>
      </c>
      <c r="G153" t="s">
        <v>8</v>
      </c>
      <c r="R153" t="str">
        <v/>
      </c>
      <c r="S153" t="str">
        <v/>
      </c>
    </row>
    <row r="154" spans="1:19" x14ac:dyDescent="0.25">
      <c r="A154" t="s">
        <v>204</v>
      </c>
      <c r="B154" t="s">
        <v>205</v>
      </c>
      <c r="C154">
        <v>4.8</v>
      </c>
      <c r="D154">
        <v>4148</v>
      </c>
      <c r="E154">
        <v>11</v>
      </c>
      <c r="F154">
        <v>2013</v>
      </c>
      <c r="G154" t="s">
        <v>8</v>
      </c>
      <c r="R154" t="str">
        <v/>
      </c>
      <c r="S154" t="str">
        <v/>
      </c>
    </row>
    <row r="155" spans="1:19" x14ac:dyDescent="0.25">
      <c r="A155" t="s">
        <v>206</v>
      </c>
      <c r="B155" t="s">
        <v>151</v>
      </c>
      <c r="C155">
        <v>4.9000000000000004</v>
      </c>
      <c r="D155">
        <v>19622</v>
      </c>
      <c r="E155">
        <v>30</v>
      </c>
      <c r="F155">
        <v>2016</v>
      </c>
      <c r="G155" t="s">
        <v>10</v>
      </c>
      <c r="R155" t="str">
        <v/>
      </c>
      <c r="S155" t="str">
        <v/>
      </c>
    </row>
    <row r="156" spans="1:19" x14ac:dyDescent="0.25">
      <c r="A156" t="s">
        <v>207</v>
      </c>
      <c r="B156" t="s">
        <v>151</v>
      </c>
      <c r="C156">
        <v>4</v>
      </c>
      <c r="D156">
        <v>23973</v>
      </c>
      <c r="E156">
        <v>12</v>
      </c>
      <c r="F156">
        <v>2016</v>
      </c>
      <c r="G156" t="s">
        <v>10</v>
      </c>
      <c r="R156" t="str">
        <v/>
      </c>
      <c r="S156" t="str">
        <v/>
      </c>
    </row>
    <row r="157" spans="1:19" x14ac:dyDescent="0.25">
      <c r="A157" t="s">
        <v>208</v>
      </c>
      <c r="B157" t="s">
        <v>209</v>
      </c>
      <c r="C157">
        <v>4.9000000000000004</v>
      </c>
      <c r="D157">
        <v>7758</v>
      </c>
      <c r="E157">
        <v>18</v>
      </c>
      <c r="F157">
        <v>2019</v>
      </c>
      <c r="G157" t="s">
        <v>10</v>
      </c>
      <c r="R157" t="str">
        <v/>
      </c>
      <c r="S157" t="str">
        <v/>
      </c>
    </row>
    <row r="158" spans="1:19" x14ac:dyDescent="0.25">
      <c r="A158" t="s">
        <v>210</v>
      </c>
      <c r="B158" t="s">
        <v>151</v>
      </c>
      <c r="C158">
        <v>4.9000000000000004</v>
      </c>
      <c r="D158">
        <v>3146</v>
      </c>
      <c r="E158">
        <v>30</v>
      </c>
      <c r="F158">
        <v>2017</v>
      </c>
      <c r="G158" t="s">
        <v>10</v>
      </c>
      <c r="R158" t="str">
        <v/>
      </c>
      <c r="S158" t="str">
        <v/>
      </c>
    </row>
    <row r="159" spans="1:19" x14ac:dyDescent="0.25">
      <c r="A159" t="s">
        <v>211</v>
      </c>
      <c r="B159" t="s">
        <v>151</v>
      </c>
      <c r="C159">
        <v>4.9000000000000004</v>
      </c>
      <c r="D159">
        <v>10052</v>
      </c>
      <c r="E159">
        <v>22</v>
      </c>
      <c r="F159">
        <v>2016</v>
      </c>
      <c r="G159" t="s">
        <v>10</v>
      </c>
      <c r="R159" t="str">
        <v/>
      </c>
      <c r="S159" t="str">
        <v/>
      </c>
    </row>
    <row r="160" spans="1:19" x14ac:dyDescent="0.25">
      <c r="A160" t="s">
        <v>212</v>
      </c>
      <c r="B160" t="s">
        <v>213</v>
      </c>
      <c r="C160">
        <v>4.7</v>
      </c>
      <c r="D160">
        <v>3564</v>
      </c>
      <c r="E160">
        <v>9</v>
      </c>
      <c r="F160">
        <v>2015</v>
      </c>
      <c r="G160" t="s">
        <v>8</v>
      </c>
      <c r="R160" t="str">
        <v/>
      </c>
      <c r="S160" t="str">
        <v/>
      </c>
    </row>
    <row r="161" spans="1:19" x14ac:dyDescent="0.25">
      <c r="A161" t="s">
        <v>214</v>
      </c>
      <c r="B161" t="s">
        <v>209</v>
      </c>
      <c r="C161">
        <v>4.8</v>
      </c>
      <c r="D161">
        <v>13471</v>
      </c>
      <c r="E161">
        <v>52</v>
      </c>
      <c r="F161">
        <v>2016</v>
      </c>
      <c r="G161" t="s">
        <v>10</v>
      </c>
      <c r="R161" t="str">
        <v/>
      </c>
      <c r="S161" t="str">
        <v/>
      </c>
    </row>
    <row r="162" spans="1:19" x14ac:dyDescent="0.25">
      <c r="A162" t="s">
        <v>215</v>
      </c>
      <c r="B162" t="s">
        <v>216</v>
      </c>
      <c r="C162">
        <v>4.8</v>
      </c>
      <c r="D162">
        <v>1930</v>
      </c>
      <c r="E162">
        <v>4</v>
      </c>
      <c r="F162">
        <v>2009</v>
      </c>
      <c r="G162" t="s">
        <v>8</v>
      </c>
      <c r="R162" t="str">
        <v/>
      </c>
      <c r="S162" t="str">
        <v/>
      </c>
    </row>
    <row r="163" spans="1:19" x14ac:dyDescent="0.25">
      <c r="A163" t="s">
        <v>217</v>
      </c>
      <c r="B163" t="s">
        <v>218</v>
      </c>
      <c r="C163">
        <v>4.7</v>
      </c>
      <c r="D163">
        <v>15779</v>
      </c>
      <c r="E163">
        <v>10</v>
      </c>
      <c r="F163">
        <v>2011</v>
      </c>
      <c r="G163" t="s">
        <v>8</v>
      </c>
      <c r="R163" t="str">
        <v/>
      </c>
      <c r="S163" t="str">
        <v/>
      </c>
    </row>
    <row r="164" spans="1:19" x14ac:dyDescent="0.25">
      <c r="A164" t="s">
        <v>217</v>
      </c>
      <c r="B164" t="s">
        <v>218</v>
      </c>
      <c r="C164">
        <v>4.7</v>
      </c>
      <c r="D164">
        <v>15779</v>
      </c>
      <c r="E164">
        <v>10</v>
      </c>
      <c r="F164">
        <v>2012</v>
      </c>
      <c r="G164" t="s">
        <v>8</v>
      </c>
      <c r="R164" t="str">
        <v/>
      </c>
      <c r="S164" t="str">
        <v/>
      </c>
    </row>
    <row r="165" spans="1:19" x14ac:dyDescent="0.25">
      <c r="A165" t="s">
        <v>219</v>
      </c>
      <c r="B165" t="s">
        <v>220</v>
      </c>
      <c r="C165">
        <v>4.4000000000000004</v>
      </c>
      <c r="D165">
        <v>15526</v>
      </c>
      <c r="E165">
        <v>14</v>
      </c>
      <c r="F165">
        <v>2016</v>
      </c>
      <c r="G165" t="s">
        <v>8</v>
      </c>
      <c r="R165" t="str">
        <v/>
      </c>
      <c r="S165" t="str">
        <v/>
      </c>
    </row>
    <row r="166" spans="1:19" x14ac:dyDescent="0.25">
      <c r="A166" t="s">
        <v>219</v>
      </c>
      <c r="B166" t="s">
        <v>220</v>
      </c>
      <c r="C166">
        <v>4.4000000000000004</v>
      </c>
      <c r="D166">
        <v>15526</v>
      </c>
      <c r="E166">
        <v>14</v>
      </c>
      <c r="F166">
        <v>2017</v>
      </c>
      <c r="G166" t="s">
        <v>8</v>
      </c>
      <c r="R166" t="str">
        <v/>
      </c>
      <c r="S166" t="str">
        <v/>
      </c>
    </row>
    <row r="167" spans="1:19" x14ac:dyDescent="0.25">
      <c r="A167" t="s">
        <v>221</v>
      </c>
      <c r="B167" t="s">
        <v>222</v>
      </c>
      <c r="C167">
        <v>4.8</v>
      </c>
      <c r="D167">
        <v>3776</v>
      </c>
      <c r="E167">
        <v>22</v>
      </c>
      <c r="F167">
        <v>2018</v>
      </c>
      <c r="G167" t="s">
        <v>8</v>
      </c>
      <c r="R167" t="str">
        <v/>
      </c>
      <c r="S167" t="str">
        <v/>
      </c>
    </row>
    <row r="168" spans="1:19" x14ac:dyDescent="0.25">
      <c r="A168" t="s">
        <v>223</v>
      </c>
      <c r="B168" t="s">
        <v>224</v>
      </c>
      <c r="C168">
        <v>4.7</v>
      </c>
      <c r="D168">
        <v>25001</v>
      </c>
      <c r="E168">
        <v>11</v>
      </c>
      <c r="F168">
        <v>2014</v>
      </c>
      <c r="G168" t="s">
        <v>8</v>
      </c>
      <c r="R168" t="str">
        <v/>
      </c>
      <c r="S168" t="str">
        <v/>
      </c>
    </row>
    <row r="169" spans="1:19" x14ac:dyDescent="0.25">
      <c r="A169" t="s">
        <v>223</v>
      </c>
      <c r="B169" t="s">
        <v>224</v>
      </c>
      <c r="C169">
        <v>4.7</v>
      </c>
      <c r="D169">
        <v>25001</v>
      </c>
      <c r="E169">
        <v>11</v>
      </c>
      <c r="F169">
        <v>2015</v>
      </c>
      <c r="G169" t="s">
        <v>8</v>
      </c>
      <c r="R169" t="str">
        <v/>
      </c>
      <c r="S169" t="str">
        <v/>
      </c>
    </row>
    <row r="170" spans="1:19" x14ac:dyDescent="0.25">
      <c r="A170" t="s">
        <v>223</v>
      </c>
      <c r="B170" t="s">
        <v>224</v>
      </c>
      <c r="C170">
        <v>4.7</v>
      </c>
      <c r="D170">
        <v>25001</v>
      </c>
      <c r="E170">
        <v>11</v>
      </c>
      <c r="F170">
        <v>2016</v>
      </c>
      <c r="G170" t="s">
        <v>8</v>
      </c>
      <c r="R170" t="str">
        <v/>
      </c>
      <c r="S170" t="str">
        <v/>
      </c>
    </row>
    <row r="171" spans="1:19" x14ac:dyDescent="0.25">
      <c r="A171" t="s">
        <v>223</v>
      </c>
      <c r="B171" t="s">
        <v>224</v>
      </c>
      <c r="C171">
        <v>4.7</v>
      </c>
      <c r="D171">
        <v>25001</v>
      </c>
      <c r="E171">
        <v>11</v>
      </c>
      <c r="F171">
        <v>2017</v>
      </c>
      <c r="G171" t="s">
        <v>8</v>
      </c>
      <c r="R171" t="str">
        <v/>
      </c>
      <c r="S171" t="str">
        <v/>
      </c>
    </row>
    <row r="172" spans="1:19" x14ac:dyDescent="0.25">
      <c r="A172" t="s">
        <v>223</v>
      </c>
      <c r="B172" t="s">
        <v>224</v>
      </c>
      <c r="C172">
        <v>4.7</v>
      </c>
      <c r="D172">
        <v>25001</v>
      </c>
      <c r="E172">
        <v>11</v>
      </c>
      <c r="F172">
        <v>2018</v>
      </c>
      <c r="G172" t="s">
        <v>8</v>
      </c>
      <c r="R172" t="str">
        <v/>
      </c>
      <c r="S172" t="str">
        <v/>
      </c>
    </row>
    <row r="173" spans="1:19" x14ac:dyDescent="0.25">
      <c r="A173" t="s">
        <v>225</v>
      </c>
      <c r="B173" t="s">
        <v>226</v>
      </c>
      <c r="C173">
        <v>4.3</v>
      </c>
      <c r="D173">
        <v>5272</v>
      </c>
      <c r="E173">
        <v>16</v>
      </c>
      <c r="F173">
        <v>2019</v>
      </c>
      <c r="G173" t="s">
        <v>8</v>
      </c>
      <c r="R173" t="str">
        <v/>
      </c>
      <c r="S173" t="str">
        <v/>
      </c>
    </row>
    <row r="174" spans="1:19" x14ac:dyDescent="0.25">
      <c r="A174" t="s">
        <v>227</v>
      </c>
      <c r="B174" t="s">
        <v>228</v>
      </c>
      <c r="C174">
        <v>4.8</v>
      </c>
      <c r="D174">
        <v>3490</v>
      </c>
      <c r="E174">
        <v>15</v>
      </c>
      <c r="F174">
        <v>2013</v>
      </c>
      <c r="G174" t="s">
        <v>8</v>
      </c>
      <c r="R174" t="str">
        <v/>
      </c>
      <c r="S174" t="str">
        <v/>
      </c>
    </row>
    <row r="175" spans="1:19" x14ac:dyDescent="0.25">
      <c r="A175" t="s">
        <v>227</v>
      </c>
      <c r="B175" t="s">
        <v>228</v>
      </c>
      <c r="C175">
        <v>4.8</v>
      </c>
      <c r="D175">
        <v>3490</v>
      </c>
      <c r="E175">
        <v>15</v>
      </c>
      <c r="F175">
        <v>2014</v>
      </c>
      <c r="G175" t="s">
        <v>8</v>
      </c>
      <c r="R175" t="str">
        <v/>
      </c>
      <c r="S175" t="str">
        <v/>
      </c>
    </row>
    <row r="176" spans="1:19" x14ac:dyDescent="0.25">
      <c r="A176" t="s">
        <v>229</v>
      </c>
      <c r="B176" t="s">
        <v>228</v>
      </c>
      <c r="C176">
        <v>4.9000000000000004</v>
      </c>
      <c r="D176">
        <v>2812</v>
      </c>
      <c r="E176">
        <v>17</v>
      </c>
      <c r="F176">
        <v>2015</v>
      </c>
      <c r="G176" t="s">
        <v>8</v>
      </c>
      <c r="R176" t="str">
        <v/>
      </c>
      <c r="S176" t="str">
        <v/>
      </c>
    </row>
    <row r="177" spans="1:19" x14ac:dyDescent="0.25">
      <c r="A177" t="s">
        <v>230</v>
      </c>
      <c r="B177" t="s">
        <v>231</v>
      </c>
      <c r="C177">
        <v>4.7</v>
      </c>
      <c r="D177">
        <v>4896</v>
      </c>
      <c r="E177">
        <v>17</v>
      </c>
      <c r="F177">
        <v>2013</v>
      </c>
      <c r="G177" t="s">
        <v>8</v>
      </c>
      <c r="R177" t="str">
        <v/>
      </c>
      <c r="S177" t="str">
        <v/>
      </c>
    </row>
    <row r="178" spans="1:19" x14ac:dyDescent="0.25">
      <c r="A178" t="s">
        <v>232</v>
      </c>
      <c r="B178" t="s">
        <v>233</v>
      </c>
      <c r="C178">
        <v>4.8</v>
      </c>
      <c r="D178">
        <v>9737</v>
      </c>
      <c r="E178">
        <v>7</v>
      </c>
      <c r="F178">
        <v>2019</v>
      </c>
      <c r="G178" t="s">
        <v>8</v>
      </c>
      <c r="R178" t="str">
        <v/>
      </c>
      <c r="S178" t="str">
        <v/>
      </c>
    </row>
    <row r="179" spans="1:19" x14ac:dyDescent="0.25">
      <c r="A179" t="s">
        <v>234</v>
      </c>
      <c r="B179" t="s">
        <v>235</v>
      </c>
      <c r="C179">
        <v>4.5999999999999996</v>
      </c>
      <c r="D179">
        <v>1320</v>
      </c>
      <c r="E179">
        <v>7</v>
      </c>
      <c r="F179">
        <v>2009</v>
      </c>
      <c r="G179" t="s">
        <v>10</v>
      </c>
      <c r="R179" t="str">
        <v/>
      </c>
      <c r="S179" t="str">
        <v/>
      </c>
    </row>
    <row r="180" spans="1:19" x14ac:dyDescent="0.25">
      <c r="A180" t="s">
        <v>236</v>
      </c>
      <c r="B180" t="s">
        <v>237</v>
      </c>
      <c r="C180">
        <v>4.8</v>
      </c>
      <c r="D180">
        <v>16643</v>
      </c>
      <c r="E180">
        <v>4</v>
      </c>
      <c r="F180">
        <v>2017</v>
      </c>
      <c r="G180" t="s">
        <v>10</v>
      </c>
      <c r="R180" t="str">
        <v/>
      </c>
      <c r="S180" t="str">
        <v/>
      </c>
    </row>
    <row r="181" spans="1:19" x14ac:dyDescent="0.25">
      <c r="A181" t="s">
        <v>236</v>
      </c>
      <c r="B181" t="s">
        <v>237</v>
      </c>
      <c r="C181">
        <v>4.8</v>
      </c>
      <c r="D181">
        <v>16643</v>
      </c>
      <c r="E181">
        <v>4</v>
      </c>
      <c r="F181">
        <v>2019</v>
      </c>
      <c r="G181" t="s">
        <v>10</v>
      </c>
      <c r="R181" t="str">
        <v/>
      </c>
      <c r="S181" t="str">
        <v/>
      </c>
    </row>
    <row r="182" spans="1:19" x14ac:dyDescent="0.25">
      <c r="A182" t="s">
        <v>238</v>
      </c>
      <c r="B182" t="s">
        <v>239</v>
      </c>
      <c r="C182">
        <v>4.3</v>
      </c>
      <c r="D182">
        <v>7153</v>
      </c>
      <c r="E182">
        <v>9</v>
      </c>
      <c r="F182">
        <v>2014</v>
      </c>
      <c r="G182" t="s">
        <v>10</v>
      </c>
      <c r="R182" t="str">
        <v/>
      </c>
      <c r="S182" t="str">
        <v/>
      </c>
    </row>
    <row r="183" spans="1:19" x14ac:dyDescent="0.25">
      <c r="A183" t="s">
        <v>240</v>
      </c>
      <c r="B183" t="s">
        <v>241</v>
      </c>
      <c r="C183">
        <v>4.4000000000000004</v>
      </c>
      <c r="D183">
        <v>4571</v>
      </c>
      <c r="E183">
        <v>21</v>
      </c>
      <c r="F183">
        <v>2011</v>
      </c>
      <c r="G183" t="s">
        <v>8</v>
      </c>
      <c r="R183" t="str">
        <v/>
      </c>
      <c r="S183" t="str">
        <v/>
      </c>
    </row>
    <row r="184" spans="1:19" x14ac:dyDescent="0.25">
      <c r="A184" t="s">
        <v>242</v>
      </c>
      <c r="B184" t="s">
        <v>243</v>
      </c>
      <c r="C184">
        <v>4.0999999999999996</v>
      </c>
      <c r="D184">
        <v>29651</v>
      </c>
      <c r="E184">
        <v>14</v>
      </c>
      <c r="F184">
        <v>2013</v>
      </c>
      <c r="G184" t="s">
        <v>10</v>
      </c>
      <c r="R184" t="str">
        <v/>
      </c>
      <c r="S184" t="str">
        <v/>
      </c>
    </row>
    <row r="185" spans="1:19" x14ac:dyDescent="0.25">
      <c r="A185" t="s">
        <v>244</v>
      </c>
      <c r="B185" t="s">
        <v>245</v>
      </c>
      <c r="C185">
        <v>4.5999999999999996</v>
      </c>
      <c r="D185">
        <v>5299</v>
      </c>
      <c r="E185">
        <v>20</v>
      </c>
      <c r="F185">
        <v>2011</v>
      </c>
      <c r="G185" t="s">
        <v>10</v>
      </c>
      <c r="R185" t="str">
        <v/>
      </c>
      <c r="S185" t="str">
        <v/>
      </c>
    </row>
    <row r="186" spans="1:19" x14ac:dyDescent="0.25">
      <c r="A186" t="s">
        <v>246</v>
      </c>
      <c r="B186" t="s">
        <v>247</v>
      </c>
      <c r="C186">
        <v>4.4000000000000004</v>
      </c>
      <c r="D186">
        <v>7396</v>
      </c>
      <c r="E186">
        <v>13</v>
      </c>
      <c r="F186">
        <v>2019</v>
      </c>
      <c r="G186" t="s">
        <v>8</v>
      </c>
      <c r="R186" t="str">
        <v/>
      </c>
      <c r="S186" t="str">
        <v/>
      </c>
    </row>
    <row r="187" spans="1:19" x14ac:dyDescent="0.25">
      <c r="A187" t="s">
        <v>246</v>
      </c>
      <c r="B187" t="s">
        <v>247</v>
      </c>
      <c r="C187">
        <v>4.4000000000000004</v>
      </c>
      <c r="D187">
        <v>7396</v>
      </c>
      <c r="E187">
        <v>13</v>
      </c>
      <c r="F187">
        <v>2018</v>
      </c>
      <c r="G187" t="s">
        <v>8</v>
      </c>
      <c r="R187" t="str">
        <v/>
      </c>
      <c r="S187" t="str">
        <v/>
      </c>
    </row>
    <row r="188" spans="1:19" x14ac:dyDescent="0.25">
      <c r="A188" t="s">
        <v>248</v>
      </c>
      <c r="B188" t="s">
        <v>249</v>
      </c>
      <c r="C188">
        <v>4.8</v>
      </c>
      <c r="D188">
        <v>7062</v>
      </c>
      <c r="E188">
        <v>12</v>
      </c>
      <c r="F188">
        <v>2019</v>
      </c>
      <c r="G188" t="s">
        <v>8</v>
      </c>
      <c r="R188" t="str">
        <v/>
      </c>
      <c r="S188" t="str">
        <v/>
      </c>
    </row>
    <row r="189" spans="1:19" x14ac:dyDescent="0.25">
      <c r="A189" t="s">
        <v>250</v>
      </c>
      <c r="B189" t="s">
        <v>251</v>
      </c>
      <c r="C189">
        <v>4.9000000000000004</v>
      </c>
      <c r="D189">
        <v>19576</v>
      </c>
      <c r="E189">
        <v>8</v>
      </c>
      <c r="F189">
        <v>2011</v>
      </c>
      <c r="G189" t="s">
        <v>8</v>
      </c>
      <c r="R189" t="str">
        <v/>
      </c>
      <c r="S189" t="str">
        <v/>
      </c>
    </row>
    <row r="190" spans="1:19" x14ac:dyDescent="0.25">
      <c r="A190" t="s">
        <v>250</v>
      </c>
      <c r="B190" t="s">
        <v>251</v>
      </c>
      <c r="C190">
        <v>4.9000000000000004</v>
      </c>
      <c r="D190">
        <v>19576</v>
      </c>
      <c r="E190">
        <v>8</v>
      </c>
      <c r="F190">
        <v>2012</v>
      </c>
      <c r="G190" t="s">
        <v>8</v>
      </c>
      <c r="R190" t="str">
        <v/>
      </c>
      <c r="S190" t="str">
        <v/>
      </c>
    </row>
    <row r="191" spans="1:19" x14ac:dyDescent="0.25">
      <c r="A191" t="s">
        <v>250</v>
      </c>
      <c r="B191" t="s">
        <v>251</v>
      </c>
      <c r="C191">
        <v>4.9000000000000004</v>
      </c>
      <c r="D191">
        <v>19576</v>
      </c>
      <c r="E191">
        <v>8</v>
      </c>
      <c r="F191">
        <v>2013</v>
      </c>
      <c r="G191" t="s">
        <v>8</v>
      </c>
      <c r="R191" t="str">
        <v/>
      </c>
      <c r="S191" t="str">
        <v/>
      </c>
    </row>
    <row r="192" spans="1:19" x14ac:dyDescent="0.25">
      <c r="A192" t="s">
        <v>250</v>
      </c>
      <c r="B192" t="s">
        <v>251</v>
      </c>
      <c r="C192">
        <v>4.9000000000000004</v>
      </c>
      <c r="D192">
        <v>19576</v>
      </c>
      <c r="E192">
        <v>8</v>
      </c>
      <c r="F192">
        <v>2014</v>
      </c>
      <c r="G192" t="s">
        <v>8</v>
      </c>
      <c r="R192" t="str">
        <v/>
      </c>
      <c r="S192" t="str">
        <v/>
      </c>
    </row>
    <row r="193" spans="1:19" x14ac:dyDescent="0.25">
      <c r="A193" t="s">
        <v>250</v>
      </c>
      <c r="B193" t="s">
        <v>251</v>
      </c>
      <c r="C193">
        <v>4.9000000000000004</v>
      </c>
      <c r="D193">
        <v>19576</v>
      </c>
      <c r="E193">
        <v>8</v>
      </c>
      <c r="F193">
        <v>2015</v>
      </c>
      <c r="G193" t="s">
        <v>8</v>
      </c>
      <c r="R193" t="str">
        <v/>
      </c>
      <c r="S193" t="str">
        <v/>
      </c>
    </row>
    <row r="194" spans="1:19" x14ac:dyDescent="0.25">
      <c r="A194" t="s">
        <v>250</v>
      </c>
      <c r="B194" t="s">
        <v>251</v>
      </c>
      <c r="C194">
        <v>4.9000000000000004</v>
      </c>
      <c r="D194">
        <v>19576</v>
      </c>
      <c r="E194">
        <v>8</v>
      </c>
      <c r="F194">
        <v>2016</v>
      </c>
      <c r="G194" t="s">
        <v>8</v>
      </c>
      <c r="R194" t="str">
        <v/>
      </c>
      <c r="S194" t="str">
        <v/>
      </c>
    </row>
    <row r="195" spans="1:19" x14ac:dyDescent="0.25">
      <c r="A195" t="s">
        <v>252</v>
      </c>
      <c r="B195" t="s">
        <v>166</v>
      </c>
      <c r="C195">
        <v>4.5999999999999996</v>
      </c>
      <c r="D195">
        <v>978</v>
      </c>
      <c r="E195">
        <v>0</v>
      </c>
      <c r="F195">
        <v>2014</v>
      </c>
      <c r="G195" t="s">
        <v>10</v>
      </c>
      <c r="R195" t="str">
        <v/>
      </c>
      <c r="S195" t="str">
        <v/>
      </c>
    </row>
    <row r="196" spans="1:19" x14ac:dyDescent="0.25">
      <c r="A196" t="s">
        <v>253</v>
      </c>
      <c r="B196" t="s">
        <v>9</v>
      </c>
      <c r="C196">
        <v>4.5</v>
      </c>
      <c r="D196">
        <v>4748</v>
      </c>
      <c r="E196">
        <v>12</v>
      </c>
      <c r="F196">
        <v>2013</v>
      </c>
      <c r="G196" t="s">
        <v>10</v>
      </c>
      <c r="R196" t="str">
        <v/>
      </c>
      <c r="S196" t="str">
        <v/>
      </c>
    </row>
    <row r="197" spans="1:19" x14ac:dyDescent="0.25">
      <c r="A197" t="s">
        <v>254</v>
      </c>
      <c r="B197" t="s">
        <v>255</v>
      </c>
      <c r="C197">
        <v>4.5999999999999996</v>
      </c>
      <c r="D197">
        <v>8393</v>
      </c>
      <c r="E197">
        <v>17</v>
      </c>
      <c r="F197">
        <v>2017</v>
      </c>
      <c r="G197" t="s">
        <v>8</v>
      </c>
      <c r="R197" t="str">
        <v/>
      </c>
      <c r="S197" t="str">
        <v>JOURNEY TO THE ICE P</v>
      </c>
    </row>
    <row r="198" spans="1:19" x14ac:dyDescent="0.25">
      <c r="A198" t="s">
        <v>256</v>
      </c>
      <c r="B198" t="s">
        <v>257</v>
      </c>
      <c r="C198">
        <v>4.5</v>
      </c>
      <c r="D198">
        <v>11391</v>
      </c>
      <c r="E198">
        <v>12</v>
      </c>
      <c r="F198">
        <v>2013</v>
      </c>
      <c r="G198" t="s">
        <v>8</v>
      </c>
      <c r="R198" t="str">
        <v/>
      </c>
      <c r="S198" t="str">
        <v/>
      </c>
    </row>
    <row r="199" spans="1:19" x14ac:dyDescent="0.25">
      <c r="A199" t="s">
        <v>258</v>
      </c>
      <c r="B199" t="s">
        <v>257</v>
      </c>
      <c r="C199">
        <v>4.5999999999999996</v>
      </c>
      <c r="D199">
        <v>8634</v>
      </c>
      <c r="E199">
        <v>25</v>
      </c>
      <c r="F199">
        <v>2012</v>
      </c>
      <c r="G199" t="s">
        <v>8</v>
      </c>
      <c r="R199" t="str">
        <v/>
      </c>
      <c r="S199" t="str">
        <v/>
      </c>
    </row>
    <row r="200" spans="1:19" x14ac:dyDescent="0.25">
      <c r="A200" t="s">
        <v>259</v>
      </c>
      <c r="B200" t="s">
        <v>257</v>
      </c>
      <c r="C200">
        <v>4.7</v>
      </c>
      <c r="D200">
        <v>9342</v>
      </c>
      <c r="E200">
        <v>10</v>
      </c>
      <c r="F200">
        <v>2011</v>
      </c>
      <c r="G200" t="s">
        <v>8</v>
      </c>
      <c r="R200" t="str">
        <v/>
      </c>
      <c r="S200" t="str">
        <v/>
      </c>
    </row>
    <row r="201" spans="1:19" x14ac:dyDescent="0.25">
      <c r="A201" t="s">
        <v>259</v>
      </c>
      <c r="B201" t="s">
        <v>257</v>
      </c>
      <c r="C201">
        <v>4.7</v>
      </c>
      <c r="D201">
        <v>9342</v>
      </c>
      <c r="E201">
        <v>10</v>
      </c>
      <c r="F201">
        <v>2012</v>
      </c>
      <c r="G201" t="s">
        <v>8</v>
      </c>
      <c r="R201" t="str">
        <v/>
      </c>
      <c r="S201" t="str">
        <v/>
      </c>
    </row>
    <row r="202" spans="1:19" x14ac:dyDescent="0.25">
      <c r="A202" t="s">
        <v>260</v>
      </c>
      <c r="B202" t="s">
        <v>257</v>
      </c>
      <c r="C202">
        <v>4.5999999999999996</v>
      </c>
      <c r="D202">
        <v>10927</v>
      </c>
      <c r="E202">
        <v>6</v>
      </c>
      <c r="F202">
        <v>2014</v>
      </c>
      <c r="G202" t="s">
        <v>8</v>
      </c>
      <c r="R202" t="str">
        <v/>
      </c>
      <c r="S202" t="str">
        <v/>
      </c>
    </row>
    <row r="203" spans="1:19" x14ac:dyDescent="0.25">
      <c r="A203" t="s">
        <v>261</v>
      </c>
      <c r="B203" t="s">
        <v>257</v>
      </c>
      <c r="C203">
        <v>4.5999999999999996</v>
      </c>
      <c r="D203">
        <v>5235</v>
      </c>
      <c r="E203">
        <v>5</v>
      </c>
      <c r="F203">
        <v>2015</v>
      </c>
      <c r="G203" t="s">
        <v>8</v>
      </c>
      <c r="R203" t="str">
        <v/>
      </c>
      <c r="S203" t="str">
        <v/>
      </c>
    </row>
    <row r="204" spans="1:19" x14ac:dyDescent="0.25">
      <c r="A204" t="s">
        <v>262</v>
      </c>
      <c r="B204" t="s">
        <v>257</v>
      </c>
      <c r="C204">
        <v>4.8</v>
      </c>
      <c r="D204">
        <v>8916</v>
      </c>
      <c r="E204">
        <v>6</v>
      </c>
      <c r="F204">
        <v>2016</v>
      </c>
      <c r="G204" t="s">
        <v>8</v>
      </c>
      <c r="R204" t="str">
        <v/>
      </c>
      <c r="S204" t="str">
        <v/>
      </c>
    </row>
    <row r="205" spans="1:19" x14ac:dyDescent="0.25">
      <c r="A205" t="s">
        <v>263</v>
      </c>
      <c r="B205" t="s">
        <v>264</v>
      </c>
      <c r="C205">
        <v>4.8</v>
      </c>
      <c r="D205">
        <v>2507</v>
      </c>
      <c r="E205">
        <v>8</v>
      </c>
      <c r="F205">
        <v>2018</v>
      </c>
      <c r="G205" t="s">
        <v>8</v>
      </c>
      <c r="R205" t="str">
        <v/>
      </c>
      <c r="S205" t="str">
        <v/>
      </c>
    </row>
    <row r="206" spans="1:19" x14ac:dyDescent="0.25">
      <c r="A206" t="s">
        <v>265</v>
      </c>
      <c r="B206" t="s">
        <v>266</v>
      </c>
      <c r="C206">
        <v>4.5</v>
      </c>
      <c r="D206">
        <v>3673</v>
      </c>
      <c r="E206">
        <v>4</v>
      </c>
      <c r="F206">
        <v>2013</v>
      </c>
      <c r="G206" t="s">
        <v>8</v>
      </c>
      <c r="R206" t="str">
        <v/>
      </c>
      <c r="S206" t="str">
        <v/>
      </c>
    </row>
    <row r="207" spans="1:19" x14ac:dyDescent="0.25">
      <c r="A207" t="s">
        <v>265</v>
      </c>
      <c r="B207" t="s">
        <v>266</v>
      </c>
      <c r="C207">
        <v>4.5</v>
      </c>
      <c r="D207">
        <v>3673</v>
      </c>
      <c r="E207">
        <v>4</v>
      </c>
      <c r="F207">
        <v>2014</v>
      </c>
      <c r="G207" t="s">
        <v>8</v>
      </c>
      <c r="R207" t="str">
        <v/>
      </c>
      <c r="S207" t="str">
        <v/>
      </c>
    </row>
    <row r="208" spans="1:19" x14ac:dyDescent="0.25">
      <c r="A208" t="s">
        <v>265</v>
      </c>
      <c r="B208" t="s">
        <v>266</v>
      </c>
      <c r="C208">
        <v>4.5</v>
      </c>
      <c r="D208">
        <v>3673</v>
      </c>
      <c r="E208">
        <v>4</v>
      </c>
      <c r="F208">
        <v>2015</v>
      </c>
      <c r="G208" t="s">
        <v>8</v>
      </c>
      <c r="R208" t="str">
        <v/>
      </c>
      <c r="S208" t="str">
        <v/>
      </c>
    </row>
    <row r="209" spans="1:19" x14ac:dyDescent="0.25">
      <c r="A209" t="s">
        <v>267</v>
      </c>
      <c r="B209" t="s">
        <v>268</v>
      </c>
      <c r="C209">
        <v>4.9000000000000004</v>
      </c>
      <c r="D209">
        <v>11881</v>
      </c>
      <c r="E209">
        <v>13</v>
      </c>
      <c r="F209">
        <v>2018</v>
      </c>
      <c r="G209" t="s">
        <v>10</v>
      </c>
      <c r="R209" t="str">
        <v/>
      </c>
      <c r="S209" t="str">
        <v/>
      </c>
    </row>
    <row r="210" spans="1:19" x14ac:dyDescent="0.25">
      <c r="A210" t="s">
        <v>269</v>
      </c>
      <c r="B210" t="s">
        <v>266</v>
      </c>
      <c r="C210">
        <v>4.5999999999999996</v>
      </c>
      <c r="D210">
        <v>6990</v>
      </c>
      <c r="E210">
        <v>4</v>
      </c>
      <c r="F210">
        <v>2013</v>
      </c>
      <c r="G210" t="s">
        <v>8</v>
      </c>
      <c r="R210" t="str">
        <v/>
      </c>
      <c r="S210" t="str">
        <v/>
      </c>
    </row>
    <row r="211" spans="1:19" x14ac:dyDescent="0.25">
      <c r="A211" t="s">
        <v>269</v>
      </c>
      <c r="B211" t="s">
        <v>266</v>
      </c>
      <c r="C211">
        <v>4.5999999999999996</v>
      </c>
      <c r="D211">
        <v>6990</v>
      </c>
      <c r="E211">
        <v>4</v>
      </c>
      <c r="F211">
        <v>2014</v>
      </c>
      <c r="G211" t="s">
        <v>8</v>
      </c>
      <c r="R211" t="str">
        <v/>
      </c>
      <c r="S211" t="str">
        <v/>
      </c>
    </row>
    <row r="212" spans="1:19" x14ac:dyDescent="0.25">
      <c r="A212" t="s">
        <v>269</v>
      </c>
      <c r="B212" t="s">
        <v>266</v>
      </c>
      <c r="C212">
        <v>4.5999999999999996</v>
      </c>
      <c r="D212">
        <v>6990</v>
      </c>
      <c r="E212">
        <v>4</v>
      </c>
      <c r="F212">
        <v>2015</v>
      </c>
      <c r="G212" t="s">
        <v>8</v>
      </c>
      <c r="R212" t="str">
        <v/>
      </c>
      <c r="S212" t="str">
        <v/>
      </c>
    </row>
    <row r="213" spans="1:19" x14ac:dyDescent="0.25">
      <c r="A213" t="s">
        <v>269</v>
      </c>
      <c r="B213" t="s">
        <v>266</v>
      </c>
      <c r="C213">
        <v>4.5999999999999996</v>
      </c>
      <c r="D213">
        <v>6990</v>
      </c>
      <c r="E213">
        <v>4</v>
      </c>
      <c r="F213">
        <v>2016</v>
      </c>
      <c r="G213" t="s">
        <v>8</v>
      </c>
      <c r="R213" t="str">
        <v/>
      </c>
      <c r="S213" t="str">
        <v/>
      </c>
    </row>
    <row r="214" spans="1:19" x14ac:dyDescent="0.25">
      <c r="A214" t="s">
        <v>269</v>
      </c>
      <c r="B214" t="s">
        <v>266</v>
      </c>
      <c r="C214">
        <v>4.5999999999999996</v>
      </c>
      <c r="D214">
        <v>6990</v>
      </c>
      <c r="E214">
        <v>4</v>
      </c>
      <c r="F214">
        <v>2017</v>
      </c>
      <c r="G214" t="s">
        <v>8</v>
      </c>
      <c r="R214" t="str">
        <v/>
      </c>
      <c r="S214" t="str">
        <v/>
      </c>
    </row>
    <row r="215" spans="1:19" x14ac:dyDescent="0.25">
      <c r="A215" t="s">
        <v>270</v>
      </c>
      <c r="B215" t="s">
        <v>271</v>
      </c>
      <c r="C215">
        <v>4.5</v>
      </c>
      <c r="D215">
        <v>6132</v>
      </c>
      <c r="E215">
        <v>13</v>
      </c>
      <c r="F215">
        <v>2013</v>
      </c>
      <c r="G215" t="s">
        <v>8</v>
      </c>
      <c r="R215" t="str">
        <v/>
      </c>
      <c r="S215" t="str">
        <v/>
      </c>
    </row>
    <row r="216" spans="1:19" x14ac:dyDescent="0.25">
      <c r="A216" t="s">
        <v>272</v>
      </c>
      <c r="B216" t="s">
        <v>273</v>
      </c>
      <c r="C216">
        <v>4.5</v>
      </c>
      <c r="D216">
        <v>3014</v>
      </c>
      <c r="E216">
        <v>21</v>
      </c>
      <c r="F216">
        <v>2017</v>
      </c>
      <c r="G216" t="s">
        <v>8</v>
      </c>
      <c r="R216" t="str">
        <v/>
      </c>
      <c r="S216" t="str">
        <v/>
      </c>
    </row>
    <row r="217" spans="1:19" x14ac:dyDescent="0.25">
      <c r="A217" t="s">
        <v>274</v>
      </c>
      <c r="B217" t="s">
        <v>275</v>
      </c>
      <c r="C217">
        <v>4.4000000000000004</v>
      </c>
      <c r="D217">
        <v>7550</v>
      </c>
      <c r="E217">
        <v>6</v>
      </c>
      <c r="F217">
        <v>2018</v>
      </c>
      <c r="G217" t="s">
        <v>8</v>
      </c>
      <c r="R217" t="str">
        <v/>
      </c>
      <c r="S217" t="str">
        <v/>
      </c>
    </row>
    <row r="218" spans="1:19" x14ac:dyDescent="0.25">
      <c r="A218" t="s">
        <v>276</v>
      </c>
      <c r="B218" t="s">
        <v>277</v>
      </c>
      <c r="C218">
        <v>4.8</v>
      </c>
      <c r="D218">
        <v>3828</v>
      </c>
      <c r="E218">
        <v>15</v>
      </c>
      <c r="F218">
        <v>2009</v>
      </c>
      <c r="G218" t="s">
        <v>8</v>
      </c>
      <c r="R218" t="str">
        <v/>
      </c>
      <c r="S218" t="str">
        <v/>
      </c>
    </row>
    <row r="219" spans="1:19" x14ac:dyDescent="0.25">
      <c r="A219" t="s">
        <v>278</v>
      </c>
      <c r="B219" t="s">
        <v>279</v>
      </c>
      <c r="C219">
        <v>4.5</v>
      </c>
      <c r="D219">
        <v>2752</v>
      </c>
      <c r="E219">
        <v>18</v>
      </c>
      <c r="F219">
        <v>2010</v>
      </c>
      <c r="G219" t="s">
        <v>8</v>
      </c>
      <c r="R219" t="str">
        <v/>
      </c>
      <c r="S219" t="str">
        <v/>
      </c>
    </row>
    <row r="220" spans="1:19" x14ac:dyDescent="0.25">
      <c r="A220" t="s">
        <v>280</v>
      </c>
      <c r="B220" t="s">
        <v>281</v>
      </c>
      <c r="C220">
        <v>4.0999999999999996</v>
      </c>
      <c r="D220">
        <v>1467</v>
      </c>
      <c r="E220">
        <v>10</v>
      </c>
      <c r="F220">
        <v>2010</v>
      </c>
      <c r="G220" t="s">
        <v>10</v>
      </c>
      <c r="R220" t="str">
        <v/>
      </c>
      <c r="S220" t="str">
        <v/>
      </c>
    </row>
    <row r="221" spans="1:19" x14ac:dyDescent="0.25">
      <c r="A221" t="s">
        <v>282</v>
      </c>
      <c r="B221" t="s">
        <v>283</v>
      </c>
      <c r="C221">
        <v>4.9000000000000004</v>
      </c>
      <c r="D221">
        <v>1884</v>
      </c>
      <c r="E221">
        <v>0</v>
      </c>
      <c r="F221">
        <v>2014</v>
      </c>
      <c r="G221" t="s">
        <v>10</v>
      </c>
      <c r="R221" t="str">
        <v/>
      </c>
      <c r="S221" t="str">
        <v/>
      </c>
    </row>
    <row r="222" spans="1:19" x14ac:dyDescent="0.25">
      <c r="A222" t="s">
        <v>284</v>
      </c>
      <c r="B222" t="s">
        <v>285</v>
      </c>
      <c r="C222">
        <v>4.5</v>
      </c>
      <c r="D222">
        <v>25706</v>
      </c>
      <c r="E222">
        <v>12</v>
      </c>
      <c r="F222">
        <v>2018</v>
      </c>
      <c r="G222" t="s">
        <v>10</v>
      </c>
      <c r="R222" t="str">
        <v/>
      </c>
      <c r="S222" t="str">
        <v/>
      </c>
    </row>
    <row r="223" spans="1:19" x14ac:dyDescent="0.25">
      <c r="A223" t="s">
        <v>286</v>
      </c>
      <c r="B223" t="s">
        <v>287</v>
      </c>
      <c r="C223">
        <v>4.5</v>
      </c>
      <c r="D223">
        <v>8491</v>
      </c>
      <c r="E223">
        <v>7</v>
      </c>
      <c r="F223">
        <v>2014</v>
      </c>
      <c r="G223" t="s">
        <v>10</v>
      </c>
      <c r="R223" t="str">
        <v/>
      </c>
      <c r="S223" t="str">
        <v>Little Blue Truck</v>
      </c>
    </row>
    <row r="224" spans="1:19" x14ac:dyDescent="0.25">
      <c r="A224" t="s">
        <v>288</v>
      </c>
      <c r="B224" t="s">
        <v>289</v>
      </c>
      <c r="C224">
        <v>4.2</v>
      </c>
      <c r="D224">
        <v>1649</v>
      </c>
      <c r="E224">
        <v>13</v>
      </c>
      <c r="F224">
        <v>2011</v>
      </c>
      <c r="G224" t="s">
        <v>8</v>
      </c>
      <c r="R224" t="str">
        <v/>
      </c>
      <c r="S224" t="str">
        <v/>
      </c>
    </row>
    <row r="225" spans="1:19" x14ac:dyDescent="0.25">
      <c r="A225" t="s">
        <v>290</v>
      </c>
      <c r="B225" t="s">
        <v>291</v>
      </c>
      <c r="C225">
        <v>4.8</v>
      </c>
      <c r="D225">
        <v>18613</v>
      </c>
      <c r="E225">
        <v>5</v>
      </c>
      <c r="F225">
        <v>2014</v>
      </c>
      <c r="G225" t="s">
        <v>10</v>
      </c>
      <c r="R225" t="str">
        <v/>
      </c>
      <c r="S225" t="str">
        <v/>
      </c>
    </row>
    <row r="226" spans="1:19" x14ac:dyDescent="0.25">
      <c r="A226" t="s">
        <v>290</v>
      </c>
      <c r="B226" t="s">
        <v>291</v>
      </c>
      <c r="C226">
        <v>4.8</v>
      </c>
      <c r="D226">
        <v>18613</v>
      </c>
      <c r="E226">
        <v>5</v>
      </c>
      <c r="F226">
        <v>2015</v>
      </c>
      <c r="G226" t="s">
        <v>10</v>
      </c>
      <c r="R226" t="str">
        <v/>
      </c>
      <c r="S226" t="str">
        <v/>
      </c>
    </row>
    <row r="227" spans="1:19" x14ac:dyDescent="0.25">
      <c r="A227" t="s">
        <v>292</v>
      </c>
      <c r="B227" t="s">
        <v>222</v>
      </c>
      <c r="C227">
        <v>4.8</v>
      </c>
      <c r="D227">
        <v>9867</v>
      </c>
      <c r="E227">
        <v>16</v>
      </c>
      <c r="F227">
        <v>2018</v>
      </c>
      <c r="G227" t="s">
        <v>8</v>
      </c>
      <c r="R227" t="str">
        <v/>
      </c>
      <c r="S227" t="str">
        <v/>
      </c>
    </row>
    <row r="228" spans="1:19" x14ac:dyDescent="0.25">
      <c r="A228" t="s">
        <v>293</v>
      </c>
      <c r="B228" t="s">
        <v>62</v>
      </c>
      <c r="C228">
        <v>4.5</v>
      </c>
      <c r="D228">
        <v>1386</v>
      </c>
      <c r="E228">
        <v>20</v>
      </c>
      <c r="F228">
        <v>2014</v>
      </c>
      <c r="G228" t="s">
        <v>8</v>
      </c>
      <c r="R228" t="str">
        <v/>
      </c>
      <c r="S228" t="str">
        <v/>
      </c>
    </row>
    <row r="229" spans="1:19" x14ac:dyDescent="0.25">
      <c r="A229" t="s">
        <v>294</v>
      </c>
      <c r="B229" t="s">
        <v>295</v>
      </c>
      <c r="C229">
        <v>4.7</v>
      </c>
      <c r="D229">
        <v>10199</v>
      </c>
      <c r="E229">
        <v>11</v>
      </c>
      <c r="F229">
        <v>2017</v>
      </c>
      <c r="G229" t="s">
        <v>8</v>
      </c>
      <c r="R229" t="str">
        <v/>
      </c>
      <c r="S229" t="str">
        <v/>
      </c>
    </row>
    <row r="230" spans="1:19" x14ac:dyDescent="0.25">
      <c r="A230" t="s">
        <v>296</v>
      </c>
      <c r="B230" t="s">
        <v>297</v>
      </c>
      <c r="C230">
        <v>4.8</v>
      </c>
      <c r="D230">
        <v>2926</v>
      </c>
      <c r="E230">
        <v>27</v>
      </c>
      <c r="F230">
        <v>2009</v>
      </c>
      <c r="G230" t="s">
        <v>8</v>
      </c>
      <c r="R230" t="str">
        <v/>
      </c>
      <c r="S230" t="str">
        <v/>
      </c>
    </row>
    <row r="231" spans="1:19" x14ac:dyDescent="0.25">
      <c r="A231" t="s">
        <v>298</v>
      </c>
      <c r="B231" t="s">
        <v>299</v>
      </c>
      <c r="C231">
        <v>4.7</v>
      </c>
      <c r="D231">
        <v>17739</v>
      </c>
      <c r="E231">
        <v>8</v>
      </c>
      <c r="F231">
        <v>2016</v>
      </c>
      <c r="G231" t="s">
        <v>8</v>
      </c>
      <c r="R231" t="str">
        <v/>
      </c>
      <c r="S231" t="str">
        <v/>
      </c>
    </row>
    <row r="232" spans="1:19" x14ac:dyDescent="0.25">
      <c r="A232" t="s">
        <v>298</v>
      </c>
      <c r="B232" t="s">
        <v>299</v>
      </c>
      <c r="C232">
        <v>4.7</v>
      </c>
      <c r="D232">
        <v>17739</v>
      </c>
      <c r="E232">
        <v>8</v>
      </c>
      <c r="F232">
        <v>2017</v>
      </c>
      <c r="G232" t="s">
        <v>8</v>
      </c>
      <c r="R232" t="str">
        <v/>
      </c>
      <c r="S232" t="str">
        <v/>
      </c>
    </row>
    <row r="233" spans="1:19" x14ac:dyDescent="0.25">
      <c r="A233" t="s">
        <v>298</v>
      </c>
      <c r="B233" t="s">
        <v>299</v>
      </c>
      <c r="C233">
        <v>4.7</v>
      </c>
      <c r="D233">
        <v>17739</v>
      </c>
      <c r="E233">
        <v>8</v>
      </c>
      <c r="F233">
        <v>2018</v>
      </c>
      <c r="G233" t="s">
        <v>8</v>
      </c>
      <c r="R233" t="str">
        <v/>
      </c>
      <c r="S233" t="str">
        <v/>
      </c>
    </row>
    <row r="234" spans="1:19" x14ac:dyDescent="0.25">
      <c r="A234" t="s">
        <v>300</v>
      </c>
      <c r="B234" t="s">
        <v>301</v>
      </c>
      <c r="C234">
        <v>4.4000000000000004</v>
      </c>
      <c r="D234">
        <v>3113</v>
      </c>
      <c r="E234">
        <v>6</v>
      </c>
      <c r="F234">
        <v>2017</v>
      </c>
      <c r="G234" t="s">
        <v>8</v>
      </c>
      <c r="R234" t="str">
        <v/>
      </c>
      <c r="S234" t="str">
        <v/>
      </c>
    </row>
    <row r="235" spans="1:19" x14ac:dyDescent="0.25">
      <c r="A235" t="s">
        <v>302</v>
      </c>
      <c r="B235" t="s">
        <v>303</v>
      </c>
      <c r="C235">
        <v>4.5999999999999996</v>
      </c>
      <c r="D235">
        <v>5542</v>
      </c>
      <c r="E235">
        <v>10</v>
      </c>
      <c r="F235">
        <v>2014</v>
      </c>
      <c r="G235" t="s">
        <v>8</v>
      </c>
      <c r="R235" t="str">
        <v/>
      </c>
      <c r="S235" t="str">
        <v/>
      </c>
    </row>
    <row r="236" spans="1:19" x14ac:dyDescent="0.25">
      <c r="A236" t="s">
        <v>302</v>
      </c>
      <c r="B236" t="s">
        <v>303</v>
      </c>
      <c r="C236">
        <v>4.5999999999999996</v>
      </c>
      <c r="D236">
        <v>5542</v>
      </c>
      <c r="E236">
        <v>10</v>
      </c>
      <c r="F236">
        <v>2015</v>
      </c>
      <c r="G236" t="s">
        <v>8</v>
      </c>
      <c r="R236" t="str">
        <v/>
      </c>
      <c r="S236" t="str">
        <v/>
      </c>
    </row>
    <row r="237" spans="1:19" x14ac:dyDescent="0.25">
      <c r="A237" t="s">
        <v>302</v>
      </c>
      <c r="B237" t="s">
        <v>303</v>
      </c>
      <c r="C237">
        <v>4.5999999999999996</v>
      </c>
      <c r="D237">
        <v>5542</v>
      </c>
      <c r="E237">
        <v>10</v>
      </c>
      <c r="F237">
        <v>2016</v>
      </c>
      <c r="G237" t="s">
        <v>8</v>
      </c>
      <c r="R237" t="str">
        <v/>
      </c>
      <c r="S237" t="str">
        <v/>
      </c>
    </row>
    <row r="238" spans="1:19" x14ac:dyDescent="0.25">
      <c r="A238" t="s">
        <v>304</v>
      </c>
      <c r="B238" t="s">
        <v>86</v>
      </c>
      <c r="C238">
        <v>4.5</v>
      </c>
      <c r="D238">
        <v>26741</v>
      </c>
      <c r="E238">
        <v>8</v>
      </c>
      <c r="F238">
        <v>2010</v>
      </c>
      <c r="G238" t="s">
        <v>10</v>
      </c>
      <c r="R238" t="str">
        <v/>
      </c>
      <c r="S238" t="str">
        <v/>
      </c>
    </row>
    <row r="239" spans="1:19" x14ac:dyDescent="0.25">
      <c r="A239" t="s">
        <v>304</v>
      </c>
      <c r="B239" t="s">
        <v>86</v>
      </c>
      <c r="C239">
        <v>4.5</v>
      </c>
      <c r="D239">
        <v>26741</v>
      </c>
      <c r="E239">
        <v>8</v>
      </c>
      <c r="F239">
        <v>2011</v>
      </c>
      <c r="G239" t="s">
        <v>10</v>
      </c>
      <c r="R239" t="str">
        <v/>
      </c>
      <c r="S239" t="str">
        <v/>
      </c>
    </row>
    <row r="240" spans="1:19" x14ac:dyDescent="0.25">
      <c r="A240" t="s">
        <v>304</v>
      </c>
      <c r="B240" t="s">
        <v>86</v>
      </c>
      <c r="C240">
        <v>4.5</v>
      </c>
      <c r="D240">
        <v>26741</v>
      </c>
      <c r="E240">
        <v>8</v>
      </c>
      <c r="F240">
        <v>2012</v>
      </c>
      <c r="G240" t="s">
        <v>10</v>
      </c>
      <c r="R240" t="str">
        <v/>
      </c>
      <c r="S240" t="str">
        <v/>
      </c>
    </row>
    <row r="241" spans="1:19" x14ac:dyDescent="0.25">
      <c r="A241" t="s">
        <v>305</v>
      </c>
      <c r="B241" t="s">
        <v>306</v>
      </c>
      <c r="C241">
        <v>4.8</v>
      </c>
      <c r="D241">
        <v>5347</v>
      </c>
      <c r="E241">
        <v>16</v>
      </c>
      <c r="F241">
        <v>2019</v>
      </c>
      <c r="G241" t="s">
        <v>8</v>
      </c>
      <c r="R241" t="str">
        <v/>
      </c>
      <c r="S241" t="str">
        <v/>
      </c>
    </row>
    <row r="242" spans="1:19" x14ac:dyDescent="0.25">
      <c r="A242" t="s">
        <v>307</v>
      </c>
      <c r="B242" t="s">
        <v>308</v>
      </c>
      <c r="C242">
        <v>4.8</v>
      </c>
      <c r="D242">
        <v>7866</v>
      </c>
      <c r="E242">
        <v>11</v>
      </c>
      <c r="F242">
        <v>2019</v>
      </c>
      <c r="G242" t="s">
        <v>8</v>
      </c>
      <c r="R242" t="str">
        <v/>
      </c>
      <c r="S242" t="str">
        <v/>
      </c>
    </row>
    <row r="243" spans="1:19" x14ac:dyDescent="0.25">
      <c r="A243" t="s">
        <v>309</v>
      </c>
      <c r="B243" t="s">
        <v>73</v>
      </c>
      <c r="C243">
        <v>4.5999999999999996</v>
      </c>
      <c r="D243">
        <v>5680</v>
      </c>
      <c r="E243">
        <v>10</v>
      </c>
      <c r="F243">
        <v>2009</v>
      </c>
      <c r="G243" t="s">
        <v>10</v>
      </c>
      <c r="R243" t="str">
        <v/>
      </c>
      <c r="S243" t="str">
        <v/>
      </c>
    </row>
    <row r="244" spans="1:19" x14ac:dyDescent="0.25">
      <c r="A244" t="s">
        <v>310</v>
      </c>
      <c r="B244" t="s">
        <v>311</v>
      </c>
      <c r="C244">
        <v>4.7</v>
      </c>
      <c r="D244">
        <v>5178</v>
      </c>
      <c r="E244">
        <v>9</v>
      </c>
      <c r="F244">
        <v>2016</v>
      </c>
      <c r="G244" t="s">
        <v>8</v>
      </c>
      <c r="R244" t="str">
        <v/>
      </c>
      <c r="S244" t="str">
        <v/>
      </c>
    </row>
    <row r="245" spans="1:19" x14ac:dyDescent="0.25">
      <c r="A245" t="s">
        <v>312</v>
      </c>
      <c r="B245" t="s">
        <v>313</v>
      </c>
      <c r="C245">
        <v>4.5999999999999996</v>
      </c>
      <c r="D245">
        <v>8093</v>
      </c>
      <c r="E245">
        <v>14</v>
      </c>
      <c r="F245">
        <v>2012</v>
      </c>
      <c r="G245" t="s">
        <v>8</v>
      </c>
      <c r="R245" t="str">
        <v/>
      </c>
      <c r="S245" t="str">
        <v/>
      </c>
    </row>
    <row r="246" spans="1:19" x14ac:dyDescent="0.25">
      <c r="A246" t="s">
        <v>314</v>
      </c>
      <c r="B246" t="s">
        <v>315</v>
      </c>
      <c r="C246">
        <v>4.9000000000000004</v>
      </c>
      <c r="D246">
        <v>3192</v>
      </c>
      <c r="E246">
        <v>22</v>
      </c>
      <c r="F246">
        <v>2017</v>
      </c>
      <c r="G246" t="s">
        <v>8</v>
      </c>
      <c r="R246" t="str">
        <v/>
      </c>
      <c r="S246" t="str">
        <v/>
      </c>
    </row>
    <row r="247" spans="1:19" x14ac:dyDescent="0.25">
      <c r="A247" t="s">
        <v>316</v>
      </c>
      <c r="B247" t="s">
        <v>317</v>
      </c>
      <c r="C247">
        <v>4.9000000000000004</v>
      </c>
      <c r="D247">
        <v>21834</v>
      </c>
      <c r="E247">
        <v>8</v>
      </c>
      <c r="F247">
        <v>2012</v>
      </c>
      <c r="G247" t="s">
        <v>10</v>
      </c>
      <c r="R247" t="str">
        <v/>
      </c>
      <c r="S247" t="str">
        <v/>
      </c>
    </row>
    <row r="248" spans="1:19" x14ac:dyDescent="0.25">
      <c r="A248" t="s">
        <v>316</v>
      </c>
      <c r="B248" t="s">
        <v>317</v>
      </c>
      <c r="C248">
        <v>4.9000000000000004</v>
      </c>
      <c r="D248">
        <v>21834</v>
      </c>
      <c r="E248">
        <v>8</v>
      </c>
      <c r="F248">
        <v>2013</v>
      </c>
      <c r="G248" t="s">
        <v>10</v>
      </c>
      <c r="R248" t="str">
        <v/>
      </c>
      <c r="S248" t="str">
        <v/>
      </c>
    </row>
    <row r="249" spans="1:19" x14ac:dyDescent="0.25">
      <c r="A249" t="s">
        <v>316</v>
      </c>
      <c r="B249" t="s">
        <v>317</v>
      </c>
      <c r="C249">
        <v>4.9000000000000004</v>
      </c>
      <c r="D249">
        <v>21834</v>
      </c>
      <c r="E249">
        <v>8</v>
      </c>
      <c r="F249">
        <v>2014</v>
      </c>
      <c r="G249" t="s">
        <v>10</v>
      </c>
      <c r="R249" t="str">
        <v/>
      </c>
      <c r="S249" t="str">
        <v/>
      </c>
    </row>
    <row r="250" spans="1:19" x14ac:dyDescent="0.25">
      <c r="A250" t="s">
        <v>316</v>
      </c>
      <c r="B250" t="s">
        <v>317</v>
      </c>
      <c r="C250">
        <v>4.9000000000000004</v>
      </c>
      <c r="D250">
        <v>21834</v>
      </c>
      <c r="E250">
        <v>8</v>
      </c>
      <c r="F250">
        <v>2015</v>
      </c>
      <c r="G250" t="s">
        <v>10</v>
      </c>
      <c r="R250" t="str">
        <v/>
      </c>
      <c r="S250" t="str">
        <v/>
      </c>
    </row>
    <row r="251" spans="1:19" x14ac:dyDescent="0.25">
      <c r="A251" t="s">
        <v>316</v>
      </c>
      <c r="B251" t="s">
        <v>317</v>
      </c>
      <c r="C251">
        <v>4.9000000000000004</v>
      </c>
      <c r="D251">
        <v>21834</v>
      </c>
      <c r="E251">
        <v>8</v>
      </c>
      <c r="F251">
        <v>2016</v>
      </c>
      <c r="G251" t="s">
        <v>10</v>
      </c>
      <c r="R251" t="str">
        <v/>
      </c>
      <c r="S251" t="str">
        <v/>
      </c>
    </row>
    <row r="252" spans="1:19" x14ac:dyDescent="0.25">
      <c r="A252" t="s">
        <v>316</v>
      </c>
      <c r="B252" t="s">
        <v>317</v>
      </c>
      <c r="C252">
        <v>4.9000000000000004</v>
      </c>
      <c r="D252">
        <v>21834</v>
      </c>
      <c r="E252">
        <v>8</v>
      </c>
      <c r="F252">
        <v>2017</v>
      </c>
      <c r="G252" t="s">
        <v>10</v>
      </c>
      <c r="R252" t="str">
        <v/>
      </c>
      <c r="S252" t="str">
        <v/>
      </c>
    </row>
    <row r="253" spans="1:19" x14ac:dyDescent="0.25">
      <c r="A253" t="s">
        <v>316</v>
      </c>
      <c r="B253" t="s">
        <v>317</v>
      </c>
      <c r="C253">
        <v>4.9000000000000004</v>
      </c>
      <c r="D253">
        <v>21834</v>
      </c>
      <c r="E253">
        <v>8</v>
      </c>
      <c r="F253">
        <v>2018</v>
      </c>
      <c r="G253" t="s">
        <v>10</v>
      </c>
      <c r="R253" t="str">
        <v/>
      </c>
      <c r="S253" t="str">
        <v/>
      </c>
    </row>
    <row r="254" spans="1:19" x14ac:dyDescent="0.25">
      <c r="A254" t="s">
        <v>316</v>
      </c>
      <c r="B254" t="s">
        <v>317</v>
      </c>
      <c r="C254">
        <v>4.9000000000000004</v>
      </c>
      <c r="D254">
        <v>21834</v>
      </c>
      <c r="E254">
        <v>8</v>
      </c>
      <c r="F254">
        <v>2019</v>
      </c>
      <c r="G254" t="s">
        <v>10</v>
      </c>
      <c r="R254" t="str">
        <v/>
      </c>
      <c r="S254" t="str">
        <v/>
      </c>
    </row>
    <row r="255" spans="1:19" x14ac:dyDescent="0.25">
      <c r="A255" t="s">
        <v>318</v>
      </c>
      <c r="B255" t="s">
        <v>78</v>
      </c>
      <c r="C255">
        <v>4.8</v>
      </c>
      <c r="D255">
        <v>6169</v>
      </c>
      <c r="E255">
        <v>7</v>
      </c>
      <c r="F255">
        <v>2015</v>
      </c>
      <c r="G255" t="s">
        <v>10</v>
      </c>
      <c r="R255" t="str">
        <v/>
      </c>
      <c r="S255" t="str">
        <v/>
      </c>
    </row>
    <row r="256" spans="1:19" x14ac:dyDescent="0.25">
      <c r="A256" t="s">
        <v>319</v>
      </c>
      <c r="B256" t="s">
        <v>320</v>
      </c>
      <c r="C256">
        <v>4.2</v>
      </c>
      <c r="D256">
        <v>4519</v>
      </c>
      <c r="E256">
        <v>12</v>
      </c>
      <c r="F256">
        <v>2009</v>
      </c>
      <c r="G256" t="s">
        <v>10</v>
      </c>
      <c r="R256" t="str">
        <v/>
      </c>
      <c r="S256" t="str">
        <v/>
      </c>
    </row>
    <row r="257" spans="1:19" x14ac:dyDescent="0.25">
      <c r="A257" t="s">
        <v>321</v>
      </c>
      <c r="B257" t="s">
        <v>322</v>
      </c>
      <c r="C257">
        <v>4.5999999999999996</v>
      </c>
      <c r="D257">
        <v>3163</v>
      </c>
      <c r="E257">
        <v>13</v>
      </c>
      <c r="F257">
        <v>2011</v>
      </c>
      <c r="G257" t="s">
        <v>8</v>
      </c>
      <c r="R257" t="str">
        <v/>
      </c>
      <c r="S257" t="str">
        <v/>
      </c>
    </row>
    <row r="258" spans="1:19" x14ac:dyDescent="0.25">
      <c r="A258" t="s">
        <v>321</v>
      </c>
      <c r="B258" t="s">
        <v>322</v>
      </c>
      <c r="C258">
        <v>4.5999999999999996</v>
      </c>
      <c r="D258">
        <v>3163</v>
      </c>
      <c r="E258">
        <v>13</v>
      </c>
      <c r="F258">
        <v>2012</v>
      </c>
      <c r="G258" t="s">
        <v>8</v>
      </c>
      <c r="R258" t="str">
        <v/>
      </c>
      <c r="S258" t="str">
        <v/>
      </c>
    </row>
    <row r="259" spans="1:19" x14ac:dyDescent="0.25">
      <c r="A259" t="s">
        <v>323</v>
      </c>
      <c r="B259" t="s">
        <v>271</v>
      </c>
      <c r="C259">
        <v>4.5</v>
      </c>
      <c r="D259">
        <v>1831</v>
      </c>
      <c r="E259">
        <v>9</v>
      </c>
      <c r="F259">
        <v>2017</v>
      </c>
      <c r="G259" t="s">
        <v>8</v>
      </c>
      <c r="R259" t="str">
        <v/>
      </c>
      <c r="S259" t="str">
        <v/>
      </c>
    </row>
    <row r="260" spans="1:19" x14ac:dyDescent="0.25">
      <c r="A260" t="s">
        <v>324</v>
      </c>
      <c r="B260" t="s">
        <v>243</v>
      </c>
      <c r="C260">
        <v>4.3</v>
      </c>
      <c r="D260">
        <v>18904</v>
      </c>
      <c r="E260">
        <v>13</v>
      </c>
      <c r="F260">
        <v>2017</v>
      </c>
      <c r="G260" t="s">
        <v>10</v>
      </c>
      <c r="R260" t="str">
        <v/>
      </c>
      <c r="S260" t="str">
        <v/>
      </c>
    </row>
    <row r="261" spans="1:19" x14ac:dyDescent="0.25">
      <c r="A261" t="s">
        <v>325</v>
      </c>
      <c r="B261" t="s">
        <v>326</v>
      </c>
      <c r="C261">
        <v>4.5999999999999996</v>
      </c>
      <c r="D261">
        <v>21930</v>
      </c>
      <c r="E261">
        <v>11</v>
      </c>
      <c r="F261">
        <v>2014</v>
      </c>
      <c r="G261" t="s">
        <v>10</v>
      </c>
      <c r="R261" t="str">
        <v/>
      </c>
      <c r="S261" t="str">
        <v/>
      </c>
    </row>
    <row r="262" spans="1:19" x14ac:dyDescent="0.25">
      <c r="A262" t="s">
        <v>327</v>
      </c>
      <c r="B262" t="s">
        <v>101</v>
      </c>
      <c r="C262">
        <v>4.5999999999999996</v>
      </c>
      <c r="D262">
        <v>10426</v>
      </c>
      <c r="E262">
        <v>20</v>
      </c>
      <c r="F262">
        <v>2009</v>
      </c>
      <c r="G262" t="s">
        <v>8</v>
      </c>
      <c r="R262" t="str">
        <v/>
      </c>
      <c r="S262" t="str">
        <v/>
      </c>
    </row>
    <row r="263" spans="1:19" x14ac:dyDescent="0.25">
      <c r="A263" t="s">
        <v>327</v>
      </c>
      <c r="B263" t="s">
        <v>101</v>
      </c>
      <c r="C263">
        <v>4.5999999999999996</v>
      </c>
      <c r="D263">
        <v>10426</v>
      </c>
      <c r="E263">
        <v>20</v>
      </c>
      <c r="F263">
        <v>2010</v>
      </c>
      <c r="G263" t="s">
        <v>8</v>
      </c>
      <c r="R263" t="str">
        <v/>
      </c>
      <c r="S263" t="str">
        <v/>
      </c>
    </row>
    <row r="264" spans="1:19" x14ac:dyDescent="0.25">
      <c r="A264" t="s">
        <v>328</v>
      </c>
      <c r="B264" t="s">
        <v>329</v>
      </c>
      <c r="C264">
        <v>4.7</v>
      </c>
      <c r="D264">
        <v>10820</v>
      </c>
      <c r="E264">
        <v>5</v>
      </c>
      <c r="F264">
        <v>2018</v>
      </c>
      <c r="G264" t="s">
        <v>8</v>
      </c>
      <c r="R264" t="str">
        <v/>
      </c>
      <c r="S264" t="str">
        <v/>
      </c>
    </row>
    <row r="265" spans="1:19" x14ac:dyDescent="0.25">
      <c r="A265" t="s">
        <v>328</v>
      </c>
      <c r="B265" t="s">
        <v>329</v>
      </c>
      <c r="C265">
        <v>4.7</v>
      </c>
      <c r="D265">
        <v>10820</v>
      </c>
      <c r="E265">
        <v>5</v>
      </c>
      <c r="F265">
        <v>2019</v>
      </c>
      <c r="G265" t="s">
        <v>8</v>
      </c>
      <c r="R265" t="str">
        <v/>
      </c>
      <c r="S265" t="str">
        <v/>
      </c>
    </row>
    <row r="266" spans="1:19" x14ac:dyDescent="0.25">
      <c r="A266" t="s">
        <v>330</v>
      </c>
      <c r="B266" t="s">
        <v>331</v>
      </c>
      <c r="C266">
        <v>4.8</v>
      </c>
      <c r="D266">
        <v>548</v>
      </c>
      <c r="E266">
        <v>2</v>
      </c>
      <c r="F266">
        <v>2010</v>
      </c>
      <c r="G266" t="s">
        <v>10</v>
      </c>
      <c r="R266" t="str">
        <v/>
      </c>
      <c r="S266" t="str">
        <v/>
      </c>
    </row>
    <row r="267" spans="1:19" x14ac:dyDescent="0.25">
      <c r="A267" t="s">
        <v>332</v>
      </c>
      <c r="B267" t="s">
        <v>333</v>
      </c>
      <c r="C267">
        <v>4.8</v>
      </c>
      <c r="D267">
        <v>16990</v>
      </c>
      <c r="E267">
        <v>27</v>
      </c>
      <c r="F267">
        <v>2017</v>
      </c>
      <c r="G267" t="s">
        <v>10</v>
      </c>
      <c r="R267" t="str">
        <v/>
      </c>
      <c r="S267" t="str">
        <v/>
      </c>
    </row>
    <row r="268" spans="1:19" x14ac:dyDescent="0.25">
      <c r="A268" t="s">
        <v>332</v>
      </c>
      <c r="B268" t="s">
        <v>333</v>
      </c>
      <c r="C268">
        <v>4.8</v>
      </c>
      <c r="D268">
        <v>16990</v>
      </c>
      <c r="E268">
        <v>27</v>
      </c>
      <c r="F268">
        <v>2018</v>
      </c>
      <c r="G268" t="s">
        <v>10</v>
      </c>
      <c r="R268" t="str">
        <v/>
      </c>
      <c r="S268" t="str">
        <v/>
      </c>
    </row>
    <row r="269" spans="1:19" x14ac:dyDescent="0.25">
      <c r="A269" t="s">
        <v>332</v>
      </c>
      <c r="B269" t="s">
        <v>333</v>
      </c>
      <c r="C269">
        <v>4.8</v>
      </c>
      <c r="D269">
        <v>16990</v>
      </c>
      <c r="E269">
        <v>27</v>
      </c>
      <c r="F269">
        <v>2019</v>
      </c>
      <c r="G269" t="s">
        <v>10</v>
      </c>
      <c r="R269" t="str">
        <v/>
      </c>
      <c r="S269" t="str">
        <v/>
      </c>
    </row>
    <row r="270" spans="1:19" x14ac:dyDescent="0.25">
      <c r="A270" t="s">
        <v>334</v>
      </c>
      <c r="B270" t="s">
        <v>213</v>
      </c>
      <c r="C270">
        <v>4.7</v>
      </c>
      <c r="D270">
        <v>3503</v>
      </c>
      <c r="E270">
        <v>9</v>
      </c>
      <c r="F270">
        <v>2016</v>
      </c>
      <c r="G270" t="s">
        <v>10</v>
      </c>
      <c r="R270" t="str">
        <v/>
      </c>
      <c r="S270" t="str">
        <v/>
      </c>
    </row>
    <row r="271" spans="1:19" x14ac:dyDescent="0.25">
      <c r="A271" t="s">
        <v>335</v>
      </c>
      <c r="B271" t="s">
        <v>336</v>
      </c>
      <c r="C271">
        <v>4.3</v>
      </c>
      <c r="D271">
        <v>13616</v>
      </c>
      <c r="E271">
        <v>10</v>
      </c>
      <c r="F271">
        <v>2012</v>
      </c>
      <c r="G271" t="s">
        <v>8</v>
      </c>
      <c r="R271" t="str">
        <v/>
      </c>
      <c r="S271" t="str">
        <v/>
      </c>
    </row>
    <row r="272" spans="1:19" x14ac:dyDescent="0.25">
      <c r="A272" t="s">
        <v>335</v>
      </c>
      <c r="B272" t="s">
        <v>336</v>
      </c>
      <c r="C272">
        <v>4.3</v>
      </c>
      <c r="D272">
        <v>13616</v>
      </c>
      <c r="E272">
        <v>10</v>
      </c>
      <c r="F272">
        <v>2013</v>
      </c>
      <c r="G272" t="s">
        <v>8</v>
      </c>
      <c r="R272" t="str">
        <v/>
      </c>
      <c r="S272" t="str">
        <v/>
      </c>
    </row>
    <row r="273" spans="1:19" x14ac:dyDescent="0.25">
      <c r="A273" t="s">
        <v>337</v>
      </c>
      <c r="B273" t="s">
        <v>338</v>
      </c>
      <c r="C273">
        <v>4.5</v>
      </c>
      <c r="D273">
        <v>8580</v>
      </c>
      <c r="E273">
        <v>46</v>
      </c>
      <c r="F273">
        <v>2009</v>
      </c>
      <c r="G273" t="s">
        <v>8</v>
      </c>
      <c r="R273" t="str">
        <v/>
      </c>
      <c r="S273" t="str">
        <v/>
      </c>
    </row>
    <row r="274" spans="1:19" x14ac:dyDescent="0.25">
      <c r="A274" t="s">
        <v>337</v>
      </c>
      <c r="B274" t="s">
        <v>338</v>
      </c>
      <c r="C274">
        <v>4.5</v>
      </c>
      <c r="D274">
        <v>8580</v>
      </c>
      <c r="E274">
        <v>46</v>
      </c>
      <c r="F274">
        <v>2010</v>
      </c>
      <c r="G274" t="s">
        <v>8</v>
      </c>
      <c r="R274" t="str">
        <v/>
      </c>
      <c r="S274" t="str">
        <v/>
      </c>
    </row>
    <row r="275" spans="1:19" x14ac:dyDescent="0.25">
      <c r="A275" t="s">
        <v>337</v>
      </c>
      <c r="B275" t="s">
        <v>338</v>
      </c>
      <c r="C275">
        <v>4.5</v>
      </c>
      <c r="D275">
        <v>8580</v>
      </c>
      <c r="E275">
        <v>46</v>
      </c>
      <c r="F275">
        <v>2011</v>
      </c>
      <c r="G275" t="s">
        <v>8</v>
      </c>
      <c r="R275" t="str">
        <v/>
      </c>
      <c r="S275" t="str">
        <v/>
      </c>
    </row>
    <row r="276" spans="1:19" x14ac:dyDescent="0.25">
      <c r="A276" t="s">
        <v>337</v>
      </c>
      <c r="B276" t="s">
        <v>338</v>
      </c>
      <c r="C276">
        <v>4.5</v>
      </c>
      <c r="D276">
        <v>8580</v>
      </c>
      <c r="E276">
        <v>46</v>
      </c>
      <c r="F276">
        <v>2012</v>
      </c>
      <c r="G276" t="s">
        <v>8</v>
      </c>
      <c r="R276" t="str">
        <v/>
      </c>
      <c r="S276" t="str">
        <v/>
      </c>
    </row>
    <row r="277" spans="1:19" x14ac:dyDescent="0.25">
      <c r="A277" t="s">
        <v>337</v>
      </c>
      <c r="B277" t="s">
        <v>338</v>
      </c>
      <c r="C277">
        <v>4.5</v>
      </c>
      <c r="D277">
        <v>8580</v>
      </c>
      <c r="E277">
        <v>46</v>
      </c>
      <c r="F277">
        <v>2013</v>
      </c>
      <c r="G277" t="s">
        <v>8</v>
      </c>
      <c r="R277" t="str">
        <v/>
      </c>
      <c r="S277" t="str">
        <v/>
      </c>
    </row>
    <row r="278" spans="1:19" x14ac:dyDescent="0.25">
      <c r="A278" t="s">
        <v>337</v>
      </c>
      <c r="B278" t="s">
        <v>338</v>
      </c>
      <c r="C278">
        <v>4.5</v>
      </c>
      <c r="D278">
        <v>8580</v>
      </c>
      <c r="E278">
        <v>46</v>
      </c>
      <c r="F278">
        <v>2014</v>
      </c>
      <c r="G278" t="s">
        <v>8</v>
      </c>
      <c r="R278" t="str">
        <v/>
      </c>
      <c r="S278" t="str">
        <v/>
      </c>
    </row>
    <row r="279" spans="1:19" x14ac:dyDescent="0.25">
      <c r="A279" t="s">
        <v>337</v>
      </c>
      <c r="B279" t="s">
        <v>338</v>
      </c>
      <c r="C279">
        <v>4.5</v>
      </c>
      <c r="D279">
        <v>8580</v>
      </c>
      <c r="E279">
        <v>46</v>
      </c>
      <c r="F279">
        <v>2015</v>
      </c>
      <c r="G279" t="s">
        <v>8</v>
      </c>
      <c r="R279" t="str">
        <v/>
      </c>
      <c r="S279" t="str">
        <v/>
      </c>
    </row>
    <row r="280" spans="1:19" x14ac:dyDescent="0.25">
      <c r="A280" t="s">
        <v>337</v>
      </c>
      <c r="B280" t="s">
        <v>338</v>
      </c>
      <c r="C280">
        <v>4.5</v>
      </c>
      <c r="D280">
        <v>8580</v>
      </c>
      <c r="E280">
        <v>46</v>
      </c>
      <c r="F280">
        <v>2016</v>
      </c>
      <c r="G280" t="s">
        <v>8</v>
      </c>
      <c r="R280" t="str">
        <v/>
      </c>
      <c r="S280" t="str">
        <v/>
      </c>
    </row>
    <row r="281" spans="1:19" x14ac:dyDescent="0.25">
      <c r="A281" t="s">
        <v>337</v>
      </c>
      <c r="B281" t="s">
        <v>338</v>
      </c>
      <c r="C281">
        <v>4.5</v>
      </c>
      <c r="D281">
        <v>8580</v>
      </c>
      <c r="E281">
        <v>46</v>
      </c>
      <c r="F281">
        <v>2017</v>
      </c>
      <c r="G281" t="s">
        <v>8</v>
      </c>
      <c r="R281" t="str">
        <v/>
      </c>
      <c r="S281" t="str">
        <v/>
      </c>
    </row>
    <row r="282" spans="1:19" x14ac:dyDescent="0.25">
      <c r="A282" t="s">
        <v>337</v>
      </c>
      <c r="B282" t="s">
        <v>338</v>
      </c>
      <c r="C282">
        <v>4.5</v>
      </c>
      <c r="D282">
        <v>8580</v>
      </c>
      <c r="E282">
        <v>46</v>
      </c>
      <c r="F282">
        <v>2018</v>
      </c>
      <c r="G282" t="s">
        <v>8</v>
      </c>
      <c r="R282" t="str">
        <v/>
      </c>
      <c r="S282" t="str">
        <v/>
      </c>
    </row>
    <row r="283" spans="1:19" x14ac:dyDescent="0.25">
      <c r="A283" t="s">
        <v>339</v>
      </c>
      <c r="B283" t="s">
        <v>340</v>
      </c>
      <c r="C283">
        <v>4.8</v>
      </c>
      <c r="D283">
        <v>4757</v>
      </c>
      <c r="E283">
        <v>4</v>
      </c>
      <c r="F283">
        <v>2017</v>
      </c>
      <c r="G283" t="s">
        <v>10</v>
      </c>
      <c r="R283" t="str">
        <v/>
      </c>
      <c r="S283" t="str">
        <v/>
      </c>
    </row>
    <row r="284" spans="1:19" x14ac:dyDescent="0.25">
      <c r="A284" t="s">
        <v>341</v>
      </c>
      <c r="B284" t="s">
        <v>342</v>
      </c>
      <c r="C284">
        <v>4.5999999999999996</v>
      </c>
      <c r="D284">
        <v>10009</v>
      </c>
      <c r="E284">
        <v>20</v>
      </c>
      <c r="F284">
        <v>2012</v>
      </c>
      <c r="G284" t="s">
        <v>8</v>
      </c>
      <c r="R284" t="str">
        <v/>
      </c>
      <c r="S284" t="str">
        <v/>
      </c>
    </row>
    <row r="285" spans="1:19" x14ac:dyDescent="0.25">
      <c r="A285" t="s">
        <v>341</v>
      </c>
      <c r="B285" t="s">
        <v>342</v>
      </c>
      <c r="C285">
        <v>4.5999999999999996</v>
      </c>
      <c r="D285">
        <v>10009</v>
      </c>
      <c r="E285">
        <v>7</v>
      </c>
      <c r="F285">
        <v>2013</v>
      </c>
      <c r="G285" t="s">
        <v>8</v>
      </c>
      <c r="R285" t="str">
        <v/>
      </c>
      <c r="S285" t="str">
        <v/>
      </c>
    </row>
    <row r="286" spans="1:19" x14ac:dyDescent="0.25">
      <c r="A286" t="s">
        <v>343</v>
      </c>
      <c r="B286" t="s">
        <v>344</v>
      </c>
      <c r="C286">
        <v>4.7</v>
      </c>
      <c r="D286">
        <v>1985</v>
      </c>
      <c r="E286">
        <v>9</v>
      </c>
      <c r="F286">
        <v>2010</v>
      </c>
      <c r="G286" t="s">
        <v>8</v>
      </c>
      <c r="R286" t="str">
        <v/>
      </c>
      <c r="S286" t="str">
        <v/>
      </c>
    </row>
    <row r="287" spans="1:19" x14ac:dyDescent="0.25">
      <c r="A287" t="s">
        <v>343</v>
      </c>
      <c r="B287" t="s">
        <v>344</v>
      </c>
      <c r="C287">
        <v>4.7</v>
      </c>
      <c r="D287">
        <v>1985</v>
      </c>
      <c r="E287">
        <v>9</v>
      </c>
      <c r="F287">
        <v>2011</v>
      </c>
      <c r="G287" t="s">
        <v>8</v>
      </c>
      <c r="R287" t="str">
        <v/>
      </c>
      <c r="S287" t="str">
        <v/>
      </c>
    </row>
    <row r="288" spans="1:19" x14ac:dyDescent="0.25">
      <c r="A288" t="s">
        <v>345</v>
      </c>
      <c r="B288" t="s">
        <v>346</v>
      </c>
      <c r="C288">
        <v>4.5999999999999996</v>
      </c>
      <c r="D288">
        <v>22536</v>
      </c>
      <c r="E288">
        <v>12</v>
      </c>
      <c r="F288">
        <v>2017</v>
      </c>
      <c r="G288" t="s">
        <v>10</v>
      </c>
      <c r="R288" t="str">
        <v/>
      </c>
      <c r="S288" t="str">
        <v/>
      </c>
    </row>
    <row r="289" spans="1:19" x14ac:dyDescent="0.25">
      <c r="A289" t="s">
        <v>345</v>
      </c>
      <c r="B289" t="s">
        <v>346</v>
      </c>
      <c r="C289">
        <v>4.5999999999999996</v>
      </c>
      <c r="D289">
        <v>22536</v>
      </c>
      <c r="E289">
        <v>12</v>
      </c>
      <c r="F289">
        <v>2018</v>
      </c>
      <c r="G289" t="s">
        <v>10</v>
      </c>
      <c r="R289" t="str">
        <v/>
      </c>
      <c r="S289" t="str">
        <v/>
      </c>
    </row>
    <row r="290" spans="1:19" x14ac:dyDescent="0.25">
      <c r="A290" t="s">
        <v>347</v>
      </c>
      <c r="B290" t="s">
        <v>348</v>
      </c>
      <c r="C290">
        <v>4.9000000000000004</v>
      </c>
      <c r="D290">
        <v>7150</v>
      </c>
      <c r="E290">
        <v>12</v>
      </c>
      <c r="F290">
        <v>2013</v>
      </c>
      <c r="G290" t="s">
        <v>10</v>
      </c>
      <c r="R290" t="str">
        <v/>
      </c>
      <c r="S290" t="str">
        <v/>
      </c>
    </row>
    <row r="291" spans="1:19" x14ac:dyDescent="0.25">
      <c r="A291" t="s">
        <v>349</v>
      </c>
      <c r="B291" t="s">
        <v>348</v>
      </c>
      <c r="C291">
        <v>4.9000000000000004</v>
      </c>
      <c r="D291">
        <v>3836</v>
      </c>
      <c r="E291">
        <v>12</v>
      </c>
      <c r="F291">
        <v>2014</v>
      </c>
      <c r="G291" t="s">
        <v>10</v>
      </c>
      <c r="R291" t="str">
        <v/>
      </c>
      <c r="S291" t="str">
        <v/>
      </c>
    </row>
    <row r="292" spans="1:19" x14ac:dyDescent="0.25">
      <c r="A292" t="s">
        <v>350</v>
      </c>
      <c r="B292" t="s">
        <v>351</v>
      </c>
      <c r="C292">
        <v>4.8</v>
      </c>
      <c r="D292">
        <v>7802</v>
      </c>
      <c r="E292">
        <v>20</v>
      </c>
      <c r="F292">
        <v>2018</v>
      </c>
      <c r="G292" t="s">
        <v>8</v>
      </c>
      <c r="R292" t="str">
        <v/>
      </c>
      <c r="S292" t="str">
        <v/>
      </c>
    </row>
    <row r="293" spans="1:19" x14ac:dyDescent="0.25">
      <c r="A293" t="s">
        <v>350</v>
      </c>
      <c r="B293" t="s">
        <v>351</v>
      </c>
      <c r="C293">
        <v>4.8</v>
      </c>
      <c r="D293">
        <v>7802</v>
      </c>
      <c r="E293">
        <v>20</v>
      </c>
      <c r="F293">
        <v>2019</v>
      </c>
      <c r="G293" t="s">
        <v>8</v>
      </c>
      <c r="R293" t="str">
        <v/>
      </c>
      <c r="S293" t="str">
        <v/>
      </c>
    </row>
    <row r="294" spans="1:19" x14ac:dyDescent="0.25">
      <c r="A294" t="s">
        <v>352</v>
      </c>
      <c r="B294" t="s">
        <v>353</v>
      </c>
      <c r="C294">
        <v>4.5999999999999996</v>
      </c>
      <c r="D294">
        <v>3619</v>
      </c>
      <c r="E294">
        <v>10</v>
      </c>
      <c r="F294">
        <v>2010</v>
      </c>
      <c r="G294" t="s">
        <v>10</v>
      </c>
      <c r="R294" t="str">
        <v/>
      </c>
      <c r="S294" t="str">
        <v/>
      </c>
    </row>
    <row r="295" spans="1:19" x14ac:dyDescent="0.25">
      <c r="A295" t="s">
        <v>354</v>
      </c>
      <c r="B295" t="s">
        <v>355</v>
      </c>
      <c r="C295">
        <v>4.8</v>
      </c>
      <c r="D295">
        <v>23047</v>
      </c>
      <c r="E295">
        <v>6</v>
      </c>
      <c r="F295">
        <v>2018</v>
      </c>
      <c r="G295" t="s">
        <v>8</v>
      </c>
      <c r="R295" t="str">
        <v/>
      </c>
      <c r="S295" t="str">
        <v/>
      </c>
    </row>
    <row r="296" spans="1:19" x14ac:dyDescent="0.25">
      <c r="A296" t="s">
        <v>354</v>
      </c>
      <c r="B296" t="s">
        <v>355</v>
      </c>
      <c r="C296">
        <v>4.8</v>
      </c>
      <c r="D296">
        <v>23047</v>
      </c>
      <c r="E296">
        <v>6</v>
      </c>
      <c r="F296">
        <v>2019</v>
      </c>
      <c r="G296" t="s">
        <v>8</v>
      </c>
      <c r="R296" t="str">
        <v/>
      </c>
      <c r="S296" t="str">
        <v/>
      </c>
    </row>
    <row r="297" spans="1:19" x14ac:dyDescent="0.25">
      <c r="A297" t="s">
        <v>356</v>
      </c>
      <c r="B297" t="s">
        <v>147</v>
      </c>
      <c r="C297">
        <v>4.7</v>
      </c>
      <c r="D297">
        <v>9366</v>
      </c>
      <c r="E297">
        <v>9</v>
      </c>
      <c r="F297">
        <v>2015</v>
      </c>
      <c r="G297" t="s">
        <v>8</v>
      </c>
      <c r="R297" t="str">
        <v/>
      </c>
      <c r="S297" t="str">
        <v/>
      </c>
    </row>
    <row r="298" spans="1:19" x14ac:dyDescent="0.25">
      <c r="A298" t="s">
        <v>357</v>
      </c>
      <c r="B298" t="s">
        <v>358</v>
      </c>
      <c r="C298">
        <v>4.7</v>
      </c>
      <c r="D298">
        <v>1265</v>
      </c>
      <c r="E298">
        <v>11</v>
      </c>
      <c r="F298">
        <v>2010</v>
      </c>
      <c r="G298" t="s">
        <v>8</v>
      </c>
      <c r="R298" t="str">
        <v/>
      </c>
      <c r="S298" t="str">
        <v/>
      </c>
    </row>
    <row r="299" spans="1:19" x14ac:dyDescent="0.25">
      <c r="A299" t="s">
        <v>359</v>
      </c>
      <c r="B299" t="s">
        <v>360</v>
      </c>
      <c r="C299">
        <v>4.8</v>
      </c>
      <c r="D299">
        <v>3923</v>
      </c>
      <c r="E299">
        <v>16</v>
      </c>
      <c r="F299">
        <v>2018</v>
      </c>
      <c r="G299" t="s">
        <v>8</v>
      </c>
      <c r="R299" t="str">
        <v/>
      </c>
      <c r="S299" t="str">
        <v/>
      </c>
    </row>
    <row r="300" spans="1:19" x14ac:dyDescent="0.25">
      <c r="A300" t="s">
        <v>361</v>
      </c>
      <c r="B300" t="s">
        <v>362</v>
      </c>
      <c r="C300">
        <v>4.0999999999999996</v>
      </c>
      <c r="D300">
        <v>2272</v>
      </c>
      <c r="E300">
        <v>6</v>
      </c>
      <c r="F300">
        <v>2013</v>
      </c>
      <c r="G300" t="s">
        <v>8</v>
      </c>
      <c r="R300" t="str">
        <v/>
      </c>
      <c r="S300" t="str">
        <v/>
      </c>
    </row>
    <row r="301" spans="1:19" x14ac:dyDescent="0.25">
      <c r="A301" t="s">
        <v>363</v>
      </c>
      <c r="B301" t="s">
        <v>103</v>
      </c>
      <c r="C301">
        <v>4.7</v>
      </c>
      <c r="D301">
        <v>973</v>
      </c>
      <c r="E301">
        <v>25</v>
      </c>
      <c r="F301">
        <v>2009</v>
      </c>
      <c r="G301" t="s">
        <v>10</v>
      </c>
      <c r="R301" t="str">
        <v/>
      </c>
      <c r="S301" t="str">
        <v/>
      </c>
    </row>
    <row r="302" spans="1:19" x14ac:dyDescent="0.25">
      <c r="A302" t="s">
        <v>364</v>
      </c>
      <c r="B302" t="s">
        <v>122</v>
      </c>
      <c r="C302">
        <v>4.5999999999999996</v>
      </c>
      <c r="D302">
        <v>220</v>
      </c>
      <c r="E302">
        <v>17</v>
      </c>
      <c r="F302">
        <v>2013</v>
      </c>
      <c r="G302" t="s">
        <v>8</v>
      </c>
      <c r="R302" t="str">
        <v/>
      </c>
      <c r="S302" t="str">
        <v/>
      </c>
    </row>
    <row r="303" spans="1:19" x14ac:dyDescent="0.25">
      <c r="A303" t="s">
        <v>365</v>
      </c>
      <c r="B303" t="s">
        <v>273</v>
      </c>
      <c r="C303">
        <v>4.5999999999999996</v>
      </c>
      <c r="D303">
        <v>7827</v>
      </c>
      <c r="E303">
        <v>20</v>
      </c>
      <c r="F303">
        <v>2011</v>
      </c>
      <c r="G303" t="s">
        <v>8</v>
      </c>
      <c r="R303" t="str">
        <v/>
      </c>
      <c r="S303" t="str">
        <v/>
      </c>
    </row>
    <row r="304" spans="1:19" x14ac:dyDescent="0.25">
      <c r="A304" t="s">
        <v>365</v>
      </c>
      <c r="B304" t="s">
        <v>273</v>
      </c>
      <c r="C304">
        <v>4.5999999999999996</v>
      </c>
      <c r="D304">
        <v>7827</v>
      </c>
      <c r="E304">
        <v>20</v>
      </c>
      <c r="F304">
        <v>2012</v>
      </c>
      <c r="G304" t="s">
        <v>8</v>
      </c>
      <c r="R304" t="str">
        <v/>
      </c>
      <c r="S304" t="str">
        <v/>
      </c>
    </row>
    <row r="305" spans="1:19" x14ac:dyDescent="0.25">
      <c r="A305" t="s">
        <v>366</v>
      </c>
      <c r="B305" t="s">
        <v>367</v>
      </c>
      <c r="C305">
        <v>4.9000000000000004</v>
      </c>
      <c r="D305">
        <v>9382</v>
      </c>
      <c r="E305">
        <v>6</v>
      </c>
      <c r="F305">
        <v>2019</v>
      </c>
      <c r="G305" t="s">
        <v>10</v>
      </c>
      <c r="R305" t="str">
        <v/>
      </c>
      <c r="S305" t="str">
        <v/>
      </c>
    </row>
    <row r="306" spans="1:19" x14ac:dyDescent="0.25">
      <c r="A306" t="s">
        <v>368</v>
      </c>
      <c r="B306" t="s">
        <v>369</v>
      </c>
      <c r="C306">
        <v>4</v>
      </c>
      <c r="D306">
        <v>5069</v>
      </c>
      <c r="E306">
        <v>17</v>
      </c>
      <c r="F306">
        <v>2009</v>
      </c>
      <c r="G306" t="s">
        <v>8</v>
      </c>
      <c r="R306" t="str">
        <v/>
      </c>
      <c r="S306" t="str">
        <v/>
      </c>
    </row>
    <row r="307" spans="1:19" x14ac:dyDescent="0.25">
      <c r="A307" t="s">
        <v>368</v>
      </c>
      <c r="B307" t="s">
        <v>369</v>
      </c>
      <c r="C307">
        <v>4</v>
      </c>
      <c r="D307">
        <v>5069</v>
      </c>
      <c r="E307">
        <v>17</v>
      </c>
      <c r="F307">
        <v>2010</v>
      </c>
      <c r="G307" t="s">
        <v>8</v>
      </c>
      <c r="R307" t="str">
        <v/>
      </c>
      <c r="S307" t="str">
        <v/>
      </c>
    </row>
    <row r="308" spans="1:19" x14ac:dyDescent="0.25">
      <c r="A308" t="s">
        <v>368</v>
      </c>
      <c r="B308" t="s">
        <v>369</v>
      </c>
      <c r="C308">
        <v>4</v>
      </c>
      <c r="D308">
        <v>5069</v>
      </c>
      <c r="E308">
        <v>17</v>
      </c>
      <c r="F308">
        <v>2011</v>
      </c>
      <c r="G308" t="s">
        <v>8</v>
      </c>
      <c r="R308" t="str">
        <v/>
      </c>
      <c r="S308" t="str">
        <v/>
      </c>
    </row>
    <row r="309" spans="1:19" x14ac:dyDescent="0.25">
      <c r="A309" t="s">
        <v>368</v>
      </c>
      <c r="B309" t="s">
        <v>369</v>
      </c>
      <c r="C309">
        <v>4</v>
      </c>
      <c r="D309">
        <v>5069</v>
      </c>
      <c r="E309">
        <v>17</v>
      </c>
      <c r="F309">
        <v>2012</v>
      </c>
      <c r="G309" t="s">
        <v>8</v>
      </c>
      <c r="R309" t="str">
        <v/>
      </c>
      <c r="S309" t="str">
        <v/>
      </c>
    </row>
    <row r="310" spans="1:19" x14ac:dyDescent="0.25">
      <c r="A310" t="s">
        <v>368</v>
      </c>
      <c r="B310" t="s">
        <v>369</v>
      </c>
      <c r="C310">
        <v>4</v>
      </c>
      <c r="D310">
        <v>5069</v>
      </c>
      <c r="E310">
        <v>17</v>
      </c>
      <c r="F310">
        <v>2013</v>
      </c>
      <c r="G310" t="s">
        <v>8</v>
      </c>
      <c r="R310" t="str">
        <v/>
      </c>
      <c r="S310" t="str">
        <v/>
      </c>
    </row>
    <row r="311" spans="1:19" x14ac:dyDescent="0.25">
      <c r="A311" t="s">
        <v>368</v>
      </c>
      <c r="B311" t="s">
        <v>369</v>
      </c>
      <c r="C311">
        <v>4</v>
      </c>
      <c r="D311">
        <v>5069</v>
      </c>
      <c r="E311">
        <v>17</v>
      </c>
      <c r="F311">
        <v>2014</v>
      </c>
      <c r="G311" t="s">
        <v>8</v>
      </c>
      <c r="R311" t="str">
        <v/>
      </c>
      <c r="S311" t="str">
        <v/>
      </c>
    </row>
    <row r="312" spans="1:19" x14ac:dyDescent="0.25">
      <c r="A312" t="s">
        <v>368</v>
      </c>
      <c r="B312" t="s">
        <v>369</v>
      </c>
      <c r="C312">
        <v>4</v>
      </c>
      <c r="D312">
        <v>5069</v>
      </c>
      <c r="E312">
        <v>17</v>
      </c>
      <c r="F312">
        <v>2015</v>
      </c>
      <c r="G312" t="s">
        <v>8</v>
      </c>
      <c r="R312" t="str">
        <v/>
      </c>
      <c r="S312" t="str">
        <v/>
      </c>
    </row>
    <row r="313" spans="1:19" x14ac:dyDescent="0.25">
      <c r="A313" t="s">
        <v>368</v>
      </c>
      <c r="B313" t="s">
        <v>369</v>
      </c>
      <c r="C313">
        <v>4</v>
      </c>
      <c r="D313">
        <v>5069</v>
      </c>
      <c r="E313">
        <v>17</v>
      </c>
      <c r="F313">
        <v>2016</v>
      </c>
      <c r="G313" t="s">
        <v>8</v>
      </c>
      <c r="R313" t="str">
        <v/>
      </c>
      <c r="S313" t="str">
        <v/>
      </c>
    </row>
    <row r="314" spans="1:19" x14ac:dyDescent="0.25">
      <c r="A314" t="s">
        <v>368</v>
      </c>
      <c r="B314" t="s">
        <v>369</v>
      </c>
      <c r="C314">
        <v>4</v>
      </c>
      <c r="D314">
        <v>5069</v>
      </c>
      <c r="E314">
        <v>17</v>
      </c>
      <c r="F314">
        <v>2017</v>
      </c>
      <c r="G314" t="s">
        <v>8</v>
      </c>
      <c r="R314" t="str">
        <v/>
      </c>
      <c r="S314" t="str">
        <v/>
      </c>
    </row>
    <row r="315" spans="1:19" x14ac:dyDescent="0.25">
      <c r="A315" t="s">
        <v>370</v>
      </c>
      <c r="B315" t="s">
        <v>371</v>
      </c>
      <c r="C315">
        <v>4.5</v>
      </c>
      <c r="D315">
        <v>1583</v>
      </c>
      <c r="E315">
        <v>18</v>
      </c>
      <c r="F315">
        <v>2009</v>
      </c>
      <c r="G315" t="s">
        <v>8</v>
      </c>
      <c r="R315" t="str">
        <v/>
      </c>
      <c r="S315" t="str">
        <v/>
      </c>
    </row>
    <row r="316" spans="1:19" x14ac:dyDescent="0.25">
      <c r="A316" t="s">
        <v>372</v>
      </c>
      <c r="B316" t="s">
        <v>373</v>
      </c>
      <c r="C316">
        <v>4.5999999999999996</v>
      </c>
      <c r="D316">
        <v>1907</v>
      </c>
      <c r="E316">
        <v>13</v>
      </c>
      <c r="F316">
        <v>2010</v>
      </c>
      <c r="G316" t="s">
        <v>8</v>
      </c>
      <c r="R316" t="str">
        <v/>
      </c>
      <c r="S316" t="str">
        <v/>
      </c>
    </row>
    <row r="317" spans="1:19" x14ac:dyDescent="0.25">
      <c r="A317" t="s">
        <v>374</v>
      </c>
      <c r="B317" t="s">
        <v>375</v>
      </c>
      <c r="C317">
        <v>4.5</v>
      </c>
      <c r="D317">
        <v>23114</v>
      </c>
      <c r="E317">
        <v>18</v>
      </c>
      <c r="F317">
        <v>2013</v>
      </c>
      <c r="G317" t="s">
        <v>10</v>
      </c>
      <c r="R317" t="str">
        <v/>
      </c>
      <c r="S317" t="str">
        <v/>
      </c>
    </row>
    <row r="318" spans="1:19" x14ac:dyDescent="0.25">
      <c r="A318" t="s">
        <v>376</v>
      </c>
      <c r="B318" t="s">
        <v>377</v>
      </c>
      <c r="C318">
        <v>4.4000000000000004</v>
      </c>
      <c r="D318">
        <v>637</v>
      </c>
      <c r="E318">
        <v>20</v>
      </c>
      <c r="F318">
        <v>2010</v>
      </c>
      <c r="G318" t="s">
        <v>8</v>
      </c>
      <c r="R318" t="str">
        <v/>
      </c>
      <c r="S318" t="str">
        <v/>
      </c>
    </row>
    <row r="319" spans="1:19" x14ac:dyDescent="0.25">
      <c r="A319" t="s">
        <v>376</v>
      </c>
      <c r="B319" t="s">
        <v>377</v>
      </c>
      <c r="C319">
        <v>4.4000000000000004</v>
      </c>
      <c r="D319">
        <v>637</v>
      </c>
      <c r="E319">
        <v>20</v>
      </c>
      <c r="F319">
        <v>2011</v>
      </c>
      <c r="G319" t="s">
        <v>8</v>
      </c>
      <c r="R319" t="str">
        <v/>
      </c>
      <c r="S319" t="str">
        <v/>
      </c>
    </row>
    <row r="320" spans="1:19" x14ac:dyDescent="0.25">
      <c r="A320" t="s">
        <v>378</v>
      </c>
      <c r="B320" t="s">
        <v>379</v>
      </c>
      <c r="C320">
        <v>4.3</v>
      </c>
      <c r="D320">
        <v>2314</v>
      </c>
      <c r="E320">
        <v>22</v>
      </c>
      <c r="F320">
        <v>2011</v>
      </c>
      <c r="G320" t="s">
        <v>8</v>
      </c>
      <c r="R320" t="str">
        <v/>
      </c>
      <c r="S320" t="str">
        <v/>
      </c>
    </row>
    <row r="321" spans="1:19" x14ac:dyDescent="0.25">
      <c r="A321" t="s">
        <v>380</v>
      </c>
      <c r="B321" t="s">
        <v>381</v>
      </c>
      <c r="C321">
        <v>4.3</v>
      </c>
      <c r="D321">
        <v>4587</v>
      </c>
      <c r="E321">
        <v>21</v>
      </c>
      <c r="F321">
        <v>2011</v>
      </c>
      <c r="G321" t="s">
        <v>8</v>
      </c>
      <c r="R321" t="str">
        <v/>
      </c>
      <c r="S321" t="str">
        <v/>
      </c>
    </row>
    <row r="322" spans="1:19" x14ac:dyDescent="0.25">
      <c r="A322" t="s">
        <v>382</v>
      </c>
      <c r="B322" t="s">
        <v>383</v>
      </c>
      <c r="C322">
        <v>4.7</v>
      </c>
      <c r="D322">
        <v>3477</v>
      </c>
      <c r="E322">
        <v>28</v>
      </c>
      <c r="F322">
        <v>2010</v>
      </c>
      <c r="G322" t="s">
        <v>8</v>
      </c>
      <c r="R322" t="str">
        <v/>
      </c>
      <c r="S322" t="str">
        <v/>
      </c>
    </row>
    <row r="323" spans="1:19" x14ac:dyDescent="0.25">
      <c r="A323" t="s">
        <v>382</v>
      </c>
      <c r="B323" t="s">
        <v>383</v>
      </c>
      <c r="C323">
        <v>4.7</v>
      </c>
      <c r="D323">
        <v>3477</v>
      </c>
      <c r="E323">
        <v>28</v>
      </c>
      <c r="F323">
        <v>2011</v>
      </c>
      <c r="G323" t="s">
        <v>8</v>
      </c>
      <c r="R323" t="str">
        <v/>
      </c>
      <c r="S323" t="str">
        <v/>
      </c>
    </row>
    <row r="324" spans="1:19" x14ac:dyDescent="0.25">
      <c r="A324" t="s">
        <v>382</v>
      </c>
      <c r="B324" t="s">
        <v>383</v>
      </c>
      <c r="C324">
        <v>4.7</v>
      </c>
      <c r="D324">
        <v>3477</v>
      </c>
      <c r="E324">
        <v>28</v>
      </c>
      <c r="F324">
        <v>2012</v>
      </c>
      <c r="G324" t="s">
        <v>8</v>
      </c>
      <c r="R324" t="str">
        <v/>
      </c>
      <c r="S324" t="str">
        <v/>
      </c>
    </row>
    <row r="325" spans="1:19" x14ac:dyDescent="0.25">
      <c r="A325" t="s">
        <v>382</v>
      </c>
      <c r="B325" t="s">
        <v>383</v>
      </c>
      <c r="C325">
        <v>4.7</v>
      </c>
      <c r="D325">
        <v>3477</v>
      </c>
      <c r="E325">
        <v>28</v>
      </c>
      <c r="F325">
        <v>2013</v>
      </c>
      <c r="G325" t="s">
        <v>8</v>
      </c>
      <c r="R325" t="str">
        <v/>
      </c>
      <c r="S325" t="str">
        <v/>
      </c>
    </row>
    <row r="326" spans="1:19" x14ac:dyDescent="0.25">
      <c r="A326" t="s">
        <v>382</v>
      </c>
      <c r="B326" t="s">
        <v>383</v>
      </c>
      <c r="C326">
        <v>4.7</v>
      </c>
      <c r="D326">
        <v>3477</v>
      </c>
      <c r="E326">
        <v>28</v>
      </c>
      <c r="F326">
        <v>2014</v>
      </c>
      <c r="G326" t="s">
        <v>8</v>
      </c>
      <c r="R326" t="str">
        <v/>
      </c>
      <c r="S326" t="str">
        <v/>
      </c>
    </row>
    <row r="327" spans="1:19" x14ac:dyDescent="0.25">
      <c r="A327" t="s">
        <v>384</v>
      </c>
      <c r="B327" t="s">
        <v>383</v>
      </c>
      <c r="C327">
        <v>4.8</v>
      </c>
      <c r="D327">
        <v>25554</v>
      </c>
      <c r="E327">
        <v>8</v>
      </c>
      <c r="F327">
        <v>2015</v>
      </c>
      <c r="G327" t="s">
        <v>8</v>
      </c>
      <c r="R327" t="str">
        <v/>
      </c>
      <c r="S327" t="str">
        <v/>
      </c>
    </row>
    <row r="328" spans="1:19" x14ac:dyDescent="0.25">
      <c r="A328" t="s">
        <v>384</v>
      </c>
      <c r="B328" t="s">
        <v>383</v>
      </c>
      <c r="C328">
        <v>4.8</v>
      </c>
      <c r="D328">
        <v>25554</v>
      </c>
      <c r="E328">
        <v>8</v>
      </c>
      <c r="F328">
        <v>2016</v>
      </c>
      <c r="G328" t="s">
        <v>8</v>
      </c>
      <c r="R328" t="str">
        <v/>
      </c>
      <c r="S328" t="str">
        <v/>
      </c>
    </row>
    <row r="329" spans="1:19" x14ac:dyDescent="0.25">
      <c r="A329" t="s">
        <v>384</v>
      </c>
      <c r="B329" t="s">
        <v>383</v>
      </c>
      <c r="C329">
        <v>4.8</v>
      </c>
      <c r="D329">
        <v>25554</v>
      </c>
      <c r="E329">
        <v>8</v>
      </c>
      <c r="F329">
        <v>2017</v>
      </c>
      <c r="G329" t="s">
        <v>8</v>
      </c>
      <c r="R329" t="str">
        <v/>
      </c>
      <c r="S329" t="str">
        <v/>
      </c>
    </row>
    <row r="330" spans="1:19" x14ac:dyDescent="0.25">
      <c r="A330" t="s">
        <v>384</v>
      </c>
      <c r="B330" t="s">
        <v>383</v>
      </c>
      <c r="C330">
        <v>4.8</v>
      </c>
      <c r="D330">
        <v>25554</v>
      </c>
      <c r="E330">
        <v>8</v>
      </c>
      <c r="F330">
        <v>2018</v>
      </c>
      <c r="G330" t="s">
        <v>8</v>
      </c>
      <c r="R330" t="str">
        <v/>
      </c>
      <c r="S330" t="str">
        <v/>
      </c>
    </row>
    <row r="331" spans="1:19" x14ac:dyDescent="0.25">
      <c r="A331" t="s">
        <v>384</v>
      </c>
      <c r="B331" t="s">
        <v>383</v>
      </c>
      <c r="C331">
        <v>4.8</v>
      </c>
      <c r="D331">
        <v>25554</v>
      </c>
      <c r="E331">
        <v>8</v>
      </c>
      <c r="F331">
        <v>2019</v>
      </c>
      <c r="G331" t="s">
        <v>8</v>
      </c>
      <c r="R331" t="str">
        <v/>
      </c>
      <c r="S331" t="str">
        <v/>
      </c>
    </row>
    <row r="332" spans="1:19" x14ac:dyDescent="0.25">
      <c r="A332" t="s">
        <v>385</v>
      </c>
      <c r="B332" t="s">
        <v>386</v>
      </c>
      <c r="C332">
        <v>4.8</v>
      </c>
      <c r="D332">
        <v>1680</v>
      </c>
      <c r="E332">
        <v>12</v>
      </c>
      <c r="F332">
        <v>2009</v>
      </c>
      <c r="G332" t="s">
        <v>8</v>
      </c>
      <c r="R332" t="str">
        <v/>
      </c>
      <c r="S332" t="str">
        <v/>
      </c>
    </row>
    <row r="333" spans="1:19" x14ac:dyDescent="0.25">
      <c r="A333" t="s">
        <v>387</v>
      </c>
      <c r="B333" t="s">
        <v>388</v>
      </c>
      <c r="C333">
        <v>4.5999999999999996</v>
      </c>
      <c r="D333">
        <v>9325</v>
      </c>
      <c r="E333">
        <v>24</v>
      </c>
      <c r="F333">
        <v>2009</v>
      </c>
      <c r="G333" t="s">
        <v>8</v>
      </c>
      <c r="R333" t="str">
        <v/>
      </c>
      <c r="S333" t="str">
        <v/>
      </c>
    </row>
    <row r="334" spans="1:19" x14ac:dyDescent="0.25">
      <c r="A334" t="s">
        <v>387</v>
      </c>
      <c r="B334" t="s">
        <v>388</v>
      </c>
      <c r="C334">
        <v>4.5999999999999996</v>
      </c>
      <c r="D334">
        <v>9325</v>
      </c>
      <c r="E334">
        <v>24</v>
      </c>
      <c r="F334">
        <v>2011</v>
      </c>
      <c r="G334" t="s">
        <v>8</v>
      </c>
      <c r="R334" t="str">
        <v/>
      </c>
      <c r="S334" t="str">
        <v/>
      </c>
    </row>
    <row r="335" spans="1:19" x14ac:dyDescent="0.25">
      <c r="A335" t="s">
        <v>387</v>
      </c>
      <c r="B335" t="s">
        <v>388</v>
      </c>
      <c r="C335">
        <v>4.5999999999999996</v>
      </c>
      <c r="D335">
        <v>9325</v>
      </c>
      <c r="E335">
        <v>24</v>
      </c>
      <c r="F335">
        <v>2012</v>
      </c>
      <c r="G335" t="s">
        <v>8</v>
      </c>
      <c r="R335" t="str">
        <v/>
      </c>
      <c r="S335" t="str">
        <v/>
      </c>
    </row>
    <row r="336" spans="1:19" x14ac:dyDescent="0.25">
      <c r="A336" t="s">
        <v>387</v>
      </c>
      <c r="B336" t="s">
        <v>388</v>
      </c>
      <c r="C336">
        <v>4.5999999999999996</v>
      </c>
      <c r="D336">
        <v>9325</v>
      </c>
      <c r="E336">
        <v>24</v>
      </c>
      <c r="F336">
        <v>2013</v>
      </c>
      <c r="G336" t="s">
        <v>8</v>
      </c>
      <c r="R336" t="str">
        <v/>
      </c>
      <c r="S336" t="str">
        <v/>
      </c>
    </row>
    <row r="337" spans="1:19" x14ac:dyDescent="0.25">
      <c r="A337" t="s">
        <v>387</v>
      </c>
      <c r="B337" t="s">
        <v>388</v>
      </c>
      <c r="C337">
        <v>4.7</v>
      </c>
      <c r="D337">
        <v>4725</v>
      </c>
      <c r="E337">
        <v>16</v>
      </c>
      <c r="F337">
        <v>2015</v>
      </c>
      <c r="G337" t="s">
        <v>8</v>
      </c>
      <c r="R337" t="str">
        <v/>
      </c>
      <c r="S337" t="str">
        <v/>
      </c>
    </row>
    <row r="338" spans="1:19" x14ac:dyDescent="0.25">
      <c r="A338" t="s">
        <v>387</v>
      </c>
      <c r="B338" t="s">
        <v>388</v>
      </c>
      <c r="C338">
        <v>4.7</v>
      </c>
      <c r="D338">
        <v>4725</v>
      </c>
      <c r="E338">
        <v>16</v>
      </c>
      <c r="F338">
        <v>2016</v>
      </c>
      <c r="G338" t="s">
        <v>8</v>
      </c>
      <c r="R338" t="str">
        <v/>
      </c>
      <c r="S338" t="str">
        <v/>
      </c>
    </row>
    <row r="339" spans="1:19" x14ac:dyDescent="0.25">
      <c r="A339" t="s">
        <v>387</v>
      </c>
      <c r="B339" t="s">
        <v>388</v>
      </c>
      <c r="C339">
        <v>4.7</v>
      </c>
      <c r="D339">
        <v>4725</v>
      </c>
      <c r="E339">
        <v>16</v>
      </c>
      <c r="F339">
        <v>2017</v>
      </c>
      <c r="G339" t="s">
        <v>8</v>
      </c>
      <c r="R339" t="str">
        <v/>
      </c>
      <c r="S339" t="str">
        <v/>
      </c>
    </row>
    <row r="340" spans="1:19" x14ac:dyDescent="0.25">
      <c r="A340" t="s">
        <v>389</v>
      </c>
      <c r="B340" t="s">
        <v>390</v>
      </c>
      <c r="C340">
        <v>4.7</v>
      </c>
      <c r="D340">
        <v>35799</v>
      </c>
      <c r="E340">
        <v>39</v>
      </c>
      <c r="F340">
        <v>2014</v>
      </c>
      <c r="G340" t="s">
        <v>10</v>
      </c>
      <c r="R340" t="str">
        <v/>
      </c>
      <c r="S340" t="str">
        <v/>
      </c>
    </row>
    <row r="341" spans="1:19" x14ac:dyDescent="0.25">
      <c r="A341" t="s">
        <v>391</v>
      </c>
      <c r="B341" t="s">
        <v>392</v>
      </c>
      <c r="C341">
        <v>4.5999999999999996</v>
      </c>
      <c r="D341">
        <v>2580</v>
      </c>
      <c r="E341">
        <v>9</v>
      </c>
      <c r="F341">
        <v>2012</v>
      </c>
      <c r="G341" t="s">
        <v>8</v>
      </c>
      <c r="R341" t="str">
        <v/>
      </c>
      <c r="S341" t="str">
        <v/>
      </c>
    </row>
    <row r="342" spans="1:19" x14ac:dyDescent="0.25">
      <c r="A342" t="s">
        <v>393</v>
      </c>
      <c r="B342" t="s">
        <v>394</v>
      </c>
      <c r="C342">
        <v>4.7</v>
      </c>
      <c r="D342">
        <v>11813</v>
      </c>
      <c r="E342">
        <v>10</v>
      </c>
      <c r="F342">
        <v>2010</v>
      </c>
      <c r="G342" t="s">
        <v>10</v>
      </c>
      <c r="R342" t="str">
        <v/>
      </c>
      <c r="S342" t="str">
        <v/>
      </c>
    </row>
    <row r="343" spans="1:19" x14ac:dyDescent="0.25">
      <c r="A343" t="s">
        <v>393</v>
      </c>
      <c r="B343" t="s">
        <v>394</v>
      </c>
      <c r="C343">
        <v>4.7</v>
      </c>
      <c r="D343">
        <v>11813</v>
      </c>
      <c r="E343">
        <v>10</v>
      </c>
      <c r="F343">
        <v>2011</v>
      </c>
      <c r="G343" t="s">
        <v>10</v>
      </c>
      <c r="R343" t="str">
        <v/>
      </c>
      <c r="S343" t="str">
        <v/>
      </c>
    </row>
    <row r="344" spans="1:19" x14ac:dyDescent="0.25">
      <c r="A344" t="s">
        <v>395</v>
      </c>
      <c r="B344" t="s">
        <v>396</v>
      </c>
      <c r="C344">
        <v>4.7</v>
      </c>
      <c r="D344">
        <v>3536</v>
      </c>
      <c r="E344">
        <v>17</v>
      </c>
      <c r="F344">
        <v>2010</v>
      </c>
      <c r="G344" t="s">
        <v>8</v>
      </c>
      <c r="R344" t="str">
        <v/>
      </c>
      <c r="S344" t="str">
        <v/>
      </c>
    </row>
    <row r="345" spans="1:19" x14ac:dyDescent="0.25">
      <c r="A345" t="s">
        <v>397</v>
      </c>
      <c r="B345" t="s">
        <v>331</v>
      </c>
      <c r="C345">
        <v>4.8</v>
      </c>
      <c r="D345">
        <v>6600</v>
      </c>
      <c r="E345">
        <v>11</v>
      </c>
      <c r="F345">
        <v>2014</v>
      </c>
      <c r="G345" t="s">
        <v>10</v>
      </c>
      <c r="R345" t="str">
        <v/>
      </c>
      <c r="S345" t="str">
        <v/>
      </c>
    </row>
    <row r="346" spans="1:19" x14ac:dyDescent="0.25">
      <c r="A346" t="s">
        <v>398</v>
      </c>
      <c r="B346" t="s">
        <v>399</v>
      </c>
      <c r="C346">
        <v>4.2</v>
      </c>
      <c r="D346">
        <v>1789</v>
      </c>
      <c r="E346">
        <v>14</v>
      </c>
      <c r="F346">
        <v>2012</v>
      </c>
      <c r="G346" t="s">
        <v>8</v>
      </c>
      <c r="R346" t="str">
        <v/>
      </c>
      <c r="S346" t="str">
        <v/>
      </c>
    </row>
    <row r="347" spans="1:19" x14ac:dyDescent="0.25">
      <c r="A347" t="s">
        <v>400</v>
      </c>
      <c r="B347" t="s">
        <v>401</v>
      </c>
      <c r="C347">
        <v>4.8</v>
      </c>
      <c r="D347">
        <v>12361</v>
      </c>
      <c r="E347">
        <v>12</v>
      </c>
      <c r="F347">
        <v>2019</v>
      </c>
      <c r="G347" t="s">
        <v>8</v>
      </c>
      <c r="R347" t="str">
        <v/>
      </c>
      <c r="S347" t="str">
        <v/>
      </c>
    </row>
    <row r="348" spans="1:19" x14ac:dyDescent="0.25">
      <c r="A348" t="s">
        <v>402</v>
      </c>
      <c r="B348" t="s">
        <v>403</v>
      </c>
      <c r="C348">
        <v>4.7</v>
      </c>
      <c r="D348">
        <v>858</v>
      </c>
      <c r="E348">
        <v>53</v>
      </c>
      <c r="F348">
        <v>2009</v>
      </c>
      <c r="G348" t="s">
        <v>8</v>
      </c>
      <c r="R348" t="str">
        <v/>
      </c>
      <c r="S348" t="str">
        <v/>
      </c>
    </row>
    <row r="349" spans="1:19" x14ac:dyDescent="0.25">
      <c r="A349" t="s">
        <v>404</v>
      </c>
      <c r="B349" t="s">
        <v>405</v>
      </c>
      <c r="C349">
        <v>4.5999999999999996</v>
      </c>
      <c r="D349">
        <v>23148</v>
      </c>
      <c r="E349">
        <v>6</v>
      </c>
      <c r="F349">
        <v>2013</v>
      </c>
      <c r="G349" t="s">
        <v>10</v>
      </c>
      <c r="R349" t="str">
        <v/>
      </c>
      <c r="S349" t="str">
        <v/>
      </c>
    </row>
    <row r="350" spans="1:19" x14ac:dyDescent="0.25">
      <c r="A350" t="s">
        <v>404</v>
      </c>
      <c r="B350" t="s">
        <v>405</v>
      </c>
      <c r="C350">
        <v>4.5999999999999996</v>
      </c>
      <c r="D350">
        <v>23148</v>
      </c>
      <c r="E350">
        <v>6</v>
      </c>
      <c r="F350">
        <v>2014</v>
      </c>
      <c r="G350" t="s">
        <v>10</v>
      </c>
      <c r="R350" t="str">
        <v/>
      </c>
      <c r="S350" t="str">
        <v/>
      </c>
    </row>
    <row r="351" spans="1:19" x14ac:dyDescent="0.25">
      <c r="A351" t="s">
        <v>406</v>
      </c>
      <c r="B351" t="s">
        <v>407</v>
      </c>
      <c r="C351">
        <v>4.8</v>
      </c>
      <c r="D351">
        <v>8081</v>
      </c>
      <c r="E351">
        <v>8</v>
      </c>
      <c r="F351">
        <v>2014</v>
      </c>
      <c r="G351" t="s">
        <v>10</v>
      </c>
      <c r="R351" t="str">
        <v/>
      </c>
      <c r="S351" t="str">
        <v/>
      </c>
    </row>
    <row r="352" spans="1:19" x14ac:dyDescent="0.25">
      <c r="A352" t="s">
        <v>406</v>
      </c>
      <c r="B352" t="s">
        <v>407</v>
      </c>
      <c r="C352">
        <v>4.8</v>
      </c>
      <c r="D352">
        <v>8081</v>
      </c>
      <c r="E352">
        <v>8</v>
      </c>
      <c r="F352">
        <v>2015</v>
      </c>
      <c r="G352" t="s">
        <v>10</v>
      </c>
      <c r="R352" t="str">
        <v/>
      </c>
      <c r="S352" t="str">
        <v/>
      </c>
    </row>
    <row r="353" spans="1:19" x14ac:dyDescent="0.25">
      <c r="A353" t="s">
        <v>408</v>
      </c>
      <c r="B353" t="s">
        <v>409</v>
      </c>
      <c r="C353">
        <v>4.8</v>
      </c>
      <c r="D353">
        <v>23358</v>
      </c>
      <c r="E353">
        <v>12</v>
      </c>
      <c r="F353">
        <v>2014</v>
      </c>
      <c r="G353" t="s">
        <v>8</v>
      </c>
      <c r="R353" t="str">
        <v/>
      </c>
      <c r="S353" t="str">
        <v/>
      </c>
    </row>
    <row r="354" spans="1:19" x14ac:dyDescent="0.25">
      <c r="A354" t="s">
        <v>408</v>
      </c>
      <c r="B354" t="s">
        <v>409</v>
      </c>
      <c r="C354">
        <v>4.8</v>
      </c>
      <c r="D354">
        <v>23358</v>
      </c>
      <c r="E354">
        <v>12</v>
      </c>
      <c r="F354">
        <v>2015</v>
      </c>
      <c r="G354" t="s">
        <v>8</v>
      </c>
      <c r="R354" t="str">
        <v/>
      </c>
      <c r="S354" t="str">
        <v/>
      </c>
    </row>
    <row r="355" spans="1:19" x14ac:dyDescent="0.25">
      <c r="A355" t="s">
        <v>410</v>
      </c>
      <c r="B355" t="s">
        <v>151</v>
      </c>
      <c r="C355">
        <v>3.3</v>
      </c>
      <c r="D355">
        <v>9372</v>
      </c>
      <c r="E355">
        <v>12</v>
      </c>
      <c r="F355">
        <v>2012</v>
      </c>
      <c r="G355" t="s">
        <v>10</v>
      </c>
      <c r="R355" t="str">
        <v/>
      </c>
      <c r="S355" t="str">
        <v/>
      </c>
    </row>
    <row r="356" spans="1:19" x14ac:dyDescent="0.25">
      <c r="A356" t="s">
        <v>411</v>
      </c>
      <c r="B356" t="s">
        <v>412</v>
      </c>
      <c r="C356">
        <v>4.7</v>
      </c>
      <c r="D356">
        <v>4633</v>
      </c>
      <c r="E356">
        <v>21</v>
      </c>
      <c r="F356">
        <v>2011</v>
      </c>
      <c r="G356" t="s">
        <v>8</v>
      </c>
      <c r="R356" t="str">
        <v/>
      </c>
      <c r="S356" t="str">
        <v/>
      </c>
    </row>
    <row r="357" spans="1:19" x14ac:dyDescent="0.25">
      <c r="A357" t="s">
        <v>413</v>
      </c>
      <c r="B357" t="s">
        <v>414</v>
      </c>
      <c r="C357">
        <v>4.3</v>
      </c>
      <c r="D357">
        <v>13061</v>
      </c>
      <c r="E357">
        <v>6</v>
      </c>
      <c r="F357">
        <v>2018</v>
      </c>
      <c r="G357" t="s">
        <v>8</v>
      </c>
      <c r="R357" t="str">
        <v/>
      </c>
      <c r="S357" t="str">
        <v/>
      </c>
    </row>
    <row r="358" spans="1:19" x14ac:dyDescent="0.25">
      <c r="A358" t="s">
        <v>413</v>
      </c>
      <c r="B358" t="s">
        <v>414</v>
      </c>
      <c r="C358">
        <v>4.3</v>
      </c>
      <c r="D358">
        <v>13061</v>
      </c>
      <c r="E358">
        <v>6</v>
      </c>
      <c r="F358">
        <v>2019</v>
      </c>
      <c r="G358" t="s">
        <v>8</v>
      </c>
      <c r="R358" t="str">
        <v/>
      </c>
      <c r="S358" t="str">
        <v/>
      </c>
    </row>
    <row r="359" spans="1:19" x14ac:dyDescent="0.25">
      <c r="A359" t="s">
        <v>415</v>
      </c>
      <c r="B359" t="s">
        <v>375</v>
      </c>
      <c r="C359">
        <v>4.3</v>
      </c>
      <c r="D359">
        <v>3523</v>
      </c>
      <c r="E359">
        <v>13</v>
      </c>
      <c r="F359">
        <v>2010</v>
      </c>
      <c r="G359" t="s">
        <v>10</v>
      </c>
      <c r="R359" t="str">
        <v/>
      </c>
      <c r="S359" t="str">
        <v/>
      </c>
    </row>
    <row r="360" spans="1:19" x14ac:dyDescent="0.25">
      <c r="A360" t="s">
        <v>416</v>
      </c>
      <c r="B360" t="s">
        <v>417</v>
      </c>
      <c r="C360">
        <v>4.8</v>
      </c>
      <c r="D360">
        <v>2774</v>
      </c>
      <c r="E360">
        <v>0</v>
      </c>
      <c r="F360">
        <v>2016</v>
      </c>
      <c r="G360" t="s">
        <v>8</v>
      </c>
      <c r="R360" t="str">
        <v/>
      </c>
      <c r="S360" t="str">
        <v/>
      </c>
    </row>
    <row r="361" spans="1:19" x14ac:dyDescent="0.25">
      <c r="A361" t="s">
        <v>418</v>
      </c>
      <c r="B361" t="s">
        <v>419</v>
      </c>
      <c r="C361">
        <v>4.4000000000000004</v>
      </c>
      <c r="D361">
        <v>440</v>
      </c>
      <c r="E361">
        <v>11</v>
      </c>
      <c r="F361">
        <v>2010</v>
      </c>
      <c r="G361" t="s">
        <v>8</v>
      </c>
      <c r="R361" t="str">
        <v/>
      </c>
      <c r="S361" t="str">
        <v/>
      </c>
    </row>
    <row r="362" spans="1:19" x14ac:dyDescent="0.25">
      <c r="A362" t="s">
        <v>420</v>
      </c>
      <c r="B362" t="s">
        <v>421</v>
      </c>
      <c r="C362">
        <v>4.8</v>
      </c>
      <c r="D362">
        <v>8922</v>
      </c>
      <c r="E362">
        <v>9</v>
      </c>
      <c r="F362">
        <v>2013</v>
      </c>
      <c r="G362" t="s">
        <v>10</v>
      </c>
      <c r="R362" t="str">
        <v/>
      </c>
      <c r="S362" t="str">
        <v>The Constitution of the United States</v>
      </c>
    </row>
    <row r="363" spans="1:19" x14ac:dyDescent="0.25">
      <c r="A363" t="s">
        <v>420</v>
      </c>
      <c r="B363" t="s">
        <v>421</v>
      </c>
      <c r="C363">
        <v>4.8</v>
      </c>
      <c r="D363">
        <v>8922</v>
      </c>
      <c r="E363">
        <v>9</v>
      </c>
      <c r="F363">
        <v>2014</v>
      </c>
      <c r="G363" t="s">
        <v>10</v>
      </c>
      <c r="R363" t="str">
        <v/>
      </c>
      <c r="S363" t="str">
        <v/>
      </c>
    </row>
    <row r="364" spans="1:19" x14ac:dyDescent="0.25">
      <c r="A364" t="s">
        <v>420</v>
      </c>
      <c r="B364" t="s">
        <v>421</v>
      </c>
      <c r="C364">
        <v>4.8</v>
      </c>
      <c r="D364">
        <v>8922</v>
      </c>
      <c r="E364">
        <v>9</v>
      </c>
      <c r="F364">
        <v>2015</v>
      </c>
      <c r="G364" t="s">
        <v>10</v>
      </c>
      <c r="R364" t="str">
        <v/>
      </c>
      <c r="S364" t="str">
        <v/>
      </c>
    </row>
    <row r="365" spans="1:19" x14ac:dyDescent="0.25">
      <c r="A365" t="s">
        <v>422</v>
      </c>
      <c r="B365" t="s">
        <v>423</v>
      </c>
      <c r="C365">
        <v>4.0999999999999996</v>
      </c>
      <c r="D365">
        <v>2023</v>
      </c>
      <c r="E365">
        <v>15</v>
      </c>
      <c r="F365">
        <v>2011</v>
      </c>
      <c r="G365" t="s">
        <v>8</v>
      </c>
      <c r="R365" t="str">
        <v/>
      </c>
      <c r="S365" t="str">
        <v/>
      </c>
    </row>
    <row r="366" spans="1:19" x14ac:dyDescent="0.25">
      <c r="A366" t="s">
        <v>424</v>
      </c>
      <c r="B366" t="s">
        <v>425</v>
      </c>
      <c r="C366">
        <v>4</v>
      </c>
      <c r="D366">
        <v>1859</v>
      </c>
      <c r="E366">
        <v>11</v>
      </c>
      <c r="F366">
        <v>2009</v>
      </c>
      <c r="G366" t="s">
        <v>10</v>
      </c>
      <c r="R366" t="str">
        <v/>
      </c>
      <c r="S366" t="str">
        <v/>
      </c>
    </row>
    <row r="367" spans="1:19" x14ac:dyDescent="0.25">
      <c r="A367" t="s">
        <v>426</v>
      </c>
      <c r="B367" t="s">
        <v>287</v>
      </c>
      <c r="C367">
        <v>4.7</v>
      </c>
      <c r="D367">
        <v>50482</v>
      </c>
      <c r="E367">
        <v>13</v>
      </c>
      <c r="F367">
        <v>2012</v>
      </c>
      <c r="G367" t="s">
        <v>10</v>
      </c>
      <c r="R367" t="str">
        <v/>
      </c>
      <c r="S367" t="str">
        <v/>
      </c>
    </row>
    <row r="368" spans="1:19" x14ac:dyDescent="0.25">
      <c r="A368" t="s">
        <v>426</v>
      </c>
      <c r="B368" t="s">
        <v>287</v>
      </c>
      <c r="C368">
        <v>4.7</v>
      </c>
      <c r="D368">
        <v>50482</v>
      </c>
      <c r="E368">
        <v>13</v>
      </c>
      <c r="F368">
        <v>2013</v>
      </c>
      <c r="G368" t="s">
        <v>10</v>
      </c>
      <c r="R368" t="str">
        <v/>
      </c>
      <c r="S368" t="str">
        <v/>
      </c>
    </row>
    <row r="369" spans="1:19" x14ac:dyDescent="0.25">
      <c r="A369" t="s">
        <v>426</v>
      </c>
      <c r="B369" t="s">
        <v>287</v>
      </c>
      <c r="C369">
        <v>4.7</v>
      </c>
      <c r="D369">
        <v>50482</v>
      </c>
      <c r="E369">
        <v>7</v>
      </c>
      <c r="F369">
        <v>2014</v>
      </c>
      <c r="G369" t="s">
        <v>10</v>
      </c>
      <c r="R369" t="str">
        <v/>
      </c>
      <c r="S369" t="str">
        <v/>
      </c>
    </row>
    <row r="370" spans="1:19" x14ac:dyDescent="0.25">
      <c r="A370" t="s">
        <v>426</v>
      </c>
      <c r="B370" t="s">
        <v>287</v>
      </c>
      <c r="C370">
        <v>4.7</v>
      </c>
      <c r="D370">
        <v>50482</v>
      </c>
      <c r="E370">
        <v>13</v>
      </c>
      <c r="F370">
        <v>2014</v>
      </c>
      <c r="G370" t="s">
        <v>10</v>
      </c>
      <c r="R370" t="str">
        <v/>
      </c>
      <c r="S370" t="str">
        <v/>
      </c>
    </row>
    <row r="371" spans="1:19" x14ac:dyDescent="0.25">
      <c r="A371" t="s">
        <v>427</v>
      </c>
      <c r="B371" t="s">
        <v>428</v>
      </c>
      <c r="C371">
        <v>4.5999999999999996</v>
      </c>
      <c r="D371">
        <v>3207</v>
      </c>
      <c r="E371">
        <v>6</v>
      </c>
      <c r="F371">
        <v>2009</v>
      </c>
      <c r="G371" t="s">
        <v>8</v>
      </c>
      <c r="R371" t="str">
        <v/>
      </c>
      <c r="S371" t="str">
        <v/>
      </c>
    </row>
    <row r="372" spans="1:19" x14ac:dyDescent="0.25">
      <c r="A372" t="s">
        <v>427</v>
      </c>
      <c r="B372" t="s">
        <v>428</v>
      </c>
      <c r="C372">
        <v>4.5999999999999996</v>
      </c>
      <c r="D372">
        <v>3207</v>
      </c>
      <c r="E372">
        <v>6</v>
      </c>
      <c r="F372">
        <v>2010</v>
      </c>
      <c r="G372" t="s">
        <v>8</v>
      </c>
      <c r="R372" t="str">
        <v/>
      </c>
      <c r="S372" t="str">
        <v/>
      </c>
    </row>
    <row r="373" spans="1:19" x14ac:dyDescent="0.25">
      <c r="A373" t="s">
        <v>427</v>
      </c>
      <c r="B373" t="s">
        <v>428</v>
      </c>
      <c r="C373">
        <v>4.5999999999999996</v>
      </c>
      <c r="D373">
        <v>3207</v>
      </c>
      <c r="E373">
        <v>6</v>
      </c>
      <c r="F373">
        <v>2011</v>
      </c>
      <c r="G373" t="s">
        <v>8</v>
      </c>
      <c r="R373" t="str">
        <v/>
      </c>
      <c r="S373" t="str">
        <v/>
      </c>
    </row>
    <row r="374" spans="1:19" x14ac:dyDescent="0.25">
      <c r="A374" t="s">
        <v>427</v>
      </c>
      <c r="B374" t="s">
        <v>428</v>
      </c>
      <c r="C374">
        <v>4.5999999999999996</v>
      </c>
      <c r="D374">
        <v>3207</v>
      </c>
      <c r="E374">
        <v>6</v>
      </c>
      <c r="F374">
        <v>2012</v>
      </c>
      <c r="G374" t="s">
        <v>8</v>
      </c>
      <c r="R374" t="str">
        <v/>
      </c>
      <c r="S374" t="str">
        <v/>
      </c>
    </row>
    <row r="375" spans="1:19" x14ac:dyDescent="0.25">
      <c r="A375" t="s">
        <v>427</v>
      </c>
      <c r="B375" t="s">
        <v>428</v>
      </c>
      <c r="C375">
        <v>4.5999999999999996</v>
      </c>
      <c r="D375">
        <v>3207</v>
      </c>
      <c r="E375">
        <v>6</v>
      </c>
      <c r="F375">
        <v>2013</v>
      </c>
      <c r="G375" t="s">
        <v>8</v>
      </c>
      <c r="R375" t="str">
        <v/>
      </c>
      <c r="S375" t="str">
        <v/>
      </c>
    </row>
    <row r="376" spans="1:19" x14ac:dyDescent="0.25">
      <c r="A376" t="s">
        <v>429</v>
      </c>
      <c r="B376" t="s">
        <v>383</v>
      </c>
      <c r="C376">
        <v>4.5999999999999996</v>
      </c>
      <c r="D376">
        <v>803</v>
      </c>
      <c r="E376">
        <v>9</v>
      </c>
      <c r="F376">
        <v>2009</v>
      </c>
      <c r="G376" t="s">
        <v>8</v>
      </c>
      <c r="R376" t="str">
        <v/>
      </c>
      <c r="S376" t="str">
        <v/>
      </c>
    </row>
    <row r="377" spans="1:19" x14ac:dyDescent="0.25">
      <c r="A377" t="s">
        <v>430</v>
      </c>
      <c r="B377" t="s">
        <v>431</v>
      </c>
      <c r="C377">
        <v>4.7</v>
      </c>
      <c r="D377">
        <v>23308</v>
      </c>
      <c r="E377">
        <v>6</v>
      </c>
      <c r="F377">
        <v>2013</v>
      </c>
      <c r="G377" t="s">
        <v>8</v>
      </c>
      <c r="R377" t="str">
        <v/>
      </c>
      <c r="S377" t="str">
        <v/>
      </c>
    </row>
    <row r="378" spans="1:19" x14ac:dyDescent="0.25">
      <c r="A378" t="s">
        <v>430</v>
      </c>
      <c r="B378" t="s">
        <v>431</v>
      </c>
      <c r="C378">
        <v>4.7</v>
      </c>
      <c r="D378">
        <v>23308</v>
      </c>
      <c r="E378">
        <v>6</v>
      </c>
      <c r="F378">
        <v>2015</v>
      </c>
      <c r="G378" t="s">
        <v>8</v>
      </c>
      <c r="R378" t="str">
        <v/>
      </c>
      <c r="S378" t="str">
        <v/>
      </c>
    </row>
    <row r="379" spans="1:19" x14ac:dyDescent="0.25">
      <c r="A379" t="s">
        <v>430</v>
      </c>
      <c r="B379" t="s">
        <v>431</v>
      </c>
      <c r="C379">
        <v>4.7</v>
      </c>
      <c r="D379">
        <v>23308</v>
      </c>
      <c r="E379">
        <v>6</v>
      </c>
      <c r="F379">
        <v>2016</v>
      </c>
      <c r="G379" t="s">
        <v>8</v>
      </c>
      <c r="R379" t="str">
        <v/>
      </c>
      <c r="S379" t="str">
        <v/>
      </c>
    </row>
    <row r="380" spans="1:19" x14ac:dyDescent="0.25">
      <c r="A380" t="s">
        <v>430</v>
      </c>
      <c r="B380" t="s">
        <v>431</v>
      </c>
      <c r="C380">
        <v>4.7</v>
      </c>
      <c r="D380">
        <v>23308</v>
      </c>
      <c r="E380">
        <v>6</v>
      </c>
      <c r="F380">
        <v>2017</v>
      </c>
      <c r="G380" t="s">
        <v>8</v>
      </c>
      <c r="R380" t="str">
        <v/>
      </c>
      <c r="S380" t="str">
        <v/>
      </c>
    </row>
    <row r="381" spans="1:19" x14ac:dyDescent="0.25">
      <c r="A381" t="s">
        <v>430</v>
      </c>
      <c r="B381" t="s">
        <v>431</v>
      </c>
      <c r="C381">
        <v>4.7</v>
      </c>
      <c r="D381">
        <v>23308</v>
      </c>
      <c r="E381">
        <v>6</v>
      </c>
      <c r="F381">
        <v>2018</v>
      </c>
      <c r="G381" t="s">
        <v>8</v>
      </c>
      <c r="R381" t="str">
        <v/>
      </c>
      <c r="S381" t="str">
        <v/>
      </c>
    </row>
    <row r="382" spans="1:19" x14ac:dyDescent="0.25">
      <c r="A382" t="s">
        <v>430</v>
      </c>
      <c r="B382" t="s">
        <v>431</v>
      </c>
      <c r="C382">
        <v>4.7</v>
      </c>
      <c r="D382">
        <v>23308</v>
      </c>
      <c r="E382">
        <v>6</v>
      </c>
      <c r="F382">
        <v>2019</v>
      </c>
      <c r="G382" t="s">
        <v>8</v>
      </c>
      <c r="R382" t="str">
        <v/>
      </c>
      <c r="S382" t="str">
        <v/>
      </c>
    </row>
    <row r="383" spans="1:19" x14ac:dyDescent="0.25">
      <c r="A383" t="s">
        <v>432</v>
      </c>
      <c r="B383" t="s">
        <v>78</v>
      </c>
      <c r="C383">
        <v>4.8</v>
      </c>
      <c r="D383">
        <v>5836</v>
      </c>
      <c r="E383">
        <v>0</v>
      </c>
      <c r="F383">
        <v>2017</v>
      </c>
      <c r="G383" t="s">
        <v>10</v>
      </c>
      <c r="R383" t="str">
        <v/>
      </c>
      <c r="S383" t="str">
        <v/>
      </c>
    </row>
    <row r="384" spans="1:19" x14ac:dyDescent="0.25">
      <c r="A384" t="s">
        <v>433</v>
      </c>
      <c r="B384" t="s">
        <v>434</v>
      </c>
      <c r="C384">
        <v>4.0999999999999996</v>
      </c>
      <c r="D384">
        <v>79446</v>
      </c>
      <c r="E384">
        <v>18</v>
      </c>
      <c r="F384">
        <v>2015</v>
      </c>
      <c r="G384" t="s">
        <v>10</v>
      </c>
      <c r="R384" t="str">
        <v/>
      </c>
      <c r="S384" t="str">
        <v/>
      </c>
    </row>
    <row r="385" spans="1:19" x14ac:dyDescent="0.25">
      <c r="A385" t="s">
        <v>433</v>
      </c>
      <c r="B385" t="s">
        <v>434</v>
      </c>
      <c r="C385">
        <v>4.0999999999999996</v>
      </c>
      <c r="D385">
        <v>79446</v>
      </c>
      <c r="E385">
        <v>7</v>
      </c>
      <c r="F385">
        <v>2016</v>
      </c>
      <c r="G385" t="s">
        <v>10</v>
      </c>
      <c r="R385" t="str">
        <v/>
      </c>
      <c r="S385" t="str">
        <v>The Getaway</v>
      </c>
    </row>
    <row r="386" spans="1:19" x14ac:dyDescent="0.25">
      <c r="A386" t="s">
        <v>435</v>
      </c>
      <c r="B386" t="s">
        <v>436</v>
      </c>
      <c r="C386">
        <v>4.7</v>
      </c>
      <c r="D386">
        <v>7747</v>
      </c>
      <c r="E386">
        <v>14</v>
      </c>
      <c r="F386">
        <v>2010</v>
      </c>
      <c r="G386" t="s">
        <v>10</v>
      </c>
      <c r="R386" t="str">
        <v/>
      </c>
      <c r="S386" t="str">
        <v/>
      </c>
    </row>
    <row r="387" spans="1:19" x14ac:dyDescent="0.25">
      <c r="A387" t="s">
        <v>435</v>
      </c>
      <c r="B387" t="s">
        <v>436</v>
      </c>
      <c r="C387">
        <v>4.7</v>
      </c>
      <c r="D387">
        <v>7747</v>
      </c>
      <c r="E387">
        <v>14</v>
      </c>
      <c r="F387">
        <v>2011</v>
      </c>
      <c r="G387" t="s">
        <v>10</v>
      </c>
      <c r="R387" t="str">
        <v/>
      </c>
      <c r="S387" t="str">
        <v/>
      </c>
    </row>
    <row r="388" spans="1:19" x14ac:dyDescent="0.25">
      <c r="A388" t="s">
        <v>437</v>
      </c>
      <c r="B388" t="s">
        <v>436</v>
      </c>
      <c r="C388">
        <v>4.7</v>
      </c>
      <c r="D388">
        <v>7251</v>
      </c>
      <c r="E388">
        <v>9</v>
      </c>
      <c r="F388">
        <v>2010</v>
      </c>
      <c r="G388" t="s">
        <v>10</v>
      </c>
      <c r="R388" t="str">
        <v/>
      </c>
      <c r="S388" t="str">
        <v/>
      </c>
    </row>
    <row r="389" spans="1:19" x14ac:dyDescent="0.25">
      <c r="A389" t="s">
        <v>438</v>
      </c>
      <c r="B389" t="s">
        <v>436</v>
      </c>
      <c r="C389">
        <v>4.7</v>
      </c>
      <c r="D389">
        <v>7251</v>
      </c>
      <c r="E389">
        <v>16</v>
      </c>
      <c r="F389">
        <v>2009</v>
      </c>
      <c r="G389" t="s">
        <v>10</v>
      </c>
      <c r="R389" t="str">
        <v/>
      </c>
      <c r="S389" t="str">
        <v/>
      </c>
    </row>
    <row r="390" spans="1:19" x14ac:dyDescent="0.25">
      <c r="A390" t="s">
        <v>439</v>
      </c>
      <c r="B390" t="s">
        <v>436</v>
      </c>
      <c r="C390">
        <v>4.4000000000000004</v>
      </c>
      <c r="D390">
        <v>10559</v>
      </c>
      <c r="E390">
        <v>2</v>
      </c>
      <c r="F390">
        <v>2009</v>
      </c>
      <c r="G390" t="s">
        <v>10</v>
      </c>
      <c r="R390" t="str">
        <v/>
      </c>
      <c r="S390" t="str">
        <v/>
      </c>
    </row>
    <row r="391" spans="1:19" x14ac:dyDescent="0.25">
      <c r="A391" t="s">
        <v>439</v>
      </c>
      <c r="B391" t="s">
        <v>436</v>
      </c>
      <c r="C391">
        <v>4.4000000000000004</v>
      </c>
      <c r="D391">
        <v>10559</v>
      </c>
      <c r="E391">
        <v>2</v>
      </c>
      <c r="F391">
        <v>2010</v>
      </c>
      <c r="G391" t="s">
        <v>10</v>
      </c>
      <c r="R391" t="str">
        <v/>
      </c>
      <c r="S391" t="str">
        <v/>
      </c>
    </row>
    <row r="392" spans="1:19" x14ac:dyDescent="0.25">
      <c r="A392" t="s">
        <v>440</v>
      </c>
      <c r="B392" t="s">
        <v>441</v>
      </c>
      <c r="C392">
        <v>4.8</v>
      </c>
      <c r="D392">
        <v>5249</v>
      </c>
      <c r="E392">
        <v>5</v>
      </c>
      <c r="F392">
        <v>2016</v>
      </c>
      <c r="G392" t="s">
        <v>10</v>
      </c>
      <c r="R392" t="str">
        <v/>
      </c>
      <c r="S392" t="str">
        <v/>
      </c>
    </row>
    <row r="393" spans="1:19" x14ac:dyDescent="0.25">
      <c r="A393" t="s">
        <v>440</v>
      </c>
      <c r="B393" t="s">
        <v>441</v>
      </c>
      <c r="C393">
        <v>4.8</v>
      </c>
      <c r="D393">
        <v>5249</v>
      </c>
      <c r="E393">
        <v>5</v>
      </c>
      <c r="F393">
        <v>2017</v>
      </c>
      <c r="G393" t="s">
        <v>10</v>
      </c>
      <c r="R393" t="str">
        <v/>
      </c>
      <c r="S393" t="str">
        <v/>
      </c>
    </row>
    <row r="394" spans="1:19" x14ac:dyDescent="0.25">
      <c r="A394" t="s">
        <v>442</v>
      </c>
      <c r="B394" t="s">
        <v>443</v>
      </c>
      <c r="C394">
        <v>3.9</v>
      </c>
      <c r="D394">
        <v>33844</v>
      </c>
      <c r="E394">
        <v>20</v>
      </c>
      <c r="F394">
        <v>2013</v>
      </c>
      <c r="G394" t="s">
        <v>10</v>
      </c>
      <c r="R394" t="str">
        <v/>
      </c>
      <c r="S394" t="str">
        <v/>
      </c>
    </row>
    <row r="395" spans="1:19" x14ac:dyDescent="0.25">
      <c r="A395" t="s">
        <v>442</v>
      </c>
      <c r="B395" t="s">
        <v>443</v>
      </c>
      <c r="C395">
        <v>3.9</v>
      </c>
      <c r="D395">
        <v>33844</v>
      </c>
      <c r="E395">
        <v>20</v>
      </c>
      <c r="F395">
        <v>2014</v>
      </c>
      <c r="G395" t="s">
        <v>10</v>
      </c>
      <c r="R395" t="str">
        <v/>
      </c>
      <c r="S395" t="str">
        <v/>
      </c>
    </row>
    <row r="396" spans="1:19" x14ac:dyDescent="0.25">
      <c r="A396" t="s">
        <v>444</v>
      </c>
      <c r="B396" t="s">
        <v>445</v>
      </c>
      <c r="C396">
        <v>4.4000000000000004</v>
      </c>
      <c r="D396">
        <v>11616</v>
      </c>
      <c r="E396">
        <v>7</v>
      </c>
      <c r="F396">
        <v>2012</v>
      </c>
      <c r="G396" t="s">
        <v>10</v>
      </c>
      <c r="R396" t="str">
        <v/>
      </c>
      <c r="S396" t="str">
        <v/>
      </c>
    </row>
    <row r="397" spans="1:19" x14ac:dyDescent="0.25">
      <c r="A397" t="s">
        <v>444</v>
      </c>
      <c r="B397" t="s">
        <v>445</v>
      </c>
      <c r="C397">
        <v>4.4000000000000004</v>
      </c>
      <c r="D397">
        <v>11616</v>
      </c>
      <c r="E397">
        <v>7</v>
      </c>
      <c r="F397">
        <v>2013</v>
      </c>
      <c r="G397" t="s">
        <v>10</v>
      </c>
      <c r="R397" t="str">
        <v/>
      </c>
      <c r="S397" t="str">
        <v/>
      </c>
    </row>
    <row r="398" spans="1:19" x14ac:dyDescent="0.25">
      <c r="A398" t="s">
        <v>444</v>
      </c>
      <c r="B398" t="s">
        <v>445</v>
      </c>
      <c r="C398">
        <v>4.4000000000000004</v>
      </c>
      <c r="D398">
        <v>11616</v>
      </c>
      <c r="E398">
        <v>7</v>
      </c>
      <c r="F398">
        <v>2014</v>
      </c>
      <c r="G398" t="s">
        <v>10</v>
      </c>
      <c r="R398" t="str">
        <v/>
      </c>
      <c r="S398" t="str">
        <v/>
      </c>
    </row>
    <row r="399" spans="1:19" x14ac:dyDescent="0.25">
      <c r="A399" t="s">
        <v>446</v>
      </c>
      <c r="B399" t="s">
        <v>375</v>
      </c>
      <c r="C399">
        <v>4.5</v>
      </c>
      <c r="D399">
        <v>13609</v>
      </c>
      <c r="E399">
        <v>14</v>
      </c>
      <c r="F399">
        <v>2019</v>
      </c>
      <c r="G399" t="s">
        <v>10</v>
      </c>
      <c r="R399" t="str">
        <v/>
      </c>
      <c r="S399" t="str">
        <v/>
      </c>
    </row>
    <row r="400" spans="1:19" x14ac:dyDescent="0.25">
      <c r="A400" t="s">
        <v>447</v>
      </c>
      <c r="B400" t="s">
        <v>448</v>
      </c>
      <c r="C400">
        <v>4.7</v>
      </c>
      <c r="D400">
        <v>8587</v>
      </c>
      <c r="E400">
        <v>10</v>
      </c>
      <c r="F400">
        <v>2009</v>
      </c>
      <c r="G400" t="s">
        <v>10</v>
      </c>
      <c r="R400" t="str">
        <v/>
      </c>
      <c r="S400" t="str">
        <v/>
      </c>
    </row>
    <row r="401" spans="1:19" x14ac:dyDescent="0.25">
      <c r="A401" t="s">
        <v>449</v>
      </c>
      <c r="B401" t="s">
        <v>450</v>
      </c>
      <c r="C401">
        <v>4.3</v>
      </c>
      <c r="D401">
        <v>29442</v>
      </c>
      <c r="E401">
        <v>7</v>
      </c>
      <c r="F401">
        <v>2017</v>
      </c>
      <c r="G401" t="s">
        <v>10</v>
      </c>
      <c r="R401" t="str">
        <v/>
      </c>
      <c r="S401" t="str">
        <v/>
      </c>
    </row>
    <row r="402" spans="1:19" x14ac:dyDescent="0.25">
      <c r="A402" t="s">
        <v>451</v>
      </c>
      <c r="B402" t="s">
        <v>452</v>
      </c>
      <c r="C402">
        <v>4.5999999999999996</v>
      </c>
      <c r="D402">
        <v>11098</v>
      </c>
      <c r="E402">
        <v>13</v>
      </c>
      <c r="F402">
        <v>2012</v>
      </c>
      <c r="G402" t="s">
        <v>10</v>
      </c>
      <c r="R402" t="str">
        <v/>
      </c>
      <c r="S402" t="str">
        <v/>
      </c>
    </row>
    <row r="403" spans="1:19" x14ac:dyDescent="0.25">
      <c r="A403" t="s">
        <v>453</v>
      </c>
      <c r="B403" t="s">
        <v>454</v>
      </c>
      <c r="C403">
        <v>4.8</v>
      </c>
      <c r="D403">
        <v>9947</v>
      </c>
      <c r="E403">
        <v>11</v>
      </c>
      <c r="F403">
        <v>2018</v>
      </c>
      <c r="G403" t="s">
        <v>10</v>
      </c>
      <c r="R403" t="str">
        <v/>
      </c>
      <c r="S403" t="str">
        <v/>
      </c>
    </row>
    <row r="404" spans="1:19" x14ac:dyDescent="0.25">
      <c r="A404" t="s">
        <v>455</v>
      </c>
      <c r="B404" t="s">
        <v>456</v>
      </c>
      <c r="C404">
        <v>4.8</v>
      </c>
      <c r="D404">
        <v>13871</v>
      </c>
      <c r="E404">
        <v>6</v>
      </c>
      <c r="F404">
        <v>2009</v>
      </c>
      <c r="G404" t="s">
        <v>10</v>
      </c>
      <c r="R404" t="str">
        <v/>
      </c>
      <c r="S404" t="str">
        <v/>
      </c>
    </row>
    <row r="405" spans="1:19" x14ac:dyDescent="0.25">
      <c r="A405" t="s">
        <v>455</v>
      </c>
      <c r="B405" t="s">
        <v>456</v>
      </c>
      <c r="C405">
        <v>4.8</v>
      </c>
      <c r="D405">
        <v>13871</v>
      </c>
      <c r="E405">
        <v>6</v>
      </c>
      <c r="F405">
        <v>2010</v>
      </c>
      <c r="G405" t="s">
        <v>10</v>
      </c>
      <c r="R405" t="str">
        <v/>
      </c>
      <c r="S405" t="str">
        <v/>
      </c>
    </row>
    <row r="406" spans="1:19" x14ac:dyDescent="0.25">
      <c r="A406" t="s">
        <v>455</v>
      </c>
      <c r="B406" t="s">
        <v>456</v>
      </c>
      <c r="C406">
        <v>4.8</v>
      </c>
      <c r="D406">
        <v>13871</v>
      </c>
      <c r="E406">
        <v>8</v>
      </c>
      <c r="F406">
        <v>2011</v>
      </c>
      <c r="G406" t="s">
        <v>10</v>
      </c>
      <c r="R406" t="str">
        <v/>
      </c>
      <c r="S406" t="str">
        <v/>
      </c>
    </row>
    <row r="407" spans="1:19" x14ac:dyDescent="0.25">
      <c r="A407" t="s">
        <v>455</v>
      </c>
      <c r="B407" t="s">
        <v>456</v>
      </c>
      <c r="C407">
        <v>4.8</v>
      </c>
      <c r="D407">
        <v>13871</v>
      </c>
      <c r="E407">
        <v>7</v>
      </c>
      <c r="F407">
        <v>2011</v>
      </c>
      <c r="G407" t="s">
        <v>10</v>
      </c>
      <c r="R407" t="str">
        <v/>
      </c>
      <c r="S407" t="str">
        <v/>
      </c>
    </row>
    <row r="408" spans="1:19" x14ac:dyDescent="0.25">
      <c r="A408" t="s">
        <v>457</v>
      </c>
      <c r="B408" t="s">
        <v>331</v>
      </c>
      <c r="C408">
        <v>4.8</v>
      </c>
      <c r="D408">
        <v>6982</v>
      </c>
      <c r="E408">
        <v>14</v>
      </c>
      <c r="F408">
        <v>2013</v>
      </c>
      <c r="G408" t="s">
        <v>10</v>
      </c>
      <c r="R408" t="str">
        <v/>
      </c>
      <c r="S408" t="str">
        <v/>
      </c>
    </row>
    <row r="409" spans="1:19" x14ac:dyDescent="0.25">
      <c r="A409" t="s">
        <v>458</v>
      </c>
      <c r="B409" t="s">
        <v>86</v>
      </c>
      <c r="C409">
        <v>4.7</v>
      </c>
      <c r="D409">
        <v>32122</v>
      </c>
      <c r="E409">
        <v>14</v>
      </c>
      <c r="F409">
        <v>2010</v>
      </c>
      <c r="G409" t="s">
        <v>10</v>
      </c>
      <c r="R409" t="str">
        <v/>
      </c>
      <c r="S409" t="str">
        <v/>
      </c>
    </row>
    <row r="410" spans="1:19" x14ac:dyDescent="0.25">
      <c r="A410" t="s">
        <v>459</v>
      </c>
      <c r="B410" t="s">
        <v>86</v>
      </c>
      <c r="C410">
        <v>4.7</v>
      </c>
      <c r="D410">
        <v>32122</v>
      </c>
      <c r="E410">
        <v>8</v>
      </c>
      <c r="F410">
        <v>2011</v>
      </c>
      <c r="G410" t="s">
        <v>10</v>
      </c>
      <c r="R410" t="str">
        <v/>
      </c>
      <c r="S410" t="str">
        <v/>
      </c>
    </row>
    <row r="411" spans="1:19" x14ac:dyDescent="0.25">
      <c r="A411" t="s">
        <v>459</v>
      </c>
      <c r="B411" t="s">
        <v>86</v>
      </c>
      <c r="C411">
        <v>4.7</v>
      </c>
      <c r="D411">
        <v>32122</v>
      </c>
      <c r="E411">
        <v>8</v>
      </c>
      <c r="F411">
        <v>2012</v>
      </c>
      <c r="G411" t="s">
        <v>10</v>
      </c>
      <c r="R411" t="str">
        <v/>
      </c>
      <c r="S411" t="str">
        <v/>
      </c>
    </row>
    <row r="412" spans="1:19" x14ac:dyDescent="0.25">
      <c r="A412" t="s">
        <v>460</v>
      </c>
      <c r="B412" t="s">
        <v>86</v>
      </c>
      <c r="C412">
        <v>4.8</v>
      </c>
      <c r="D412">
        <v>16949</v>
      </c>
      <c r="E412">
        <v>30</v>
      </c>
      <c r="F412">
        <v>2011</v>
      </c>
      <c r="G412" t="s">
        <v>10</v>
      </c>
      <c r="R412" t="str">
        <v/>
      </c>
      <c r="S412" t="str">
        <v/>
      </c>
    </row>
    <row r="413" spans="1:19" x14ac:dyDescent="0.25">
      <c r="A413" t="s">
        <v>460</v>
      </c>
      <c r="B413" t="s">
        <v>86</v>
      </c>
      <c r="C413">
        <v>4.8</v>
      </c>
      <c r="D413">
        <v>16949</v>
      </c>
      <c r="E413">
        <v>30</v>
      </c>
      <c r="F413">
        <v>2012</v>
      </c>
      <c r="G413" t="s">
        <v>10</v>
      </c>
      <c r="R413" t="str">
        <v/>
      </c>
      <c r="S413" t="str">
        <v/>
      </c>
    </row>
    <row r="414" spans="1:19" x14ac:dyDescent="0.25">
      <c r="A414" t="s">
        <v>461</v>
      </c>
      <c r="B414" t="s">
        <v>462</v>
      </c>
      <c r="C414">
        <v>4.7</v>
      </c>
      <c r="D414">
        <v>9289</v>
      </c>
      <c r="E414">
        <v>13</v>
      </c>
      <c r="F414">
        <v>2010</v>
      </c>
      <c r="G414" t="s">
        <v>8</v>
      </c>
      <c r="R414" t="str">
        <v/>
      </c>
      <c r="S414" t="str">
        <v/>
      </c>
    </row>
    <row r="415" spans="1:19" x14ac:dyDescent="0.25">
      <c r="A415" t="s">
        <v>461</v>
      </c>
      <c r="B415" t="s">
        <v>462</v>
      </c>
      <c r="C415">
        <v>4.7</v>
      </c>
      <c r="D415">
        <v>9289</v>
      </c>
      <c r="E415">
        <v>9</v>
      </c>
      <c r="F415">
        <v>2011</v>
      </c>
      <c r="G415" t="s">
        <v>8</v>
      </c>
      <c r="R415" t="str">
        <v/>
      </c>
      <c r="S415" t="str">
        <v/>
      </c>
    </row>
    <row r="416" spans="1:19" x14ac:dyDescent="0.25">
      <c r="A416" t="s">
        <v>461</v>
      </c>
      <c r="B416" t="s">
        <v>462</v>
      </c>
      <c r="C416">
        <v>4.7</v>
      </c>
      <c r="D416">
        <v>9289</v>
      </c>
      <c r="E416">
        <v>9</v>
      </c>
      <c r="F416">
        <v>2012</v>
      </c>
      <c r="G416" t="s">
        <v>8</v>
      </c>
      <c r="R416" t="str">
        <v/>
      </c>
      <c r="S416" t="str">
        <v/>
      </c>
    </row>
    <row r="417" spans="1:19" x14ac:dyDescent="0.25">
      <c r="A417" t="s">
        <v>463</v>
      </c>
      <c r="B417" t="s">
        <v>464</v>
      </c>
      <c r="C417">
        <v>4.3</v>
      </c>
      <c r="D417">
        <v>7368</v>
      </c>
      <c r="E417">
        <v>7</v>
      </c>
      <c r="F417">
        <v>2017</v>
      </c>
      <c r="G417" t="s">
        <v>8</v>
      </c>
      <c r="R417" t="str">
        <v/>
      </c>
      <c r="S417" t="str">
        <v/>
      </c>
    </row>
    <row r="418" spans="1:19" x14ac:dyDescent="0.25">
      <c r="A418" t="s">
        <v>463</v>
      </c>
      <c r="B418" t="s">
        <v>464</v>
      </c>
      <c r="C418">
        <v>4.3</v>
      </c>
      <c r="D418">
        <v>7368</v>
      </c>
      <c r="E418">
        <v>7</v>
      </c>
      <c r="F418">
        <v>2018</v>
      </c>
      <c r="G418" t="s">
        <v>8</v>
      </c>
      <c r="R418" t="str">
        <v/>
      </c>
      <c r="S418" t="str">
        <v/>
      </c>
    </row>
    <row r="419" spans="1:19" x14ac:dyDescent="0.25">
      <c r="A419" t="s">
        <v>465</v>
      </c>
      <c r="B419" t="s">
        <v>466</v>
      </c>
      <c r="C419">
        <v>4.7</v>
      </c>
      <c r="D419">
        <v>4028</v>
      </c>
      <c r="E419">
        <v>9</v>
      </c>
      <c r="F419">
        <v>2009</v>
      </c>
      <c r="G419" t="s">
        <v>8</v>
      </c>
      <c r="R419" t="str">
        <v/>
      </c>
      <c r="S419" t="str">
        <v/>
      </c>
    </row>
    <row r="420" spans="1:19" x14ac:dyDescent="0.25">
      <c r="A420" t="s">
        <v>467</v>
      </c>
      <c r="B420" t="s">
        <v>331</v>
      </c>
      <c r="C420">
        <v>4.8</v>
      </c>
      <c r="D420">
        <v>4628</v>
      </c>
      <c r="E420">
        <v>7</v>
      </c>
      <c r="F420">
        <v>2009</v>
      </c>
      <c r="G420" t="s">
        <v>10</v>
      </c>
      <c r="R420" t="str">
        <v/>
      </c>
      <c r="S420" t="str">
        <v/>
      </c>
    </row>
    <row r="421" spans="1:19" x14ac:dyDescent="0.25">
      <c r="A421" t="s">
        <v>467</v>
      </c>
      <c r="B421" t="s">
        <v>331</v>
      </c>
      <c r="C421">
        <v>4.8</v>
      </c>
      <c r="D421">
        <v>4628</v>
      </c>
      <c r="E421">
        <v>7</v>
      </c>
      <c r="F421">
        <v>2010</v>
      </c>
      <c r="G421" t="s">
        <v>10</v>
      </c>
      <c r="R421" t="str">
        <v/>
      </c>
      <c r="S421" t="str">
        <v/>
      </c>
    </row>
    <row r="422" spans="1:19" x14ac:dyDescent="0.25">
      <c r="A422" t="s">
        <v>468</v>
      </c>
      <c r="B422" t="s">
        <v>469</v>
      </c>
      <c r="C422">
        <v>4.9000000000000004</v>
      </c>
      <c r="D422">
        <v>5396</v>
      </c>
      <c r="E422">
        <v>20</v>
      </c>
      <c r="F422">
        <v>2013</v>
      </c>
      <c r="G422" t="s">
        <v>10</v>
      </c>
      <c r="R422" t="str">
        <v/>
      </c>
      <c r="S422" t="str">
        <v/>
      </c>
    </row>
    <row r="423" spans="1:19" x14ac:dyDescent="0.25">
      <c r="A423" t="s">
        <v>470</v>
      </c>
      <c r="B423" t="s">
        <v>471</v>
      </c>
      <c r="C423">
        <v>4.4000000000000004</v>
      </c>
      <c r="D423">
        <v>4247</v>
      </c>
      <c r="E423">
        <v>13</v>
      </c>
      <c r="F423">
        <v>2011</v>
      </c>
      <c r="G423" t="s">
        <v>8</v>
      </c>
      <c r="R423" t="str">
        <v/>
      </c>
      <c r="S423" t="str">
        <v/>
      </c>
    </row>
    <row r="424" spans="1:19" x14ac:dyDescent="0.25">
      <c r="A424" t="s">
        <v>470</v>
      </c>
      <c r="B424" t="s">
        <v>471</v>
      </c>
      <c r="C424">
        <v>4.4000000000000004</v>
      </c>
      <c r="D424">
        <v>4247</v>
      </c>
      <c r="E424">
        <v>13</v>
      </c>
      <c r="F424">
        <v>2012</v>
      </c>
      <c r="G424" t="s">
        <v>8</v>
      </c>
      <c r="R424" t="str">
        <v/>
      </c>
      <c r="S424" t="str">
        <v/>
      </c>
    </row>
    <row r="425" spans="1:19" x14ac:dyDescent="0.25">
      <c r="A425" t="s">
        <v>472</v>
      </c>
      <c r="B425" t="s">
        <v>473</v>
      </c>
      <c r="C425">
        <v>4.5</v>
      </c>
      <c r="D425">
        <v>22641</v>
      </c>
      <c r="E425">
        <v>11</v>
      </c>
      <c r="F425">
        <v>2015</v>
      </c>
      <c r="G425" t="s">
        <v>8</v>
      </c>
      <c r="R425" t="str">
        <v/>
      </c>
      <c r="S425" t="str">
        <v/>
      </c>
    </row>
    <row r="426" spans="1:19" x14ac:dyDescent="0.25">
      <c r="A426" t="s">
        <v>472</v>
      </c>
      <c r="B426" t="s">
        <v>473</v>
      </c>
      <c r="C426">
        <v>4.5</v>
      </c>
      <c r="D426">
        <v>22641</v>
      </c>
      <c r="E426">
        <v>11</v>
      </c>
      <c r="F426">
        <v>2016</v>
      </c>
      <c r="G426" t="s">
        <v>8</v>
      </c>
      <c r="R426" t="str">
        <v/>
      </c>
      <c r="S426" t="str">
        <v/>
      </c>
    </row>
    <row r="427" spans="1:19" x14ac:dyDescent="0.25">
      <c r="A427" t="s">
        <v>472</v>
      </c>
      <c r="B427" t="s">
        <v>473</v>
      </c>
      <c r="C427">
        <v>4.5</v>
      </c>
      <c r="D427">
        <v>22641</v>
      </c>
      <c r="E427">
        <v>11</v>
      </c>
      <c r="F427">
        <v>2017</v>
      </c>
      <c r="G427" t="s">
        <v>8</v>
      </c>
      <c r="R427" t="str">
        <v/>
      </c>
      <c r="S427" t="str">
        <v/>
      </c>
    </row>
    <row r="428" spans="1:19" x14ac:dyDescent="0.25">
      <c r="A428" t="s">
        <v>472</v>
      </c>
      <c r="B428" t="s">
        <v>473</v>
      </c>
      <c r="C428">
        <v>4.5</v>
      </c>
      <c r="D428">
        <v>22641</v>
      </c>
      <c r="E428">
        <v>11</v>
      </c>
      <c r="F428">
        <v>2019</v>
      </c>
      <c r="G428" t="s">
        <v>8</v>
      </c>
      <c r="R428" t="str">
        <v/>
      </c>
      <c r="S428" t="str">
        <v/>
      </c>
    </row>
    <row r="429" spans="1:19" x14ac:dyDescent="0.25">
      <c r="A429" t="s">
        <v>474</v>
      </c>
      <c r="B429" t="s">
        <v>375</v>
      </c>
      <c r="C429">
        <v>4.4000000000000004</v>
      </c>
      <c r="D429">
        <v>6222</v>
      </c>
      <c r="E429">
        <v>18</v>
      </c>
      <c r="F429">
        <v>2011</v>
      </c>
      <c r="G429" t="s">
        <v>10</v>
      </c>
      <c r="R429" t="str">
        <v/>
      </c>
      <c r="S429" t="str">
        <v/>
      </c>
    </row>
    <row r="430" spans="1:19" x14ac:dyDescent="0.25">
      <c r="A430" t="s">
        <v>475</v>
      </c>
      <c r="B430" t="s">
        <v>331</v>
      </c>
      <c r="C430">
        <v>4.8</v>
      </c>
      <c r="D430">
        <v>4506</v>
      </c>
      <c r="E430">
        <v>14</v>
      </c>
      <c r="F430">
        <v>2010</v>
      </c>
      <c r="G430" t="s">
        <v>10</v>
      </c>
      <c r="R430" t="str">
        <v/>
      </c>
      <c r="S430" t="str">
        <v/>
      </c>
    </row>
    <row r="431" spans="1:19" x14ac:dyDescent="0.25">
      <c r="A431" t="s">
        <v>476</v>
      </c>
      <c r="B431" t="s">
        <v>243</v>
      </c>
      <c r="C431">
        <v>4.2</v>
      </c>
      <c r="D431">
        <v>8747</v>
      </c>
      <c r="E431">
        <v>19</v>
      </c>
      <c r="F431">
        <v>2009</v>
      </c>
      <c r="G431" t="s">
        <v>10</v>
      </c>
      <c r="R431" t="str">
        <v/>
      </c>
      <c r="S431" t="str">
        <v/>
      </c>
    </row>
    <row r="432" spans="1:19" x14ac:dyDescent="0.25">
      <c r="A432" t="s">
        <v>477</v>
      </c>
      <c r="B432" t="s">
        <v>478</v>
      </c>
      <c r="C432">
        <v>4.8</v>
      </c>
      <c r="D432">
        <v>1655</v>
      </c>
      <c r="E432">
        <v>13</v>
      </c>
      <c r="F432">
        <v>2009</v>
      </c>
      <c r="G432" t="s">
        <v>8</v>
      </c>
      <c r="R432" t="str">
        <v/>
      </c>
      <c r="S432" t="str">
        <v/>
      </c>
    </row>
    <row r="433" spans="1:19" x14ac:dyDescent="0.25">
      <c r="A433" t="s">
        <v>479</v>
      </c>
      <c r="B433" t="s">
        <v>480</v>
      </c>
      <c r="C433">
        <v>4.9000000000000004</v>
      </c>
      <c r="D433">
        <v>7861</v>
      </c>
      <c r="E433">
        <v>5</v>
      </c>
      <c r="F433">
        <v>2016</v>
      </c>
      <c r="G433" t="s">
        <v>8</v>
      </c>
      <c r="R433" t="str">
        <v/>
      </c>
      <c r="S433" t="str">
        <v/>
      </c>
    </row>
    <row r="434" spans="1:19" x14ac:dyDescent="0.25">
      <c r="A434" t="s">
        <v>481</v>
      </c>
      <c r="B434" t="s">
        <v>331</v>
      </c>
      <c r="C434">
        <v>4.8</v>
      </c>
      <c r="D434">
        <v>6247</v>
      </c>
      <c r="E434">
        <v>10</v>
      </c>
      <c r="F434">
        <v>2012</v>
      </c>
      <c r="G434" t="s">
        <v>10</v>
      </c>
      <c r="R434" t="str">
        <v/>
      </c>
      <c r="S434" t="str">
        <v/>
      </c>
    </row>
    <row r="435" spans="1:19" x14ac:dyDescent="0.25">
      <c r="A435" t="s">
        <v>482</v>
      </c>
      <c r="B435" t="s">
        <v>483</v>
      </c>
      <c r="C435">
        <v>4.7</v>
      </c>
      <c r="D435">
        <v>39459</v>
      </c>
      <c r="E435">
        <v>9</v>
      </c>
      <c r="F435">
        <v>2015</v>
      </c>
      <c r="G435" t="s">
        <v>10</v>
      </c>
      <c r="R435" t="str">
        <v/>
      </c>
      <c r="S435" t="str">
        <v/>
      </c>
    </row>
    <row r="436" spans="1:19" x14ac:dyDescent="0.25">
      <c r="A436" t="s">
        <v>484</v>
      </c>
      <c r="B436" t="s">
        <v>485</v>
      </c>
      <c r="C436">
        <v>4.5</v>
      </c>
      <c r="D436">
        <v>10101</v>
      </c>
      <c r="E436">
        <v>8</v>
      </c>
      <c r="F436">
        <v>2014</v>
      </c>
      <c r="G436" t="s">
        <v>10</v>
      </c>
      <c r="R436" t="str">
        <v/>
      </c>
      <c r="S436" t="str">
        <v/>
      </c>
    </row>
    <row r="437" spans="1:19" x14ac:dyDescent="0.25">
      <c r="A437" t="s">
        <v>486</v>
      </c>
      <c r="B437" t="s">
        <v>78</v>
      </c>
      <c r="C437">
        <v>4.8</v>
      </c>
      <c r="D437">
        <v>5898</v>
      </c>
      <c r="E437">
        <v>8</v>
      </c>
      <c r="F437">
        <v>2018</v>
      </c>
      <c r="G437" t="s">
        <v>10</v>
      </c>
      <c r="R437" t="str">
        <v/>
      </c>
      <c r="S437" t="str">
        <v/>
      </c>
    </row>
    <row r="438" spans="1:19" x14ac:dyDescent="0.25">
      <c r="A438" t="s">
        <v>487</v>
      </c>
      <c r="B438" t="s">
        <v>488</v>
      </c>
      <c r="C438">
        <v>4.5999999999999996</v>
      </c>
      <c r="D438">
        <v>2744</v>
      </c>
      <c r="E438">
        <v>12</v>
      </c>
      <c r="F438">
        <v>2019</v>
      </c>
      <c r="G438" t="s">
        <v>8</v>
      </c>
      <c r="R438" t="str">
        <v/>
      </c>
      <c r="S438" t="str">
        <v/>
      </c>
    </row>
    <row r="439" spans="1:19" x14ac:dyDescent="0.25">
      <c r="A439" t="s">
        <v>489</v>
      </c>
      <c r="B439" t="s">
        <v>490</v>
      </c>
      <c r="C439">
        <v>4.8</v>
      </c>
      <c r="D439">
        <v>49288</v>
      </c>
      <c r="E439">
        <v>11</v>
      </c>
      <c r="F439">
        <v>2015</v>
      </c>
      <c r="G439" t="s">
        <v>10</v>
      </c>
      <c r="R439" t="str">
        <v/>
      </c>
      <c r="S439" t="str">
        <v/>
      </c>
    </row>
    <row r="440" spans="1:19" x14ac:dyDescent="0.25">
      <c r="A440" t="s">
        <v>489</v>
      </c>
      <c r="B440" t="s">
        <v>490</v>
      </c>
      <c r="C440">
        <v>4.8</v>
      </c>
      <c r="D440">
        <v>49288</v>
      </c>
      <c r="E440">
        <v>11</v>
      </c>
      <c r="F440">
        <v>2016</v>
      </c>
      <c r="G440" t="s">
        <v>10</v>
      </c>
      <c r="R440" t="str">
        <v/>
      </c>
      <c r="S440" t="str">
        <v/>
      </c>
    </row>
    <row r="441" spans="1:19" x14ac:dyDescent="0.25">
      <c r="A441" t="s">
        <v>491</v>
      </c>
      <c r="B441" t="s">
        <v>492</v>
      </c>
      <c r="C441">
        <v>4.4000000000000004</v>
      </c>
      <c r="D441">
        <v>1201</v>
      </c>
      <c r="E441">
        <v>40</v>
      </c>
      <c r="F441">
        <v>2010</v>
      </c>
      <c r="G441" t="s">
        <v>8</v>
      </c>
      <c r="R441" t="str">
        <v/>
      </c>
      <c r="S441" t="str">
        <v/>
      </c>
    </row>
    <row r="442" spans="1:19" x14ac:dyDescent="0.25">
      <c r="A442" t="s">
        <v>491</v>
      </c>
      <c r="B442" t="s">
        <v>492</v>
      </c>
      <c r="C442">
        <v>4.4000000000000004</v>
      </c>
      <c r="D442">
        <v>1201</v>
      </c>
      <c r="E442">
        <v>40</v>
      </c>
      <c r="F442">
        <v>2011</v>
      </c>
      <c r="G442" t="s">
        <v>8</v>
      </c>
      <c r="R442" t="str">
        <v/>
      </c>
      <c r="S442" t="str">
        <v/>
      </c>
    </row>
    <row r="443" spans="1:19" x14ac:dyDescent="0.25">
      <c r="A443" t="s">
        <v>491</v>
      </c>
      <c r="B443" t="s">
        <v>492</v>
      </c>
      <c r="C443">
        <v>4.4000000000000004</v>
      </c>
      <c r="D443">
        <v>1201</v>
      </c>
      <c r="E443">
        <v>40</v>
      </c>
      <c r="F443">
        <v>2012</v>
      </c>
      <c r="G443" t="s">
        <v>8</v>
      </c>
      <c r="R443" t="str">
        <v/>
      </c>
      <c r="S443" t="str">
        <v/>
      </c>
    </row>
    <row r="444" spans="1:19" x14ac:dyDescent="0.25">
      <c r="A444" t="s">
        <v>491</v>
      </c>
      <c r="B444" t="s">
        <v>492</v>
      </c>
      <c r="C444">
        <v>4.4000000000000004</v>
      </c>
      <c r="D444">
        <v>1201</v>
      </c>
      <c r="E444">
        <v>40</v>
      </c>
      <c r="F444">
        <v>2013</v>
      </c>
      <c r="G444" t="s">
        <v>8</v>
      </c>
      <c r="R444" t="str">
        <v/>
      </c>
      <c r="S444" t="str">
        <v/>
      </c>
    </row>
    <row r="445" spans="1:19" x14ac:dyDescent="0.25">
      <c r="A445" t="s">
        <v>491</v>
      </c>
      <c r="B445" t="s">
        <v>492</v>
      </c>
      <c r="C445">
        <v>4.4000000000000004</v>
      </c>
      <c r="D445">
        <v>1201</v>
      </c>
      <c r="E445">
        <v>40</v>
      </c>
      <c r="F445">
        <v>2014</v>
      </c>
      <c r="G445" t="s">
        <v>8</v>
      </c>
      <c r="R445" t="str">
        <v/>
      </c>
      <c r="S445" t="str">
        <v/>
      </c>
    </row>
    <row r="446" spans="1:19" x14ac:dyDescent="0.25">
      <c r="A446" t="s">
        <v>493</v>
      </c>
      <c r="B446" t="s">
        <v>492</v>
      </c>
      <c r="C446">
        <v>4.3</v>
      </c>
      <c r="D446">
        <v>807</v>
      </c>
      <c r="E446">
        <v>36</v>
      </c>
      <c r="F446">
        <v>2016</v>
      </c>
      <c r="G446" t="s">
        <v>8</v>
      </c>
      <c r="R446" t="str">
        <v/>
      </c>
      <c r="S446" t="str">
        <v/>
      </c>
    </row>
    <row r="447" spans="1:19" x14ac:dyDescent="0.25">
      <c r="A447" t="s">
        <v>494</v>
      </c>
      <c r="B447" t="s">
        <v>495</v>
      </c>
      <c r="C447">
        <v>4.3</v>
      </c>
      <c r="D447">
        <v>3759</v>
      </c>
      <c r="E447">
        <v>16</v>
      </c>
      <c r="F447">
        <v>2011</v>
      </c>
      <c r="G447" t="s">
        <v>10</v>
      </c>
      <c r="R447" t="str">
        <v/>
      </c>
      <c r="S447" t="str">
        <v/>
      </c>
    </row>
    <row r="448" spans="1:19" x14ac:dyDescent="0.25">
      <c r="A448" t="s">
        <v>496</v>
      </c>
      <c r="B448" t="s">
        <v>497</v>
      </c>
      <c r="C448">
        <v>4.8</v>
      </c>
      <c r="D448">
        <v>2663</v>
      </c>
      <c r="E448">
        <v>17</v>
      </c>
      <c r="F448">
        <v>2013</v>
      </c>
      <c r="G448" t="s">
        <v>8</v>
      </c>
      <c r="R448" t="str">
        <v/>
      </c>
      <c r="S448" t="str">
        <v/>
      </c>
    </row>
    <row r="449" spans="1:19" x14ac:dyDescent="0.25">
      <c r="A449" t="s">
        <v>498</v>
      </c>
      <c r="B449" t="s">
        <v>497</v>
      </c>
      <c r="C449">
        <v>4.8</v>
      </c>
      <c r="D449">
        <v>3428</v>
      </c>
      <c r="E449">
        <v>14</v>
      </c>
      <c r="F449">
        <v>2015</v>
      </c>
      <c r="G449" t="s">
        <v>8</v>
      </c>
      <c r="R449" t="str">
        <v/>
      </c>
      <c r="S449" t="str">
        <v/>
      </c>
    </row>
    <row r="450" spans="1:19" x14ac:dyDescent="0.25">
      <c r="A450" t="s">
        <v>499</v>
      </c>
      <c r="B450" t="s">
        <v>497</v>
      </c>
      <c r="C450">
        <v>4.8</v>
      </c>
      <c r="D450">
        <v>2876</v>
      </c>
      <c r="E450">
        <v>21</v>
      </c>
      <c r="F450">
        <v>2012</v>
      </c>
      <c r="G450" t="s">
        <v>8</v>
      </c>
      <c r="R450" t="str">
        <v/>
      </c>
      <c r="S450" t="str">
        <v/>
      </c>
    </row>
    <row r="451" spans="1:19" x14ac:dyDescent="0.25">
      <c r="A451" t="s">
        <v>500</v>
      </c>
      <c r="B451" t="s">
        <v>501</v>
      </c>
      <c r="C451">
        <v>4.5</v>
      </c>
      <c r="D451">
        <v>3601</v>
      </c>
      <c r="E451">
        <v>18</v>
      </c>
      <c r="F451">
        <v>2018</v>
      </c>
      <c r="G451" t="s">
        <v>8</v>
      </c>
      <c r="R451" t="str">
        <v/>
      </c>
      <c r="S451" t="str">
        <v/>
      </c>
    </row>
    <row r="452" spans="1:19" x14ac:dyDescent="0.25">
      <c r="A452" t="s">
        <v>502</v>
      </c>
      <c r="B452" t="s">
        <v>501</v>
      </c>
      <c r="C452">
        <v>4.4000000000000004</v>
      </c>
      <c r="D452">
        <v>7058</v>
      </c>
      <c r="E452">
        <v>17</v>
      </c>
      <c r="F452">
        <v>2018</v>
      </c>
      <c r="G452" t="s">
        <v>8</v>
      </c>
      <c r="R452" t="str">
        <v/>
      </c>
      <c r="S452" t="str">
        <v/>
      </c>
    </row>
    <row r="453" spans="1:19" x14ac:dyDescent="0.25">
      <c r="A453" t="s">
        <v>503</v>
      </c>
      <c r="B453" t="s">
        <v>504</v>
      </c>
      <c r="C453">
        <v>4.8</v>
      </c>
      <c r="D453">
        <v>9784</v>
      </c>
      <c r="E453">
        <v>5</v>
      </c>
      <c r="F453">
        <v>2017</v>
      </c>
      <c r="G453" t="s">
        <v>10</v>
      </c>
      <c r="R453" t="str">
        <v/>
      </c>
      <c r="S453" t="str">
        <v/>
      </c>
    </row>
    <row r="454" spans="1:19" x14ac:dyDescent="0.25">
      <c r="A454" t="s">
        <v>503</v>
      </c>
      <c r="B454" t="s">
        <v>504</v>
      </c>
      <c r="C454">
        <v>4.8</v>
      </c>
      <c r="D454">
        <v>9784</v>
      </c>
      <c r="E454">
        <v>5</v>
      </c>
      <c r="F454">
        <v>2018</v>
      </c>
      <c r="G454" t="s">
        <v>10</v>
      </c>
      <c r="R454" t="str">
        <v/>
      </c>
      <c r="S454" t="str">
        <v/>
      </c>
    </row>
    <row r="455" spans="1:19" x14ac:dyDescent="0.25">
      <c r="A455" t="s">
        <v>505</v>
      </c>
      <c r="B455" t="s">
        <v>506</v>
      </c>
      <c r="C455">
        <v>4.5999999999999996</v>
      </c>
      <c r="D455">
        <v>10795</v>
      </c>
      <c r="E455">
        <v>21</v>
      </c>
      <c r="F455">
        <v>2012</v>
      </c>
      <c r="G455" t="s">
        <v>8</v>
      </c>
      <c r="R455" t="str">
        <v/>
      </c>
      <c r="S455" t="str">
        <v/>
      </c>
    </row>
    <row r="456" spans="1:19" x14ac:dyDescent="0.25">
      <c r="A456" t="s">
        <v>507</v>
      </c>
      <c r="B456" t="s">
        <v>235</v>
      </c>
      <c r="C456">
        <v>4.3</v>
      </c>
      <c r="D456">
        <v>10191</v>
      </c>
      <c r="E456">
        <v>18</v>
      </c>
      <c r="F456">
        <v>2018</v>
      </c>
      <c r="G456" t="s">
        <v>10</v>
      </c>
      <c r="R456" t="str">
        <v/>
      </c>
      <c r="S456" t="str">
        <v/>
      </c>
    </row>
    <row r="457" spans="1:19" x14ac:dyDescent="0.25">
      <c r="A457" t="s">
        <v>508</v>
      </c>
      <c r="B457" t="s">
        <v>375</v>
      </c>
      <c r="C457">
        <v>4.3</v>
      </c>
      <c r="D457">
        <v>14493</v>
      </c>
      <c r="E457">
        <v>18</v>
      </c>
      <c r="F457">
        <v>2012</v>
      </c>
      <c r="G457" t="s">
        <v>10</v>
      </c>
      <c r="R457" t="str">
        <v/>
      </c>
      <c r="S457" t="str">
        <v/>
      </c>
    </row>
    <row r="458" spans="1:19" x14ac:dyDescent="0.25">
      <c r="A458" t="s">
        <v>509</v>
      </c>
      <c r="B458" t="s">
        <v>331</v>
      </c>
      <c r="C458">
        <v>4.5999999999999996</v>
      </c>
      <c r="D458">
        <v>2186</v>
      </c>
      <c r="E458">
        <v>12</v>
      </c>
      <c r="F458">
        <v>2010</v>
      </c>
      <c r="G458" t="s">
        <v>10</v>
      </c>
      <c r="R458" t="str">
        <v/>
      </c>
      <c r="S458" t="str">
        <v/>
      </c>
    </row>
    <row r="459" spans="1:19" x14ac:dyDescent="0.25">
      <c r="A459" t="s">
        <v>510</v>
      </c>
      <c r="B459" t="s">
        <v>511</v>
      </c>
      <c r="C459">
        <v>4.5999999999999996</v>
      </c>
      <c r="D459">
        <v>1204</v>
      </c>
      <c r="E459">
        <v>14</v>
      </c>
      <c r="F459">
        <v>2010</v>
      </c>
      <c r="G459" t="s">
        <v>8</v>
      </c>
      <c r="R459" t="str">
        <v/>
      </c>
      <c r="S459" t="str">
        <v/>
      </c>
    </row>
    <row r="460" spans="1:19" x14ac:dyDescent="0.25">
      <c r="A460" t="s">
        <v>512</v>
      </c>
      <c r="B460" t="s">
        <v>331</v>
      </c>
      <c r="C460">
        <v>4.8</v>
      </c>
      <c r="D460">
        <v>2091</v>
      </c>
      <c r="E460">
        <v>12</v>
      </c>
      <c r="F460">
        <v>2012</v>
      </c>
      <c r="G460" t="s">
        <v>10</v>
      </c>
      <c r="R460" t="str">
        <v/>
      </c>
      <c r="S460" t="str">
        <v/>
      </c>
    </row>
    <row r="461" spans="1:19" x14ac:dyDescent="0.25">
      <c r="A461" t="s">
        <v>513</v>
      </c>
      <c r="B461" t="s">
        <v>514</v>
      </c>
      <c r="C461">
        <v>4.5999999999999996</v>
      </c>
      <c r="D461">
        <v>19720</v>
      </c>
      <c r="E461">
        <v>8</v>
      </c>
      <c r="F461">
        <v>2009</v>
      </c>
      <c r="G461" t="s">
        <v>10</v>
      </c>
      <c r="R461" t="str">
        <v/>
      </c>
      <c r="S461" t="str">
        <v/>
      </c>
    </row>
    <row r="462" spans="1:19" x14ac:dyDescent="0.25">
      <c r="A462" t="s">
        <v>513</v>
      </c>
      <c r="B462" t="s">
        <v>514</v>
      </c>
      <c r="C462">
        <v>4.5999999999999996</v>
      </c>
      <c r="D462">
        <v>19720</v>
      </c>
      <c r="E462">
        <v>8</v>
      </c>
      <c r="F462">
        <v>2017</v>
      </c>
      <c r="G462" t="s">
        <v>10</v>
      </c>
      <c r="R462" t="str">
        <v/>
      </c>
      <c r="S462" t="str">
        <v/>
      </c>
    </row>
    <row r="463" spans="1:19" x14ac:dyDescent="0.25">
      <c r="A463" t="s">
        <v>515</v>
      </c>
      <c r="B463" t="s">
        <v>73</v>
      </c>
      <c r="C463">
        <v>4.5999999999999996</v>
      </c>
      <c r="D463">
        <v>2122</v>
      </c>
      <c r="E463">
        <v>0</v>
      </c>
      <c r="F463">
        <v>2010</v>
      </c>
      <c r="G463" t="s">
        <v>10</v>
      </c>
      <c r="R463" t="str">
        <v/>
      </c>
      <c r="S463" t="str">
        <v/>
      </c>
    </row>
    <row r="464" spans="1:19" x14ac:dyDescent="0.25">
      <c r="A464" t="s">
        <v>516</v>
      </c>
      <c r="B464" t="s">
        <v>517</v>
      </c>
      <c r="C464">
        <v>4.5</v>
      </c>
      <c r="D464">
        <v>27536</v>
      </c>
      <c r="E464">
        <v>14</v>
      </c>
      <c r="F464">
        <v>2019</v>
      </c>
      <c r="G464" t="s">
        <v>10</v>
      </c>
      <c r="R464" t="str">
        <v/>
      </c>
      <c r="S464" t="str">
        <v/>
      </c>
    </row>
    <row r="465" spans="1:19" x14ac:dyDescent="0.25">
      <c r="A465" t="s">
        <v>518</v>
      </c>
      <c r="B465" t="s">
        <v>331</v>
      </c>
      <c r="C465">
        <v>4.8</v>
      </c>
      <c r="D465">
        <v>4290</v>
      </c>
      <c r="E465">
        <v>10</v>
      </c>
      <c r="F465">
        <v>2011</v>
      </c>
      <c r="G465" t="s">
        <v>10</v>
      </c>
      <c r="R465" t="str">
        <v/>
      </c>
      <c r="S465" t="str">
        <v>The Short Second Life of Bree Tanner: An Eclipse Novella (The Twilight Saga)</v>
      </c>
    </row>
    <row r="466" spans="1:19" x14ac:dyDescent="0.25">
      <c r="A466" t="s">
        <v>519</v>
      </c>
      <c r="B466" t="s">
        <v>520</v>
      </c>
      <c r="C466">
        <v>4.5999999999999996</v>
      </c>
      <c r="D466">
        <v>26490</v>
      </c>
      <c r="E466">
        <v>15</v>
      </c>
      <c r="F466">
        <v>2017</v>
      </c>
      <c r="G466" t="s">
        <v>8</v>
      </c>
      <c r="R466" t="str">
        <v/>
      </c>
      <c r="S466" t="str">
        <v/>
      </c>
    </row>
    <row r="467" spans="1:19" x14ac:dyDescent="0.25">
      <c r="A467" t="s">
        <v>519</v>
      </c>
      <c r="B467" t="s">
        <v>520</v>
      </c>
      <c r="C467">
        <v>4.5999999999999996</v>
      </c>
      <c r="D467">
        <v>26490</v>
      </c>
      <c r="E467">
        <v>15</v>
      </c>
      <c r="F467">
        <v>2018</v>
      </c>
      <c r="G467" t="s">
        <v>8</v>
      </c>
      <c r="R467" t="str">
        <v/>
      </c>
      <c r="S467" t="str">
        <v/>
      </c>
    </row>
    <row r="468" spans="1:19" x14ac:dyDescent="0.25">
      <c r="A468" t="s">
        <v>519</v>
      </c>
      <c r="B468" t="s">
        <v>520</v>
      </c>
      <c r="C468">
        <v>4.5999999999999996</v>
      </c>
      <c r="D468">
        <v>26490</v>
      </c>
      <c r="E468">
        <v>15</v>
      </c>
      <c r="F468">
        <v>2019</v>
      </c>
      <c r="G468" t="s">
        <v>8</v>
      </c>
      <c r="R468" t="str">
        <v/>
      </c>
      <c r="S468" t="str">
        <v/>
      </c>
    </row>
    <row r="469" spans="1:19" x14ac:dyDescent="0.25">
      <c r="A469" t="s">
        <v>521</v>
      </c>
      <c r="B469" t="s">
        <v>299</v>
      </c>
      <c r="C469">
        <v>4.7</v>
      </c>
      <c r="D469">
        <v>5487</v>
      </c>
      <c r="E469">
        <v>9</v>
      </c>
      <c r="F469">
        <v>2017</v>
      </c>
      <c r="G469" t="s">
        <v>8</v>
      </c>
      <c r="R469" t="str">
        <v/>
      </c>
      <c r="S469" t="str">
        <v/>
      </c>
    </row>
    <row r="470" spans="1:19" x14ac:dyDescent="0.25">
      <c r="A470" t="s">
        <v>522</v>
      </c>
      <c r="B470" t="s">
        <v>78</v>
      </c>
      <c r="C470">
        <v>4.7</v>
      </c>
      <c r="D470">
        <v>6377</v>
      </c>
      <c r="E470">
        <v>7</v>
      </c>
      <c r="F470">
        <v>2012</v>
      </c>
      <c r="G470" t="s">
        <v>10</v>
      </c>
      <c r="R470" t="str">
        <v/>
      </c>
      <c r="S470" t="str">
        <v/>
      </c>
    </row>
    <row r="471" spans="1:19" x14ac:dyDescent="0.25">
      <c r="A471" t="s">
        <v>523</v>
      </c>
      <c r="B471" t="s">
        <v>331</v>
      </c>
      <c r="C471">
        <v>4.7</v>
      </c>
      <c r="D471">
        <v>1463</v>
      </c>
      <c r="E471">
        <v>10</v>
      </c>
      <c r="F471">
        <v>2011</v>
      </c>
      <c r="G471" t="s">
        <v>10</v>
      </c>
      <c r="R471" t="str">
        <v/>
      </c>
      <c r="S471" t="str">
        <v/>
      </c>
    </row>
    <row r="472" spans="1:19" x14ac:dyDescent="0.25">
      <c r="A472" t="s">
        <v>524</v>
      </c>
      <c r="B472" t="s">
        <v>525</v>
      </c>
      <c r="C472">
        <v>4.4000000000000004</v>
      </c>
      <c r="D472">
        <v>3759</v>
      </c>
      <c r="E472">
        <v>6</v>
      </c>
      <c r="F472">
        <v>2009</v>
      </c>
      <c r="G472" t="s">
        <v>10</v>
      </c>
      <c r="R472" t="str">
        <v/>
      </c>
      <c r="S472" t="str">
        <v/>
      </c>
    </row>
    <row r="473" spans="1:19" x14ac:dyDescent="0.25">
      <c r="A473" t="s">
        <v>526</v>
      </c>
      <c r="B473" t="s">
        <v>101</v>
      </c>
      <c r="C473">
        <v>4.4000000000000004</v>
      </c>
      <c r="D473">
        <v>3503</v>
      </c>
      <c r="E473">
        <v>9</v>
      </c>
      <c r="F473">
        <v>2009</v>
      </c>
      <c r="G473" t="s">
        <v>8</v>
      </c>
      <c r="R473" t="str">
        <v/>
      </c>
      <c r="S473" t="str">
        <v/>
      </c>
    </row>
    <row r="474" spans="1:19" x14ac:dyDescent="0.25">
      <c r="A474" t="s">
        <v>527</v>
      </c>
      <c r="B474" t="s">
        <v>528</v>
      </c>
      <c r="C474">
        <v>4.7</v>
      </c>
      <c r="D474">
        <v>11550</v>
      </c>
      <c r="E474">
        <v>10</v>
      </c>
      <c r="F474">
        <v>2019</v>
      </c>
      <c r="G474" t="s">
        <v>8</v>
      </c>
      <c r="R474" t="str">
        <v/>
      </c>
      <c r="S474" t="str">
        <v/>
      </c>
    </row>
    <row r="475" spans="1:19" x14ac:dyDescent="0.25">
      <c r="A475" t="s">
        <v>529</v>
      </c>
      <c r="B475" t="s">
        <v>73</v>
      </c>
      <c r="C475">
        <v>4.7</v>
      </c>
      <c r="D475">
        <v>3801</v>
      </c>
      <c r="E475">
        <v>82</v>
      </c>
      <c r="F475">
        <v>2009</v>
      </c>
      <c r="G475" t="s">
        <v>10</v>
      </c>
      <c r="R475" t="str">
        <v/>
      </c>
      <c r="S475" t="str">
        <v/>
      </c>
    </row>
    <row r="476" spans="1:19" x14ac:dyDescent="0.25">
      <c r="A476" t="s">
        <v>530</v>
      </c>
      <c r="B476" t="s">
        <v>78</v>
      </c>
      <c r="C476">
        <v>4.8</v>
      </c>
      <c r="D476">
        <v>3796</v>
      </c>
      <c r="E476">
        <v>12</v>
      </c>
      <c r="F476">
        <v>2010</v>
      </c>
      <c r="G476" t="s">
        <v>10</v>
      </c>
      <c r="R476" t="str">
        <v/>
      </c>
      <c r="S476" t="str">
        <v/>
      </c>
    </row>
    <row r="477" spans="1:19" x14ac:dyDescent="0.25">
      <c r="A477" t="s">
        <v>531</v>
      </c>
      <c r="B477" t="s">
        <v>532</v>
      </c>
      <c r="C477">
        <v>4.7</v>
      </c>
      <c r="D477">
        <v>9030</v>
      </c>
      <c r="E477">
        <v>10</v>
      </c>
      <c r="F477">
        <v>2019</v>
      </c>
      <c r="G477" t="s">
        <v>8</v>
      </c>
      <c r="R477" t="str">
        <v/>
      </c>
      <c r="S477" t="str">
        <v/>
      </c>
    </row>
    <row r="478" spans="1:19" x14ac:dyDescent="0.25">
      <c r="A478" t="s">
        <v>533</v>
      </c>
      <c r="B478" t="s">
        <v>534</v>
      </c>
      <c r="C478">
        <v>4.9000000000000004</v>
      </c>
      <c r="D478">
        <v>19546</v>
      </c>
      <c r="E478">
        <v>5</v>
      </c>
      <c r="F478">
        <v>2013</v>
      </c>
      <c r="G478" t="s">
        <v>10</v>
      </c>
      <c r="R478" t="str">
        <v/>
      </c>
      <c r="S478" t="str">
        <v/>
      </c>
    </row>
    <row r="479" spans="1:19" x14ac:dyDescent="0.25">
      <c r="A479" t="s">
        <v>533</v>
      </c>
      <c r="B479" t="s">
        <v>534</v>
      </c>
      <c r="C479">
        <v>4.9000000000000004</v>
      </c>
      <c r="D479">
        <v>19546</v>
      </c>
      <c r="E479">
        <v>5</v>
      </c>
      <c r="F479">
        <v>2014</v>
      </c>
      <c r="G479" t="s">
        <v>10</v>
      </c>
      <c r="R479" t="str">
        <v/>
      </c>
      <c r="S479" t="str">
        <v/>
      </c>
    </row>
    <row r="480" spans="1:19" x14ac:dyDescent="0.25">
      <c r="A480" t="s">
        <v>533</v>
      </c>
      <c r="B480" t="s">
        <v>534</v>
      </c>
      <c r="C480">
        <v>4.9000000000000004</v>
      </c>
      <c r="D480">
        <v>19546</v>
      </c>
      <c r="E480">
        <v>5</v>
      </c>
      <c r="F480">
        <v>2015</v>
      </c>
      <c r="G480" t="s">
        <v>10</v>
      </c>
      <c r="R480" t="str">
        <v/>
      </c>
      <c r="S480" t="str">
        <v/>
      </c>
    </row>
    <row r="481" spans="1:19" x14ac:dyDescent="0.25">
      <c r="A481" t="s">
        <v>533</v>
      </c>
      <c r="B481" t="s">
        <v>534</v>
      </c>
      <c r="C481">
        <v>4.9000000000000004</v>
      </c>
      <c r="D481">
        <v>19546</v>
      </c>
      <c r="E481">
        <v>5</v>
      </c>
      <c r="F481">
        <v>2016</v>
      </c>
      <c r="G481" t="s">
        <v>10</v>
      </c>
      <c r="R481" t="str">
        <v/>
      </c>
      <c r="S481" t="str">
        <v/>
      </c>
    </row>
    <row r="482" spans="1:19" x14ac:dyDescent="0.25">
      <c r="A482" t="s">
        <v>533</v>
      </c>
      <c r="B482" t="s">
        <v>534</v>
      </c>
      <c r="C482">
        <v>4.9000000000000004</v>
      </c>
      <c r="D482">
        <v>19546</v>
      </c>
      <c r="E482">
        <v>5</v>
      </c>
      <c r="F482">
        <v>2017</v>
      </c>
      <c r="G482" t="s">
        <v>10</v>
      </c>
      <c r="R482" t="str">
        <v/>
      </c>
      <c r="S482" t="str">
        <v/>
      </c>
    </row>
    <row r="483" spans="1:19" x14ac:dyDescent="0.25">
      <c r="A483" t="s">
        <v>533</v>
      </c>
      <c r="B483" t="s">
        <v>534</v>
      </c>
      <c r="C483">
        <v>4.9000000000000004</v>
      </c>
      <c r="D483">
        <v>19546</v>
      </c>
      <c r="E483">
        <v>5</v>
      </c>
      <c r="F483">
        <v>2018</v>
      </c>
      <c r="G483" t="s">
        <v>10</v>
      </c>
      <c r="R483" t="str">
        <v/>
      </c>
      <c r="S483" t="str">
        <v/>
      </c>
    </row>
    <row r="484" spans="1:19" x14ac:dyDescent="0.25">
      <c r="A484" t="s">
        <v>533</v>
      </c>
      <c r="B484" t="s">
        <v>534</v>
      </c>
      <c r="C484">
        <v>4.9000000000000004</v>
      </c>
      <c r="D484">
        <v>19546</v>
      </c>
      <c r="E484">
        <v>5</v>
      </c>
      <c r="F484">
        <v>2019</v>
      </c>
      <c r="G484" t="s">
        <v>10</v>
      </c>
      <c r="R484" t="str">
        <v/>
      </c>
      <c r="S484" t="str">
        <v/>
      </c>
    </row>
    <row r="485" spans="1:19" x14ac:dyDescent="0.25">
      <c r="A485" t="s">
        <v>535</v>
      </c>
      <c r="B485" t="s">
        <v>536</v>
      </c>
      <c r="C485">
        <v>4.5999999999999996</v>
      </c>
      <c r="D485">
        <v>7508</v>
      </c>
      <c r="E485">
        <v>16</v>
      </c>
      <c r="F485">
        <v>2015</v>
      </c>
      <c r="G485" t="s">
        <v>8</v>
      </c>
      <c r="R485" t="str">
        <v/>
      </c>
      <c r="S485" t="str">
        <v/>
      </c>
    </row>
    <row r="486" spans="1:19" x14ac:dyDescent="0.25">
      <c r="A486" t="s">
        <v>535</v>
      </c>
      <c r="B486" t="s">
        <v>536</v>
      </c>
      <c r="C486">
        <v>4.5999999999999996</v>
      </c>
      <c r="D486">
        <v>7508</v>
      </c>
      <c r="E486">
        <v>16</v>
      </c>
      <c r="F486">
        <v>2016</v>
      </c>
      <c r="G486" t="s">
        <v>8</v>
      </c>
      <c r="R486" t="str">
        <v/>
      </c>
      <c r="S486" t="str">
        <v/>
      </c>
    </row>
    <row r="487" spans="1:19" x14ac:dyDescent="0.25">
      <c r="A487" t="s">
        <v>535</v>
      </c>
      <c r="B487" t="s">
        <v>536</v>
      </c>
      <c r="C487">
        <v>4.5999999999999996</v>
      </c>
      <c r="D487">
        <v>7508</v>
      </c>
      <c r="E487">
        <v>16</v>
      </c>
      <c r="F487">
        <v>2017</v>
      </c>
      <c r="G487" t="s">
        <v>8</v>
      </c>
      <c r="R487" t="str">
        <v/>
      </c>
      <c r="S487" t="str">
        <v/>
      </c>
    </row>
    <row r="488" spans="1:19" x14ac:dyDescent="0.25">
      <c r="A488" t="s">
        <v>537</v>
      </c>
      <c r="B488" t="s">
        <v>538</v>
      </c>
      <c r="C488">
        <v>4.9000000000000004</v>
      </c>
      <c r="D488">
        <v>8842</v>
      </c>
      <c r="E488">
        <v>10</v>
      </c>
      <c r="F488">
        <v>2016</v>
      </c>
      <c r="G488" t="s">
        <v>10</v>
      </c>
      <c r="R488" t="str">
        <v/>
      </c>
      <c r="S488" t="str">
        <v/>
      </c>
    </row>
    <row r="489" spans="1:19" x14ac:dyDescent="0.25">
      <c r="A489" t="s">
        <v>537</v>
      </c>
      <c r="B489" t="s">
        <v>538</v>
      </c>
      <c r="C489">
        <v>4.9000000000000004</v>
      </c>
      <c r="D489">
        <v>8842</v>
      </c>
      <c r="E489">
        <v>10</v>
      </c>
      <c r="F489">
        <v>2017</v>
      </c>
      <c r="G489" t="s">
        <v>10</v>
      </c>
      <c r="R489" t="str">
        <v/>
      </c>
      <c r="S489" t="str">
        <v/>
      </c>
    </row>
    <row r="490" spans="1:19" x14ac:dyDescent="0.25">
      <c r="A490" t="s">
        <v>537</v>
      </c>
      <c r="B490" t="s">
        <v>538</v>
      </c>
      <c r="C490">
        <v>4.9000000000000004</v>
      </c>
      <c r="D490">
        <v>8842</v>
      </c>
      <c r="E490">
        <v>10</v>
      </c>
      <c r="F490">
        <v>2018</v>
      </c>
      <c r="G490" t="s">
        <v>10</v>
      </c>
      <c r="R490" t="str">
        <v/>
      </c>
      <c r="S490" t="str">
        <v/>
      </c>
    </row>
    <row r="491" spans="1:19" x14ac:dyDescent="0.25">
      <c r="A491" t="s">
        <v>537</v>
      </c>
      <c r="B491" t="s">
        <v>538</v>
      </c>
      <c r="C491">
        <v>4.9000000000000004</v>
      </c>
      <c r="D491">
        <v>8842</v>
      </c>
      <c r="E491">
        <v>10</v>
      </c>
      <c r="F491">
        <v>2019</v>
      </c>
      <c r="G491" t="s">
        <v>10</v>
      </c>
      <c r="R491" t="str">
        <v/>
      </c>
      <c r="S491" t="str">
        <v/>
      </c>
    </row>
    <row r="492" spans="1:19" x14ac:dyDescent="0.25">
      <c r="A492" t="s">
        <v>539</v>
      </c>
      <c r="B492" t="s">
        <v>540</v>
      </c>
      <c r="C492">
        <v>4.8</v>
      </c>
      <c r="D492">
        <v>30183</v>
      </c>
      <c r="E492">
        <v>4</v>
      </c>
      <c r="F492">
        <v>2018</v>
      </c>
      <c r="G492" t="s">
        <v>10</v>
      </c>
      <c r="R492" t="str">
        <v/>
      </c>
      <c r="S492" t="str">
        <v/>
      </c>
    </row>
    <row r="493" spans="1:19" x14ac:dyDescent="0.25">
      <c r="A493" t="s">
        <v>539</v>
      </c>
      <c r="B493" t="s">
        <v>540</v>
      </c>
      <c r="C493">
        <v>4.8</v>
      </c>
      <c r="D493">
        <v>30183</v>
      </c>
      <c r="E493">
        <v>4</v>
      </c>
      <c r="F493">
        <v>2019</v>
      </c>
      <c r="G493" t="s">
        <v>10</v>
      </c>
      <c r="R493" t="str">
        <v/>
      </c>
      <c r="S493" t="str">
        <v/>
      </c>
    </row>
    <row r="494" spans="1:19" x14ac:dyDescent="0.25">
      <c r="A494" t="s">
        <v>541</v>
      </c>
      <c r="B494" t="s">
        <v>542</v>
      </c>
      <c r="C494">
        <v>4.7</v>
      </c>
      <c r="D494">
        <v>6169</v>
      </c>
      <c r="E494">
        <v>16</v>
      </c>
      <c r="F494">
        <v>2015</v>
      </c>
      <c r="G494" t="s">
        <v>8</v>
      </c>
      <c r="R494" t="str">
        <v/>
      </c>
      <c r="S494" t="str">
        <v/>
      </c>
    </row>
    <row r="495" spans="1:19" x14ac:dyDescent="0.25">
      <c r="A495" t="s">
        <v>543</v>
      </c>
      <c r="B495" t="s">
        <v>544</v>
      </c>
      <c r="C495">
        <v>4.7</v>
      </c>
      <c r="D495">
        <v>7034</v>
      </c>
      <c r="E495">
        <v>15</v>
      </c>
      <c r="F495">
        <v>2013</v>
      </c>
      <c r="G495" t="s">
        <v>8</v>
      </c>
      <c r="R495" t="str">
        <v/>
      </c>
      <c r="S495" t="str">
        <v/>
      </c>
    </row>
    <row r="496" spans="1:19" x14ac:dyDescent="0.25">
      <c r="A496" t="s">
        <v>545</v>
      </c>
      <c r="B496" t="s">
        <v>546</v>
      </c>
      <c r="C496">
        <v>4.5999999999999996</v>
      </c>
      <c r="D496">
        <v>11034</v>
      </c>
      <c r="E496">
        <v>19</v>
      </c>
      <c r="F496">
        <v>2011</v>
      </c>
      <c r="G496" t="s">
        <v>8</v>
      </c>
      <c r="R496" t="str">
        <v/>
      </c>
      <c r="S496" t="str">
        <v/>
      </c>
    </row>
    <row r="497" spans="1:19" x14ac:dyDescent="0.25">
      <c r="A497" t="s">
        <v>545</v>
      </c>
      <c r="B497" t="s">
        <v>546</v>
      </c>
      <c r="C497">
        <v>4.5999999999999996</v>
      </c>
      <c r="D497">
        <v>11034</v>
      </c>
      <c r="E497">
        <v>19</v>
      </c>
      <c r="F497">
        <v>2012</v>
      </c>
      <c r="G497" t="s">
        <v>8</v>
      </c>
      <c r="R497" t="str">
        <v/>
      </c>
      <c r="S497" t="str">
        <v/>
      </c>
    </row>
    <row r="498" spans="1:19" x14ac:dyDescent="0.25">
      <c r="A498" t="s">
        <v>547</v>
      </c>
      <c r="B498" t="s">
        <v>548</v>
      </c>
      <c r="C498">
        <v>4.5</v>
      </c>
      <c r="D498">
        <v>7932</v>
      </c>
      <c r="E498">
        <v>9</v>
      </c>
      <c r="F498">
        <v>2017</v>
      </c>
      <c r="G498" t="s">
        <v>10</v>
      </c>
      <c r="R498" t="str">
        <v/>
      </c>
      <c r="S498" t="str">
        <v/>
      </c>
    </row>
    <row r="499" spans="1:19" x14ac:dyDescent="0.25">
      <c r="A499" t="s">
        <v>549</v>
      </c>
      <c r="B499" t="s">
        <v>550</v>
      </c>
      <c r="C499">
        <v>4.5</v>
      </c>
      <c r="D499">
        <v>1904</v>
      </c>
      <c r="E499">
        <v>23</v>
      </c>
      <c r="F499">
        <v>2012</v>
      </c>
      <c r="G499" t="s">
        <v>8</v>
      </c>
      <c r="R499" t="str">
        <v/>
      </c>
      <c r="S499" t="str">
        <v/>
      </c>
    </row>
    <row r="500" spans="1:19" x14ac:dyDescent="0.25">
      <c r="A500" t="s">
        <v>551</v>
      </c>
      <c r="B500" t="s">
        <v>552</v>
      </c>
      <c r="C500">
        <v>4.3</v>
      </c>
      <c r="D500">
        <v>3319</v>
      </c>
      <c r="E500">
        <v>11</v>
      </c>
      <c r="F500">
        <v>2009</v>
      </c>
      <c r="G500" t="s">
        <v>8</v>
      </c>
      <c r="R500" t="str">
        <v/>
      </c>
      <c r="S500" t="str">
        <v/>
      </c>
    </row>
    <row r="501" spans="1:19" x14ac:dyDescent="0.25">
      <c r="A501" t="s">
        <v>551</v>
      </c>
      <c r="B501" t="s">
        <v>552</v>
      </c>
      <c r="C501">
        <v>4.3</v>
      </c>
      <c r="D501">
        <v>3319</v>
      </c>
      <c r="E501">
        <v>11</v>
      </c>
      <c r="F501">
        <v>2010</v>
      </c>
      <c r="G501" t="s">
        <v>8</v>
      </c>
      <c r="R501" t="str">
        <v/>
      </c>
      <c r="S501" t="str">
        <v/>
      </c>
    </row>
    <row r="502" spans="1:19" x14ac:dyDescent="0.25">
      <c r="A502" t="s">
        <v>553</v>
      </c>
      <c r="B502" t="s">
        <v>554</v>
      </c>
      <c r="C502">
        <v>4.5999999999999996</v>
      </c>
      <c r="D502">
        <v>11128</v>
      </c>
      <c r="E502">
        <v>23</v>
      </c>
      <c r="F502">
        <v>2014</v>
      </c>
      <c r="G502" t="s">
        <v>8</v>
      </c>
      <c r="R502" t="str">
        <v/>
      </c>
      <c r="S502" t="str">
        <v/>
      </c>
    </row>
    <row r="503" spans="1:19" x14ac:dyDescent="0.25">
      <c r="A503" t="s">
        <v>553</v>
      </c>
      <c r="B503" t="s">
        <v>554</v>
      </c>
      <c r="C503">
        <v>4.5999999999999996</v>
      </c>
      <c r="D503">
        <v>11128</v>
      </c>
      <c r="E503">
        <v>23</v>
      </c>
      <c r="F503">
        <v>2015</v>
      </c>
      <c r="G503" t="s">
        <v>8</v>
      </c>
      <c r="R503" t="str">
        <v/>
      </c>
      <c r="S503" t="str">
        <v/>
      </c>
    </row>
    <row r="504" spans="1:19" x14ac:dyDescent="0.25">
      <c r="A504" t="s">
        <v>553</v>
      </c>
      <c r="B504" t="s">
        <v>554</v>
      </c>
      <c r="C504">
        <v>4.5999999999999996</v>
      </c>
      <c r="D504">
        <v>11128</v>
      </c>
      <c r="E504">
        <v>23</v>
      </c>
      <c r="F504">
        <v>2016</v>
      </c>
      <c r="G504" t="s">
        <v>8</v>
      </c>
      <c r="R504" t="str">
        <v/>
      </c>
      <c r="S504" t="str">
        <v/>
      </c>
    </row>
    <row r="505" spans="1:19" x14ac:dyDescent="0.25">
      <c r="A505" t="s">
        <v>553</v>
      </c>
      <c r="B505" t="s">
        <v>554</v>
      </c>
      <c r="C505">
        <v>4.5999999999999996</v>
      </c>
      <c r="D505">
        <v>11128</v>
      </c>
      <c r="E505">
        <v>23</v>
      </c>
      <c r="F505">
        <v>2017</v>
      </c>
      <c r="G505" t="s">
        <v>8</v>
      </c>
      <c r="R505" t="str">
        <v/>
      </c>
      <c r="S505" t="str">
        <v/>
      </c>
    </row>
    <row r="506" spans="1:19" x14ac:dyDescent="0.25">
      <c r="A506" t="s">
        <v>555</v>
      </c>
      <c r="B506" t="s">
        <v>556</v>
      </c>
      <c r="C506">
        <v>4.3</v>
      </c>
      <c r="D506">
        <v>5977</v>
      </c>
      <c r="E506">
        <v>12</v>
      </c>
      <c r="F506">
        <v>2011</v>
      </c>
      <c r="G506" t="s">
        <v>8</v>
      </c>
      <c r="R506" t="str">
        <v/>
      </c>
      <c r="S506" t="str">
        <v/>
      </c>
    </row>
    <row r="507" spans="1:19" x14ac:dyDescent="0.25">
      <c r="A507" t="s">
        <v>557</v>
      </c>
      <c r="B507" t="s">
        <v>182</v>
      </c>
      <c r="C507">
        <v>4.8</v>
      </c>
      <c r="D507">
        <v>26234</v>
      </c>
      <c r="E507">
        <v>0</v>
      </c>
      <c r="F507">
        <v>2013</v>
      </c>
      <c r="G507" t="s">
        <v>10</v>
      </c>
      <c r="R507" t="str">
        <v/>
      </c>
      <c r="S507" t="str">
        <v/>
      </c>
    </row>
    <row r="508" spans="1:19" x14ac:dyDescent="0.25">
      <c r="A508" t="s">
        <v>557</v>
      </c>
      <c r="B508" t="s">
        <v>182</v>
      </c>
      <c r="C508">
        <v>4.8</v>
      </c>
      <c r="D508">
        <v>26234</v>
      </c>
      <c r="E508">
        <v>0</v>
      </c>
      <c r="F508">
        <v>2014</v>
      </c>
      <c r="G508" t="s">
        <v>10</v>
      </c>
      <c r="R508" t="str">
        <v/>
      </c>
      <c r="S508" t="str">
        <v/>
      </c>
    </row>
    <row r="509" spans="1:19" x14ac:dyDescent="0.25">
      <c r="A509" t="s">
        <v>557</v>
      </c>
      <c r="B509" t="s">
        <v>182</v>
      </c>
      <c r="C509">
        <v>4.8</v>
      </c>
      <c r="D509">
        <v>26234</v>
      </c>
      <c r="E509">
        <v>0</v>
      </c>
      <c r="F509">
        <v>2015</v>
      </c>
      <c r="G509" t="s">
        <v>10</v>
      </c>
      <c r="R509" t="str">
        <v/>
      </c>
      <c r="S509" t="str">
        <v>To Kill a Mockingbird</v>
      </c>
    </row>
    <row r="510" spans="1:19" x14ac:dyDescent="0.25">
      <c r="A510" t="s">
        <v>557</v>
      </c>
      <c r="B510" t="s">
        <v>182</v>
      </c>
      <c r="C510">
        <v>4.8</v>
      </c>
      <c r="D510">
        <v>26234</v>
      </c>
      <c r="E510">
        <v>0</v>
      </c>
      <c r="F510">
        <v>2016</v>
      </c>
      <c r="G510" t="s">
        <v>10</v>
      </c>
      <c r="R510" t="str">
        <v/>
      </c>
      <c r="S510" t="str">
        <v>To Kill a Mockingbird</v>
      </c>
    </row>
    <row r="511" spans="1:19" x14ac:dyDescent="0.25">
      <c r="A511" t="s">
        <v>557</v>
      </c>
      <c r="B511" t="s">
        <v>182</v>
      </c>
      <c r="C511">
        <v>4.8</v>
      </c>
      <c r="D511">
        <v>26234</v>
      </c>
      <c r="E511">
        <v>7</v>
      </c>
      <c r="F511">
        <v>2019</v>
      </c>
      <c r="G511" t="s">
        <v>10</v>
      </c>
      <c r="R511" t="str">
        <v/>
      </c>
      <c r="S511" t="str">
        <v>To Kill a Mockingbird</v>
      </c>
    </row>
    <row r="512" spans="1:19" x14ac:dyDescent="0.25">
      <c r="A512" t="s">
        <v>558</v>
      </c>
      <c r="B512" t="s">
        <v>381</v>
      </c>
      <c r="C512">
        <v>4.5999999999999996</v>
      </c>
      <c r="D512">
        <v>4360</v>
      </c>
      <c r="E512">
        <v>21</v>
      </c>
      <c r="F512">
        <v>2017</v>
      </c>
      <c r="G512" t="s">
        <v>8</v>
      </c>
      <c r="R512" t="str">
        <v/>
      </c>
      <c r="S512" t="str">
        <v>To Kill a Mockingbird</v>
      </c>
    </row>
    <row r="513" spans="1:19" x14ac:dyDescent="0.25">
      <c r="A513" t="s">
        <v>559</v>
      </c>
      <c r="B513" t="s">
        <v>560</v>
      </c>
      <c r="C513">
        <v>4.8</v>
      </c>
      <c r="D513">
        <v>2282</v>
      </c>
      <c r="E513">
        <v>21</v>
      </c>
      <c r="F513">
        <v>2010</v>
      </c>
      <c r="G513" t="s">
        <v>10</v>
      </c>
      <c r="R513" t="str">
        <v/>
      </c>
      <c r="S513" t="str">
        <v/>
      </c>
    </row>
    <row r="514" spans="1:19" x14ac:dyDescent="0.25">
      <c r="A514" t="s">
        <v>561</v>
      </c>
      <c r="B514" t="s">
        <v>562</v>
      </c>
      <c r="C514">
        <v>4.5</v>
      </c>
      <c r="D514">
        <v>438</v>
      </c>
      <c r="E514">
        <v>15</v>
      </c>
      <c r="F514">
        <v>2009</v>
      </c>
      <c r="G514" t="s">
        <v>8</v>
      </c>
      <c r="R514" t="str">
        <v/>
      </c>
      <c r="S514" t="str">
        <v/>
      </c>
    </row>
    <row r="515" spans="1:19" x14ac:dyDescent="0.25">
      <c r="A515" t="s">
        <v>563</v>
      </c>
      <c r="B515" t="s">
        <v>73</v>
      </c>
      <c r="C515">
        <v>4.7</v>
      </c>
      <c r="D515">
        <v>11676</v>
      </c>
      <c r="E515">
        <v>9</v>
      </c>
      <c r="F515">
        <v>2009</v>
      </c>
      <c r="G515" t="s">
        <v>10</v>
      </c>
      <c r="R515" t="str">
        <v/>
      </c>
      <c r="S515" t="str">
        <v/>
      </c>
    </row>
    <row r="516" spans="1:19" x14ac:dyDescent="0.25">
      <c r="A516" t="s">
        <v>564</v>
      </c>
      <c r="B516" t="s">
        <v>58</v>
      </c>
      <c r="C516">
        <v>4.5</v>
      </c>
      <c r="D516">
        <v>2586</v>
      </c>
      <c r="E516">
        <v>5</v>
      </c>
      <c r="F516">
        <v>2014</v>
      </c>
      <c r="G516" t="s">
        <v>10</v>
      </c>
      <c r="R516" t="str">
        <v/>
      </c>
      <c r="S516" t="str">
        <v/>
      </c>
    </row>
    <row r="517" spans="1:19" x14ac:dyDescent="0.25">
      <c r="A517" t="s">
        <v>565</v>
      </c>
      <c r="B517" t="s">
        <v>566</v>
      </c>
      <c r="C517">
        <v>4.8</v>
      </c>
      <c r="D517">
        <v>29673</v>
      </c>
      <c r="E517">
        <v>16</v>
      </c>
      <c r="F517">
        <v>2010</v>
      </c>
      <c r="G517" t="s">
        <v>8</v>
      </c>
      <c r="R517" t="str">
        <v/>
      </c>
      <c r="S517" t="str">
        <v/>
      </c>
    </row>
    <row r="518" spans="1:19" x14ac:dyDescent="0.25">
      <c r="A518" t="s">
        <v>565</v>
      </c>
      <c r="B518" t="s">
        <v>566</v>
      </c>
      <c r="C518">
        <v>4.8</v>
      </c>
      <c r="D518">
        <v>29673</v>
      </c>
      <c r="E518">
        <v>16</v>
      </c>
      <c r="F518">
        <v>2011</v>
      </c>
      <c r="G518" t="s">
        <v>8</v>
      </c>
      <c r="R518" t="str">
        <v/>
      </c>
      <c r="S518" t="str">
        <v/>
      </c>
    </row>
    <row r="519" spans="1:19" x14ac:dyDescent="0.25">
      <c r="A519" t="s">
        <v>565</v>
      </c>
      <c r="B519" t="s">
        <v>566</v>
      </c>
      <c r="C519">
        <v>4.8</v>
      </c>
      <c r="D519">
        <v>29673</v>
      </c>
      <c r="E519">
        <v>16</v>
      </c>
      <c r="F519">
        <v>2012</v>
      </c>
      <c r="G519" t="s">
        <v>8</v>
      </c>
      <c r="R519" t="str">
        <v/>
      </c>
      <c r="S519" t="str">
        <v/>
      </c>
    </row>
    <row r="520" spans="1:19" x14ac:dyDescent="0.25">
      <c r="A520" t="s">
        <v>565</v>
      </c>
      <c r="B520" t="s">
        <v>566</v>
      </c>
      <c r="C520">
        <v>4.8</v>
      </c>
      <c r="D520">
        <v>29673</v>
      </c>
      <c r="E520">
        <v>13</v>
      </c>
      <c r="F520">
        <v>2014</v>
      </c>
      <c r="G520" t="s">
        <v>8</v>
      </c>
      <c r="R520" t="str">
        <v/>
      </c>
      <c r="S520" t="str">
        <v/>
      </c>
    </row>
    <row r="521" spans="1:19" x14ac:dyDescent="0.25">
      <c r="A521" t="s">
        <v>565</v>
      </c>
      <c r="B521" t="s">
        <v>566</v>
      </c>
      <c r="C521">
        <v>4.8</v>
      </c>
      <c r="D521">
        <v>29673</v>
      </c>
      <c r="E521">
        <v>16</v>
      </c>
      <c r="F521">
        <v>2014</v>
      </c>
      <c r="G521" t="s">
        <v>8</v>
      </c>
      <c r="R521" t="str">
        <v/>
      </c>
      <c r="S521" t="str">
        <v/>
      </c>
    </row>
    <row r="522" spans="1:19" x14ac:dyDescent="0.25">
      <c r="A522" t="s">
        <v>567</v>
      </c>
      <c r="B522" t="s">
        <v>9</v>
      </c>
      <c r="C522">
        <v>4.3</v>
      </c>
      <c r="D522">
        <v>6740</v>
      </c>
      <c r="E522">
        <v>20</v>
      </c>
      <c r="F522">
        <v>2009</v>
      </c>
      <c r="G522" t="s">
        <v>10</v>
      </c>
      <c r="R522" t="str">
        <v/>
      </c>
      <c r="S522" t="str">
        <v/>
      </c>
    </row>
    <row r="523" spans="1:19" x14ac:dyDescent="0.25">
      <c r="A523" t="s">
        <v>568</v>
      </c>
      <c r="B523" t="s">
        <v>277</v>
      </c>
      <c r="C523">
        <v>4.9000000000000004</v>
      </c>
      <c r="D523">
        <v>5956</v>
      </c>
      <c r="E523">
        <v>11</v>
      </c>
      <c r="F523">
        <v>2019</v>
      </c>
      <c r="G523" t="s">
        <v>8</v>
      </c>
      <c r="R523" t="str">
        <v/>
      </c>
      <c r="S523" t="str">
        <v/>
      </c>
    </row>
    <row r="524" spans="1:19" x14ac:dyDescent="0.25">
      <c r="A524" t="s">
        <v>569</v>
      </c>
      <c r="B524" t="s">
        <v>570</v>
      </c>
      <c r="C524">
        <v>4.8</v>
      </c>
      <c r="D524">
        <v>6108</v>
      </c>
      <c r="E524">
        <v>4</v>
      </c>
      <c r="F524">
        <v>2019</v>
      </c>
      <c r="G524" t="s">
        <v>8</v>
      </c>
      <c r="R524" t="str">
        <v/>
      </c>
      <c r="S524" t="str">
        <v/>
      </c>
    </row>
    <row r="525" spans="1:19" x14ac:dyDescent="0.25">
      <c r="A525" t="s">
        <v>571</v>
      </c>
      <c r="B525" t="s">
        <v>249</v>
      </c>
      <c r="C525">
        <v>4.7</v>
      </c>
      <c r="D525">
        <v>4585</v>
      </c>
      <c r="E525">
        <v>9</v>
      </c>
      <c r="F525">
        <v>2016</v>
      </c>
      <c r="G525" t="s">
        <v>8</v>
      </c>
      <c r="R525" t="str">
        <v/>
      </c>
      <c r="S525" t="str">
        <v/>
      </c>
    </row>
    <row r="526" spans="1:19" x14ac:dyDescent="0.25">
      <c r="A526" t="s">
        <v>572</v>
      </c>
      <c r="B526" t="s">
        <v>573</v>
      </c>
      <c r="C526">
        <v>4.8</v>
      </c>
      <c r="D526">
        <v>3829</v>
      </c>
      <c r="E526">
        <v>42</v>
      </c>
      <c r="F526">
        <v>2009</v>
      </c>
      <c r="G526" t="s">
        <v>10</v>
      </c>
      <c r="R526" t="str">
        <v/>
      </c>
      <c r="S526" t="str">
        <v/>
      </c>
    </row>
    <row r="527" spans="1:19" x14ac:dyDescent="0.25">
      <c r="A527" t="s">
        <v>574</v>
      </c>
      <c r="B527" t="s">
        <v>575</v>
      </c>
      <c r="C527">
        <v>4.5</v>
      </c>
      <c r="D527">
        <v>8958</v>
      </c>
      <c r="E527">
        <v>12</v>
      </c>
      <c r="F527">
        <v>2011</v>
      </c>
      <c r="G527" t="s">
        <v>10</v>
      </c>
      <c r="R527" t="str">
        <v/>
      </c>
      <c r="S527" t="str">
        <v/>
      </c>
    </row>
    <row r="528" spans="1:19" x14ac:dyDescent="0.25">
      <c r="A528" t="s">
        <v>576</v>
      </c>
      <c r="B528" t="s">
        <v>577</v>
      </c>
      <c r="C528">
        <v>4.5999999999999996</v>
      </c>
      <c r="D528">
        <v>5492</v>
      </c>
      <c r="E528">
        <v>18</v>
      </c>
      <c r="F528">
        <v>2017</v>
      </c>
      <c r="G528" t="s">
        <v>8</v>
      </c>
      <c r="R528" t="str">
        <v/>
      </c>
      <c r="S528" t="str">
        <v/>
      </c>
    </row>
    <row r="529" spans="1:19" x14ac:dyDescent="0.25">
      <c r="A529" t="s">
        <v>578</v>
      </c>
      <c r="B529" t="s">
        <v>579</v>
      </c>
      <c r="C529">
        <v>4.7</v>
      </c>
      <c r="D529">
        <v>9292</v>
      </c>
      <c r="E529">
        <v>17</v>
      </c>
      <c r="F529">
        <v>2014</v>
      </c>
      <c r="G529" t="s">
        <v>8</v>
      </c>
      <c r="R529" t="str">
        <v/>
      </c>
      <c r="S529" t="str">
        <v/>
      </c>
    </row>
    <row r="530" spans="1:19" x14ac:dyDescent="0.25">
      <c r="A530" t="s">
        <v>580</v>
      </c>
      <c r="B530" t="s">
        <v>317</v>
      </c>
      <c r="C530">
        <v>4.7</v>
      </c>
      <c r="D530">
        <v>1873</v>
      </c>
      <c r="E530">
        <v>14</v>
      </c>
      <c r="F530">
        <v>2015</v>
      </c>
      <c r="G530" t="s">
        <v>10</v>
      </c>
      <c r="R530" t="str">
        <v/>
      </c>
      <c r="S530" t="str">
        <v/>
      </c>
    </row>
    <row r="531" spans="1:19" x14ac:dyDescent="0.25">
      <c r="A531" t="s">
        <v>581</v>
      </c>
      <c r="B531" t="s">
        <v>582</v>
      </c>
      <c r="C531">
        <v>4.8</v>
      </c>
      <c r="D531">
        <v>8170</v>
      </c>
      <c r="E531">
        <v>13</v>
      </c>
      <c r="F531">
        <v>2019</v>
      </c>
      <c r="G531" t="s">
        <v>10</v>
      </c>
      <c r="R531" t="str">
        <v/>
      </c>
      <c r="S531" t="str">
        <v/>
      </c>
    </row>
    <row r="532" spans="1:19" x14ac:dyDescent="0.25">
      <c r="A532" t="s">
        <v>583</v>
      </c>
      <c r="B532" t="s">
        <v>584</v>
      </c>
      <c r="C532">
        <v>4.4000000000000004</v>
      </c>
      <c r="D532">
        <v>3341</v>
      </c>
      <c r="E532">
        <v>9</v>
      </c>
      <c r="F532">
        <v>2011</v>
      </c>
      <c r="G532" t="s">
        <v>8</v>
      </c>
      <c r="R532" t="str">
        <v/>
      </c>
      <c r="S532" t="str">
        <v/>
      </c>
    </row>
    <row r="533" spans="1:19" x14ac:dyDescent="0.25">
      <c r="A533" t="s">
        <v>585</v>
      </c>
      <c r="B533" t="s">
        <v>586</v>
      </c>
      <c r="C533">
        <v>4.4000000000000004</v>
      </c>
      <c r="D533">
        <v>7497</v>
      </c>
      <c r="E533">
        <v>6</v>
      </c>
      <c r="F533">
        <v>2012</v>
      </c>
      <c r="G533" t="s">
        <v>8</v>
      </c>
      <c r="R533" t="str">
        <v/>
      </c>
      <c r="S533" t="str">
        <v/>
      </c>
    </row>
    <row r="534" spans="1:19" x14ac:dyDescent="0.25">
      <c r="A534" t="s">
        <v>585</v>
      </c>
      <c r="B534" t="s">
        <v>586</v>
      </c>
      <c r="C534">
        <v>4.4000000000000004</v>
      </c>
      <c r="D534">
        <v>7497</v>
      </c>
      <c r="E534">
        <v>6</v>
      </c>
      <c r="F534">
        <v>2013</v>
      </c>
      <c r="G534" t="s">
        <v>8</v>
      </c>
      <c r="R534" t="str">
        <v/>
      </c>
      <c r="S534" t="str">
        <v/>
      </c>
    </row>
    <row r="535" spans="1:19" x14ac:dyDescent="0.25">
      <c r="A535" t="s">
        <v>587</v>
      </c>
      <c r="B535" t="s">
        <v>588</v>
      </c>
      <c r="C535">
        <v>4.8</v>
      </c>
      <c r="D535">
        <v>13779</v>
      </c>
      <c r="E535">
        <v>14</v>
      </c>
      <c r="F535">
        <v>2016</v>
      </c>
      <c r="G535" t="s">
        <v>8</v>
      </c>
      <c r="R535" t="str">
        <v/>
      </c>
      <c r="S535" t="str">
        <v/>
      </c>
    </row>
    <row r="536" spans="1:19" x14ac:dyDescent="0.25">
      <c r="A536" t="s">
        <v>589</v>
      </c>
      <c r="B536" t="s">
        <v>590</v>
      </c>
      <c r="C536">
        <v>4.8</v>
      </c>
      <c r="D536">
        <v>87841</v>
      </c>
      <c r="E536">
        <v>15</v>
      </c>
      <c r="F536">
        <v>2019</v>
      </c>
      <c r="G536" t="s">
        <v>10</v>
      </c>
      <c r="M536" t="s">
        <v>615</v>
      </c>
      <c r="R536" t="str">
        <v/>
      </c>
      <c r="S536" t="str">
        <v/>
      </c>
    </row>
    <row r="537" spans="1:19" x14ac:dyDescent="0.25">
      <c r="A537" t="s">
        <v>591</v>
      </c>
      <c r="B537" t="s">
        <v>592</v>
      </c>
      <c r="C537">
        <v>4.8</v>
      </c>
      <c r="D537">
        <v>9967</v>
      </c>
      <c r="E537">
        <v>13</v>
      </c>
      <c r="F537">
        <v>2009</v>
      </c>
      <c r="G537" t="s">
        <v>10</v>
      </c>
      <c r="R537" t="str">
        <v/>
      </c>
      <c r="S537" t="str">
        <v/>
      </c>
    </row>
    <row r="538" spans="1:19" x14ac:dyDescent="0.25">
      <c r="A538" t="s">
        <v>593</v>
      </c>
      <c r="B538" t="s">
        <v>594</v>
      </c>
      <c r="C538">
        <v>4.5999999999999996</v>
      </c>
      <c r="D538">
        <v>6669</v>
      </c>
      <c r="E538">
        <v>12</v>
      </c>
      <c r="F538">
        <v>2018</v>
      </c>
      <c r="G538" t="s">
        <v>8</v>
      </c>
      <c r="R538" t="str">
        <v/>
      </c>
      <c r="S538" t="str">
        <v/>
      </c>
    </row>
    <row r="539" spans="1:19" x14ac:dyDescent="0.25">
      <c r="A539" t="s">
        <v>595</v>
      </c>
      <c r="B539" t="s">
        <v>596</v>
      </c>
      <c r="C539">
        <v>4.4000000000000004</v>
      </c>
      <c r="D539">
        <v>17044</v>
      </c>
      <c r="E539">
        <v>18</v>
      </c>
      <c r="F539">
        <v>2012</v>
      </c>
      <c r="G539" t="s">
        <v>8</v>
      </c>
      <c r="R539" t="str">
        <v/>
      </c>
      <c r="S539" t="str">
        <v/>
      </c>
    </row>
    <row r="540" spans="1:19" x14ac:dyDescent="0.25">
      <c r="A540" t="s">
        <v>597</v>
      </c>
      <c r="B540" t="s">
        <v>598</v>
      </c>
      <c r="C540">
        <v>4.5</v>
      </c>
      <c r="D540">
        <v>10760</v>
      </c>
      <c r="E540">
        <v>15</v>
      </c>
      <c r="F540">
        <v>2012</v>
      </c>
      <c r="G540" t="s">
        <v>10</v>
      </c>
      <c r="R540" t="str">
        <v/>
      </c>
      <c r="S540" t="str">
        <v/>
      </c>
    </row>
    <row r="541" spans="1:19" x14ac:dyDescent="0.25">
      <c r="A541" t="s">
        <v>599</v>
      </c>
      <c r="B541" t="s">
        <v>600</v>
      </c>
      <c r="C541">
        <v>4.2</v>
      </c>
      <c r="D541">
        <v>1302</v>
      </c>
      <c r="E541">
        <v>11</v>
      </c>
      <c r="F541">
        <v>2010</v>
      </c>
      <c r="G541" t="s">
        <v>8</v>
      </c>
      <c r="R541" t="str">
        <v/>
      </c>
      <c r="S541" t="str">
        <v/>
      </c>
    </row>
    <row r="542" spans="1:19" x14ac:dyDescent="0.25">
      <c r="A542" t="s">
        <v>601</v>
      </c>
      <c r="B542" t="s">
        <v>602</v>
      </c>
      <c r="C542">
        <v>4.8</v>
      </c>
      <c r="D542">
        <v>21625</v>
      </c>
      <c r="E542">
        <v>9</v>
      </c>
      <c r="F542">
        <v>2013</v>
      </c>
      <c r="G542" t="s">
        <v>10</v>
      </c>
      <c r="R542" t="str">
        <v/>
      </c>
      <c r="S542" t="str">
        <v/>
      </c>
    </row>
    <row r="543" spans="1:19" x14ac:dyDescent="0.25">
      <c r="A543" t="s">
        <v>601</v>
      </c>
      <c r="B543" t="s">
        <v>602</v>
      </c>
      <c r="C543">
        <v>4.8</v>
      </c>
      <c r="D543">
        <v>21625</v>
      </c>
      <c r="E543">
        <v>9</v>
      </c>
      <c r="F543">
        <v>2014</v>
      </c>
      <c r="G543" t="s">
        <v>10</v>
      </c>
      <c r="R543" t="str">
        <v/>
      </c>
      <c r="S543" t="str">
        <v/>
      </c>
    </row>
    <row r="544" spans="1:19" x14ac:dyDescent="0.25">
      <c r="A544" t="s">
        <v>601</v>
      </c>
      <c r="B544" t="s">
        <v>602</v>
      </c>
      <c r="C544">
        <v>4.8</v>
      </c>
      <c r="D544">
        <v>21625</v>
      </c>
      <c r="E544">
        <v>9</v>
      </c>
      <c r="F544">
        <v>2015</v>
      </c>
      <c r="G544" t="s">
        <v>10</v>
      </c>
      <c r="R544" t="str">
        <v/>
      </c>
      <c r="S544" t="str">
        <v/>
      </c>
    </row>
    <row r="545" spans="1:19" x14ac:dyDescent="0.25">
      <c r="A545" t="s">
        <v>601</v>
      </c>
      <c r="B545" t="s">
        <v>602</v>
      </c>
      <c r="C545">
        <v>4.8</v>
      </c>
      <c r="D545">
        <v>21625</v>
      </c>
      <c r="E545">
        <v>9</v>
      </c>
      <c r="F545">
        <v>2016</v>
      </c>
      <c r="G545" t="s">
        <v>10</v>
      </c>
      <c r="R545" t="str">
        <v/>
      </c>
      <c r="S545" t="str">
        <v/>
      </c>
    </row>
    <row r="546" spans="1:19" x14ac:dyDescent="0.25">
      <c r="A546" t="s">
        <v>601</v>
      </c>
      <c r="B546" t="s">
        <v>602</v>
      </c>
      <c r="C546">
        <v>4.8</v>
      </c>
      <c r="D546">
        <v>21625</v>
      </c>
      <c r="E546">
        <v>9</v>
      </c>
      <c r="F546">
        <v>2017</v>
      </c>
      <c r="G546" t="s">
        <v>10</v>
      </c>
      <c r="R546" t="str">
        <v/>
      </c>
      <c r="S546" t="str">
        <v/>
      </c>
    </row>
    <row r="547" spans="1:19" x14ac:dyDescent="0.25">
      <c r="A547" t="s">
        <v>603</v>
      </c>
      <c r="B547" t="s">
        <v>78</v>
      </c>
      <c r="C547">
        <v>4.9000000000000004</v>
      </c>
      <c r="D547">
        <v>9413</v>
      </c>
      <c r="E547">
        <v>8</v>
      </c>
      <c r="F547">
        <v>2019</v>
      </c>
      <c r="G547" t="s">
        <v>10</v>
      </c>
      <c r="R547" t="str">
        <v/>
      </c>
      <c r="S547" t="str">
        <v/>
      </c>
    </row>
    <row r="548" spans="1:19" x14ac:dyDescent="0.25">
      <c r="A548" t="s">
        <v>604</v>
      </c>
      <c r="B548" t="s">
        <v>605</v>
      </c>
      <c r="C548">
        <v>4.7</v>
      </c>
      <c r="D548">
        <v>14331</v>
      </c>
      <c r="E548">
        <v>8</v>
      </c>
      <c r="F548">
        <v>2016</v>
      </c>
      <c r="G548" t="s">
        <v>8</v>
      </c>
      <c r="R548" t="str">
        <v/>
      </c>
      <c r="S548" t="str">
        <v/>
      </c>
    </row>
    <row r="549" spans="1:19" x14ac:dyDescent="0.25">
      <c r="A549" t="s">
        <v>604</v>
      </c>
      <c r="B549" t="s">
        <v>605</v>
      </c>
      <c r="C549">
        <v>4.7</v>
      </c>
      <c r="D549">
        <v>14331</v>
      </c>
      <c r="E549">
        <v>8</v>
      </c>
      <c r="F549">
        <v>2017</v>
      </c>
      <c r="G549" t="s">
        <v>8</v>
      </c>
      <c r="R549" t="str">
        <v/>
      </c>
      <c r="S549" t="str">
        <v/>
      </c>
    </row>
    <row r="550" spans="1:19" x14ac:dyDescent="0.25">
      <c r="A550" t="s">
        <v>604</v>
      </c>
      <c r="B550" t="s">
        <v>605</v>
      </c>
      <c r="C550">
        <v>4.7</v>
      </c>
      <c r="D550">
        <v>14331</v>
      </c>
      <c r="E550">
        <v>8</v>
      </c>
      <c r="F550">
        <v>2018</v>
      </c>
      <c r="G550" t="s">
        <v>8</v>
      </c>
      <c r="R550" t="str">
        <v/>
      </c>
      <c r="S550" t="str">
        <v/>
      </c>
    </row>
    <row r="551" spans="1:19" x14ac:dyDescent="0.25">
      <c r="A551" t="s">
        <v>604</v>
      </c>
      <c r="B551" t="s">
        <v>605</v>
      </c>
      <c r="C551">
        <v>4.7</v>
      </c>
      <c r="D551">
        <v>14331</v>
      </c>
      <c r="E551">
        <v>8</v>
      </c>
      <c r="F551">
        <v>2019</v>
      </c>
      <c r="G551" t="s">
        <v>8</v>
      </c>
      <c r="R551" t="str">
        <v/>
      </c>
      <c r="S551" t="str">
        <v/>
      </c>
    </row>
    <row r="552" spans="1:19" x14ac:dyDescent="0.25">
      <c r="M552" t="s">
        <v>616</v>
      </c>
      <c r="S552" t="str">
        <v/>
      </c>
    </row>
    <row r="553" spans="1:19" x14ac:dyDescent="0.25">
      <c r="M553" t="s">
        <v>617</v>
      </c>
      <c r="S553" t="str">
        <v/>
      </c>
    </row>
    <row r="554" spans="1:19" x14ac:dyDescent="0.25">
      <c r="M554" t="s">
        <v>618</v>
      </c>
    </row>
    <row r="555" spans="1:19" x14ac:dyDescent="0.25">
      <c r="M555" t="s">
        <v>619</v>
      </c>
    </row>
    <row r="556" spans="1:19" x14ac:dyDescent="0.25">
      <c r="M556" t="s">
        <v>616</v>
      </c>
    </row>
    <row r="557" spans="1:19" x14ac:dyDescent="0.25">
      <c r="M557" t="s">
        <v>617</v>
      </c>
    </row>
    <row r="558" spans="1:19" x14ac:dyDescent="0.25">
      <c r="M558" t="s">
        <v>618</v>
      </c>
    </row>
    <row r="559" spans="1:19" x14ac:dyDescent="0.25">
      <c r="M559" t="s">
        <v>619</v>
      </c>
    </row>
    <row r="560" spans="1:19" x14ac:dyDescent="0.25">
      <c r="M560" t="s">
        <v>616</v>
      </c>
    </row>
    <row r="561" spans="13:13" x14ac:dyDescent="0.25">
      <c r="M561" t="s">
        <v>617</v>
      </c>
    </row>
    <row r="562" spans="13:13" x14ac:dyDescent="0.25">
      <c r="M562" t="s">
        <v>618</v>
      </c>
    </row>
    <row r="563" spans="13:13" x14ac:dyDescent="0.25">
      <c r="M563" t="s">
        <v>619</v>
      </c>
    </row>
  </sheetData>
  <autoFilter ref="A1:S563" xr:uid="{435D6FA5-8185-4B78-A22F-CAD01EDF402B}"/>
  <phoneticPr fontId="19" type="noConversion"/>
  <conditionalFormatting sqref="D1:D551 D1186:D1048576">
    <cfRule type="cellIs" dxfId="15" priority="2" operator="lessThan">
      <formula>100</formula>
    </cfRule>
  </conditionalFormatting>
  <conditionalFormatting sqref="E2:E1048576">
    <cfRule type="cellIs" dxfId="14" priority="1" operator="notBetween">
      <formula>0</formula>
      <formula>54</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94A2-D6C9-4045-9CCF-4F61B7217F47}">
  <sheetPr filterMode="1"/>
  <dimension ref="A1:I552"/>
  <sheetViews>
    <sheetView topLeftCell="B1" zoomScaleNormal="100" workbookViewId="0">
      <selection activeCell="I1" sqref="I1:I552"/>
    </sheetView>
  </sheetViews>
  <sheetFormatPr defaultRowHeight="15" x14ac:dyDescent="0.25"/>
  <cols>
    <col min="1" max="1" width="29.7109375" customWidth="1"/>
    <col min="2" max="2" width="33.42578125" customWidth="1"/>
    <col min="4" max="4" width="10.7109375" bestFit="1" customWidth="1"/>
    <col min="7" max="7" width="11.140625" bestFit="1" customWidth="1"/>
    <col min="8" max="8" width="6.85546875" customWidth="1"/>
    <col min="9" max="9" width="67" bestFit="1" customWidth="1"/>
  </cols>
  <sheetData>
    <row r="1" spans="1:9" x14ac:dyDescent="0.25">
      <c r="A1" t="s">
        <v>0</v>
      </c>
      <c r="B1" t="s">
        <v>610</v>
      </c>
      <c r="C1" t="s">
        <v>1</v>
      </c>
      <c r="D1" t="s">
        <v>2</v>
      </c>
      <c r="E1" t="s">
        <v>3</v>
      </c>
      <c r="F1" t="s">
        <v>4</v>
      </c>
      <c r="G1" t="s">
        <v>5</v>
      </c>
      <c r="H1" t="s">
        <v>628</v>
      </c>
      <c r="I1" s="4" t="s">
        <v>630</v>
      </c>
    </row>
    <row r="2" spans="1:9" hidden="1" x14ac:dyDescent="0.25">
      <c r="A2" t="s">
        <v>6</v>
      </c>
      <c r="B2" t="s">
        <v>7</v>
      </c>
      <c r="C2">
        <v>4.7</v>
      </c>
      <c r="D2">
        <v>17350</v>
      </c>
      <c r="E2">
        <v>8</v>
      </c>
      <c r="F2">
        <v>2016</v>
      </c>
      <c r="G2" t="s">
        <v>8</v>
      </c>
      <c r="H2">
        <f>MAX(E:E)</f>
        <v>105</v>
      </c>
      <c r="I2" t="str" cm="1">
        <f t="array" ref="I2:I551">IF(E2:E551=H2,A2:A551,"")</f>
        <v/>
      </c>
    </row>
    <row r="3" spans="1:9" hidden="1" x14ac:dyDescent="0.25">
      <c r="A3" t="s">
        <v>606</v>
      </c>
      <c r="B3" t="s">
        <v>9</v>
      </c>
      <c r="C3">
        <v>4.5999999999999996</v>
      </c>
      <c r="D3">
        <v>2052</v>
      </c>
      <c r="E3">
        <v>22</v>
      </c>
      <c r="F3">
        <v>2011</v>
      </c>
      <c r="G3" t="s">
        <v>10</v>
      </c>
      <c r="I3" t="str">
        <v/>
      </c>
    </row>
    <row r="4" spans="1:9" hidden="1" x14ac:dyDescent="0.25">
      <c r="A4" t="s">
        <v>11</v>
      </c>
      <c r="B4" t="s">
        <v>12</v>
      </c>
      <c r="C4">
        <v>4.7</v>
      </c>
      <c r="D4">
        <v>18979</v>
      </c>
      <c r="E4">
        <v>15</v>
      </c>
      <c r="F4">
        <v>2018</v>
      </c>
      <c r="G4" t="s">
        <v>8</v>
      </c>
      <c r="I4" t="str">
        <v/>
      </c>
    </row>
    <row r="5" spans="1:9" hidden="1" x14ac:dyDescent="0.25">
      <c r="A5" t="s">
        <v>13</v>
      </c>
      <c r="B5" t="s">
        <v>14</v>
      </c>
      <c r="C5">
        <v>4.7</v>
      </c>
      <c r="D5">
        <v>21424</v>
      </c>
      <c r="E5">
        <v>6</v>
      </c>
      <c r="F5">
        <v>2017</v>
      </c>
      <c r="G5" t="s">
        <v>10</v>
      </c>
      <c r="I5" t="str">
        <v/>
      </c>
    </row>
    <row r="6" spans="1:9" hidden="1" x14ac:dyDescent="0.25">
      <c r="A6" t="s">
        <v>15</v>
      </c>
      <c r="B6" t="s">
        <v>16</v>
      </c>
      <c r="C6">
        <v>4.8</v>
      </c>
      <c r="D6">
        <v>7665</v>
      </c>
      <c r="E6">
        <v>12</v>
      </c>
      <c r="F6">
        <v>2019</v>
      </c>
      <c r="G6" t="s">
        <v>8</v>
      </c>
      <c r="I6" t="str">
        <v/>
      </c>
    </row>
    <row r="7" spans="1:9" hidden="1" x14ac:dyDescent="0.25">
      <c r="A7" t="s">
        <v>17</v>
      </c>
      <c r="B7" t="s">
        <v>18</v>
      </c>
      <c r="C7">
        <v>4.4000000000000004</v>
      </c>
      <c r="D7">
        <v>12643</v>
      </c>
      <c r="E7">
        <v>11</v>
      </c>
      <c r="F7">
        <v>2011</v>
      </c>
      <c r="G7" t="s">
        <v>10</v>
      </c>
      <c r="I7" t="str">
        <v/>
      </c>
    </row>
    <row r="8" spans="1:9" hidden="1" x14ac:dyDescent="0.25">
      <c r="A8" t="s">
        <v>19</v>
      </c>
      <c r="B8" t="s">
        <v>18</v>
      </c>
      <c r="C8">
        <v>4.7</v>
      </c>
      <c r="D8">
        <v>19735</v>
      </c>
      <c r="E8">
        <v>30</v>
      </c>
      <c r="F8">
        <v>2014</v>
      </c>
      <c r="G8" t="s">
        <v>10</v>
      </c>
      <c r="I8" t="str">
        <v/>
      </c>
    </row>
    <row r="9" spans="1:9" hidden="1" x14ac:dyDescent="0.25">
      <c r="A9" t="s">
        <v>20</v>
      </c>
      <c r="B9" t="s">
        <v>21</v>
      </c>
      <c r="C9">
        <v>4.7</v>
      </c>
      <c r="D9">
        <v>19699</v>
      </c>
      <c r="E9">
        <v>15</v>
      </c>
      <c r="F9">
        <v>2017</v>
      </c>
      <c r="G9" t="s">
        <v>10</v>
      </c>
      <c r="I9" t="str">
        <v/>
      </c>
    </row>
    <row r="10" spans="1:9" hidden="1" x14ac:dyDescent="0.25">
      <c r="A10" t="s">
        <v>22</v>
      </c>
      <c r="B10" t="s">
        <v>23</v>
      </c>
      <c r="C10">
        <v>4.7</v>
      </c>
      <c r="D10">
        <v>5983</v>
      </c>
      <c r="E10">
        <v>3</v>
      </c>
      <c r="F10">
        <v>2018</v>
      </c>
      <c r="G10" t="s">
        <v>8</v>
      </c>
      <c r="I10" t="str">
        <v/>
      </c>
    </row>
    <row r="11" spans="1:9" hidden="1" x14ac:dyDescent="0.25">
      <c r="A11" t="s">
        <v>24</v>
      </c>
      <c r="B11" t="s">
        <v>25</v>
      </c>
      <c r="C11">
        <v>4.5999999999999996</v>
      </c>
      <c r="D11">
        <v>23848</v>
      </c>
      <c r="E11">
        <v>8</v>
      </c>
      <c r="F11">
        <v>2016</v>
      </c>
      <c r="G11" t="s">
        <v>10</v>
      </c>
      <c r="I11" t="str">
        <v/>
      </c>
    </row>
    <row r="12" spans="1:9" hidden="1" x14ac:dyDescent="0.25">
      <c r="A12" t="s">
        <v>24</v>
      </c>
      <c r="B12" t="s">
        <v>25</v>
      </c>
      <c r="C12">
        <v>4.5999999999999996</v>
      </c>
      <c r="D12">
        <v>23848</v>
      </c>
      <c r="E12">
        <v>8</v>
      </c>
      <c r="F12">
        <v>2017</v>
      </c>
      <c r="G12" t="s">
        <v>10</v>
      </c>
      <c r="I12" t="str">
        <v/>
      </c>
    </row>
    <row r="13" spans="1:9" hidden="1" x14ac:dyDescent="0.25">
      <c r="A13" t="s">
        <v>26</v>
      </c>
      <c r="B13" t="s">
        <v>27</v>
      </c>
      <c r="C13">
        <v>4.5999999999999996</v>
      </c>
      <c r="D13">
        <v>460</v>
      </c>
      <c r="E13">
        <v>2</v>
      </c>
      <c r="F13">
        <v>2010</v>
      </c>
      <c r="G13" t="s">
        <v>8</v>
      </c>
      <c r="I13" t="str">
        <v/>
      </c>
    </row>
    <row r="14" spans="1:9" hidden="1" x14ac:dyDescent="0.25">
      <c r="A14" t="s">
        <v>28</v>
      </c>
      <c r="B14" t="s">
        <v>29</v>
      </c>
      <c r="C14">
        <v>4.5999999999999996</v>
      </c>
      <c r="D14">
        <v>4149</v>
      </c>
      <c r="E14">
        <v>32</v>
      </c>
      <c r="F14">
        <v>2011</v>
      </c>
      <c r="G14" t="s">
        <v>8</v>
      </c>
      <c r="I14" t="str">
        <v/>
      </c>
    </row>
    <row r="15" spans="1:9" hidden="1" x14ac:dyDescent="0.25">
      <c r="A15" t="s">
        <v>30</v>
      </c>
      <c r="B15" t="s">
        <v>31</v>
      </c>
      <c r="C15">
        <v>4.5</v>
      </c>
      <c r="D15">
        <v>5153</v>
      </c>
      <c r="E15">
        <v>5</v>
      </c>
      <c r="F15">
        <v>2018</v>
      </c>
      <c r="G15" t="s">
        <v>10</v>
      </c>
      <c r="I15" t="str">
        <v/>
      </c>
    </row>
    <row r="16" spans="1:9" hidden="1" x14ac:dyDescent="0.25">
      <c r="A16" t="s">
        <v>32</v>
      </c>
      <c r="B16" t="s">
        <v>33</v>
      </c>
      <c r="C16">
        <v>4.5999999999999996</v>
      </c>
      <c r="D16">
        <v>5013</v>
      </c>
      <c r="E16">
        <v>17</v>
      </c>
      <c r="F16">
        <v>2009</v>
      </c>
      <c r="G16" t="s">
        <v>8</v>
      </c>
      <c r="I16" t="str">
        <v/>
      </c>
    </row>
    <row r="17" spans="1:9" hidden="1" x14ac:dyDescent="0.25">
      <c r="A17" t="s">
        <v>34</v>
      </c>
      <c r="B17" t="s">
        <v>35</v>
      </c>
      <c r="C17">
        <v>4.5</v>
      </c>
      <c r="D17">
        <v>2313</v>
      </c>
      <c r="E17">
        <v>4</v>
      </c>
      <c r="F17">
        <v>2016</v>
      </c>
      <c r="G17" t="s">
        <v>8</v>
      </c>
      <c r="I17" t="str">
        <v/>
      </c>
    </row>
    <row r="18" spans="1:9" hidden="1" x14ac:dyDescent="0.25">
      <c r="A18" t="s">
        <v>36</v>
      </c>
      <c r="B18" t="s">
        <v>37</v>
      </c>
      <c r="C18">
        <v>4.5999999999999996</v>
      </c>
      <c r="D18">
        <v>2925</v>
      </c>
      <c r="E18">
        <v>6</v>
      </c>
      <c r="F18">
        <v>2015</v>
      </c>
      <c r="G18" t="s">
        <v>8</v>
      </c>
      <c r="I18" t="str">
        <v/>
      </c>
    </row>
    <row r="19" spans="1:9" hidden="1" x14ac:dyDescent="0.25">
      <c r="A19" t="s">
        <v>38</v>
      </c>
      <c r="B19" t="s">
        <v>37</v>
      </c>
      <c r="C19">
        <v>4.4000000000000004</v>
      </c>
      <c r="D19">
        <v>2951</v>
      </c>
      <c r="E19">
        <v>6</v>
      </c>
      <c r="F19">
        <v>2015</v>
      </c>
      <c r="G19" t="s">
        <v>8</v>
      </c>
      <c r="I19" t="str">
        <v/>
      </c>
    </row>
    <row r="20" spans="1:9" hidden="1" x14ac:dyDescent="0.25">
      <c r="A20" t="s">
        <v>39</v>
      </c>
      <c r="B20" t="s">
        <v>40</v>
      </c>
      <c r="C20">
        <v>4.5</v>
      </c>
      <c r="D20">
        <v>2426</v>
      </c>
      <c r="E20">
        <v>8</v>
      </c>
      <c r="F20">
        <v>2015</v>
      </c>
      <c r="G20" t="s">
        <v>8</v>
      </c>
      <c r="I20" t="str">
        <v/>
      </c>
    </row>
    <row r="21" spans="1:9" hidden="1" x14ac:dyDescent="0.25">
      <c r="A21" t="s">
        <v>41</v>
      </c>
      <c r="B21" t="s">
        <v>42</v>
      </c>
      <c r="C21">
        <v>4.8</v>
      </c>
      <c r="D21">
        <v>9198</v>
      </c>
      <c r="E21">
        <v>13</v>
      </c>
      <c r="F21">
        <v>2016</v>
      </c>
      <c r="G21" t="s">
        <v>8</v>
      </c>
      <c r="I21" t="str">
        <v/>
      </c>
    </row>
    <row r="22" spans="1:9" hidden="1" x14ac:dyDescent="0.25">
      <c r="A22" t="s">
        <v>43</v>
      </c>
      <c r="B22" t="s">
        <v>44</v>
      </c>
      <c r="C22">
        <v>4.5999999999999996</v>
      </c>
      <c r="D22">
        <v>36348</v>
      </c>
      <c r="E22">
        <v>14</v>
      </c>
      <c r="F22">
        <v>2014</v>
      </c>
      <c r="G22" t="s">
        <v>10</v>
      </c>
      <c r="I22" t="str">
        <v/>
      </c>
    </row>
    <row r="23" spans="1:9" hidden="1" x14ac:dyDescent="0.25">
      <c r="A23" t="s">
        <v>43</v>
      </c>
      <c r="B23" t="s">
        <v>44</v>
      </c>
      <c r="C23">
        <v>4.5999999999999996</v>
      </c>
      <c r="D23">
        <v>36348</v>
      </c>
      <c r="E23">
        <v>14</v>
      </c>
      <c r="F23">
        <v>2015</v>
      </c>
      <c r="G23" t="s">
        <v>10</v>
      </c>
      <c r="I23" t="str">
        <v/>
      </c>
    </row>
    <row r="24" spans="1:9" hidden="1" x14ac:dyDescent="0.25">
      <c r="A24" t="s">
        <v>45</v>
      </c>
      <c r="B24" t="s">
        <v>46</v>
      </c>
      <c r="C24">
        <v>3.9</v>
      </c>
      <c r="D24">
        <v>6310</v>
      </c>
      <c r="E24">
        <v>13</v>
      </c>
      <c r="F24">
        <v>2013</v>
      </c>
      <c r="G24" t="s">
        <v>10</v>
      </c>
      <c r="I24" t="str">
        <v/>
      </c>
    </row>
    <row r="25" spans="1:9" hidden="1" x14ac:dyDescent="0.25">
      <c r="A25" t="s">
        <v>47</v>
      </c>
      <c r="B25" t="s">
        <v>48</v>
      </c>
      <c r="C25">
        <v>4.5999999999999996</v>
      </c>
      <c r="D25">
        <v>15921</v>
      </c>
      <c r="E25">
        <v>9</v>
      </c>
      <c r="F25">
        <v>2015</v>
      </c>
      <c r="G25" t="s">
        <v>8</v>
      </c>
      <c r="I25" t="str">
        <v/>
      </c>
    </row>
    <row r="26" spans="1:9" hidden="1" x14ac:dyDescent="0.25">
      <c r="A26" t="s">
        <v>49</v>
      </c>
      <c r="B26" t="s">
        <v>50</v>
      </c>
      <c r="C26">
        <v>4.3</v>
      </c>
      <c r="D26">
        <v>12159</v>
      </c>
      <c r="E26">
        <v>13</v>
      </c>
      <c r="F26">
        <v>2013</v>
      </c>
      <c r="G26" t="s">
        <v>10</v>
      </c>
      <c r="I26" t="str">
        <v/>
      </c>
    </row>
    <row r="27" spans="1:9" hidden="1" x14ac:dyDescent="0.25">
      <c r="A27" t="s">
        <v>51</v>
      </c>
      <c r="B27" t="s">
        <v>52</v>
      </c>
      <c r="C27">
        <v>4.5999999999999996</v>
      </c>
      <c r="D27">
        <v>798</v>
      </c>
      <c r="E27">
        <v>5</v>
      </c>
      <c r="F27">
        <v>2009</v>
      </c>
      <c r="G27" t="s">
        <v>8</v>
      </c>
      <c r="I27" t="str">
        <v/>
      </c>
    </row>
    <row r="28" spans="1:9" hidden="1" x14ac:dyDescent="0.25">
      <c r="A28" t="s">
        <v>53</v>
      </c>
      <c r="B28" t="s">
        <v>54</v>
      </c>
      <c r="C28">
        <v>4.7</v>
      </c>
      <c r="D28">
        <v>9374</v>
      </c>
      <c r="E28">
        <v>9</v>
      </c>
      <c r="F28">
        <v>2017</v>
      </c>
      <c r="G28" t="s">
        <v>8</v>
      </c>
      <c r="I28" t="str">
        <v/>
      </c>
    </row>
    <row r="29" spans="1:9" hidden="1" x14ac:dyDescent="0.25">
      <c r="A29" t="s">
        <v>55</v>
      </c>
      <c r="B29" t="s">
        <v>56</v>
      </c>
      <c r="C29">
        <v>4.2</v>
      </c>
      <c r="D29">
        <v>491</v>
      </c>
      <c r="E29">
        <v>14</v>
      </c>
      <c r="F29">
        <v>2010</v>
      </c>
      <c r="G29" t="s">
        <v>8</v>
      </c>
      <c r="I29" t="str">
        <v/>
      </c>
    </row>
    <row r="30" spans="1:9" hidden="1" x14ac:dyDescent="0.25">
      <c r="A30" t="s">
        <v>57</v>
      </c>
      <c r="B30" t="s">
        <v>58</v>
      </c>
      <c r="C30">
        <v>4.5999999999999996</v>
      </c>
      <c r="D30">
        <v>5360</v>
      </c>
      <c r="E30">
        <v>5</v>
      </c>
      <c r="F30">
        <v>2015</v>
      </c>
      <c r="G30" t="s">
        <v>8</v>
      </c>
      <c r="I30" t="str">
        <v/>
      </c>
    </row>
    <row r="31" spans="1:9" hidden="1" x14ac:dyDescent="0.25">
      <c r="A31" t="s">
        <v>59</v>
      </c>
      <c r="B31" t="s">
        <v>60</v>
      </c>
      <c r="C31">
        <v>4.5999999999999996</v>
      </c>
      <c r="D31">
        <v>1909</v>
      </c>
      <c r="E31">
        <v>11</v>
      </c>
      <c r="F31">
        <v>2015</v>
      </c>
      <c r="G31" t="s">
        <v>8</v>
      </c>
      <c r="I31" t="str">
        <v/>
      </c>
    </row>
    <row r="32" spans="1:9" hidden="1" x14ac:dyDescent="0.25">
      <c r="A32" t="s">
        <v>61</v>
      </c>
      <c r="B32" t="s">
        <v>62</v>
      </c>
      <c r="C32">
        <v>4.8</v>
      </c>
      <c r="D32">
        <v>1296</v>
      </c>
      <c r="E32">
        <v>24</v>
      </c>
      <c r="F32">
        <v>2012</v>
      </c>
      <c r="G32" t="s">
        <v>8</v>
      </c>
      <c r="I32" t="str">
        <v/>
      </c>
    </row>
    <row r="33" spans="1:9" hidden="1" x14ac:dyDescent="0.25">
      <c r="A33" t="s">
        <v>63</v>
      </c>
      <c r="B33" t="s">
        <v>62</v>
      </c>
      <c r="C33">
        <v>4.7</v>
      </c>
      <c r="D33">
        <v>615</v>
      </c>
      <c r="E33">
        <v>21</v>
      </c>
      <c r="F33">
        <v>2010</v>
      </c>
      <c r="G33" t="s">
        <v>8</v>
      </c>
      <c r="I33" t="str">
        <v/>
      </c>
    </row>
    <row r="34" spans="1:9" hidden="1" x14ac:dyDescent="0.25">
      <c r="A34" t="s">
        <v>64</v>
      </c>
      <c r="B34" t="s">
        <v>65</v>
      </c>
      <c r="C34">
        <v>4.8</v>
      </c>
      <c r="D34">
        <v>61133</v>
      </c>
      <c r="E34">
        <v>11</v>
      </c>
      <c r="F34">
        <v>2018</v>
      </c>
      <c r="G34" t="s">
        <v>8</v>
      </c>
      <c r="I34" t="str">
        <v/>
      </c>
    </row>
    <row r="35" spans="1:9" hidden="1" x14ac:dyDescent="0.25">
      <c r="A35" t="s">
        <v>64</v>
      </c>
      <c r="B35" t="s">
        <v>65</v>
      </c>
      <c r="C35">
        <v>4.8</v>
      </c>
      <c r="D35">
        <v>61133</v>
      </c>
      <c r="E35">
        <v>11</v>
      </c>
      <c r="F35">
        <v>2019</v>
      </c>
      <c r="G35" t="s">
        <v>8</v>
      </c>
      <c r="I35" t="str">
        <v/>
      </c>
    </row>
    <row r="36" spans="1:9" hidden="1" x14ac:dyDescent="0.25">
      <c r="A36" t="s">
        <v>66</v>
      </c>
      <c r="B36" t="s">
        <v>67</v>
      </c>
      <c r="C36">
        <v>4.8</v>
      </c>
      <c r="D36">
        <v>11113</v>
      </c>
      <c r="E36">
        <v>15</v>
      </c>
      <c r="F36">
        <v>2015</v>
      </c>
      <c r="G36" t="s">
        <v>8</v>
      </c>
      <c r="I36" t="str">
        <v/>
      </c>
    </row>
    <row r="37" spans="1:9" hidden="1" x14ac:dyDescent="0.25">
      <c r="A37" t="s">
        <v>68</v>
      </c>
      <c r="B37" t="s">
        <v>69</v>
      </c>
      <c r="C37">
        <v>4.7</v>
      </c>
      <c r="D37">
        <v>10070</v>
      </c>
      <c r="E37">
        <v>13</v>
      </c>
      <c r="F37">
        <v>2015</v>
      </c>
      <c r="G37" t="s">
        <v>8</v>
      </c>
      <c r="I37" t="str">
        <v/>
      </c>
    </row>
    <row r="38" spans="1:9" hidden="1" x14ac:dyDescent="0.25">
      <c r="A38" t="s">
        <v>68</v>
      </c>
      <c r="B38" t="s">
        <v>69</v>
      </c>
      <c r="C38">
        <v>4.7</v>
      </c>
      <c r="D38">
        <v>10070</v>
      </c>
      <c r="E38">
        <v>13</v>
      </c>
      <c r="F38">
        <v>2016</v>
      </c>
      <c r="G38" t="s">
        <v>8</v>
      </c>
      <c r="I38" t="str">
        <v/>
      </c>
    </row>
    <row r="39" spans="1:9" hidden="1" x14ac:dyDescent="0.25">
      <c r="A39" t="s">
        <v>70</v>
      </c>
      <c r="B39" t="s">
        <v>71</v>
      </c>
      <c r="C39">
        <v>4.7</v>
      </c>
      <c r="D39">
        <v>3729</v>
      </c>
      <c r="E39">
        <v>18</v>
      </c>
      <c r="F39">
        <v>2016</v>
      </c>
      <c r="G39" t="s">
        <v>8</v>
      </c>
      <c r="I39" t="str">
        <v/>
      </c>
    </row>
    <row r="40" spans="1:9" hidden="1" x14ac:dyDescent="0.25">
      <c r="A40" t="s">
        <v>72</v>
      </c>
      <c r="B40" t="s">
        <v>73</v>
      </c>
      <c r="C40">
        <v>4.5999999999999996</v>
      </c>
      <c r="D40">
        <v>9769</v>
      </c>
      <c r="E40">
        <v>13</v>
      </c>
      <c r="F40">
        <v>2009</v>
      </c>
      <c r="G40" t="s">
        <v>10</v>
      </c>
      <c r="I40" t="str">
        <v/>
      </c>
    </row>
    <row r="41" spans="1:9" hidden="1" x14ac:dyDescent="0.25">
      <c r="A41" t="s">
        <v>74</v>
      </c>
      <c r="B41" t="s">
        <v>52</v>
      </c>
      <c r="C41">
        <v>4.5</v>
      </c>
      <c r="D41">
        <v>471</v>
      </c>
      <c r="E41">
        <v>8</v>
      </c>
      <c r="F41">
        <v>2010</v>
      </c>
      <c r="G41" t="s">
        <v>8</v>
      </c>
      <c r="I41" t="str">
        <v/>
      </c>
    </row>
    <row r="42" spans="1:9" hidden="1" x14ac:dyDescent="0.25">
      <c r="A42" t="s">
        <v>75</v>
      </c>
      <c r="B42" t="s">
        <v>76</v>
      </c>
      <c r="C42">
        <v>4.9000000000000004</v>
      </c>
      <c r="D42">
        <v>14344</v>
      </c>
      <c r="E42">
        <v>5</v>
      </c>
      <c r="F42">
        <v>2017</v>
      </c>
      <c r="G42" t="s">
        <v>10</v>
      </c>
      <c r="I42" t="str">
        <v/>
      </c>
    </row>
    <row r="43" spans="1:9" hidden="1" x14ac:dyDescent="0.25">
      <c r="A43" t="s">
        <v>75</v>
      </c>
      <c r="B43" t="s">
        <v>76</v>
      </c>
      <c r="C43">
        <v>4.9000000000000004</v>
      </c>
      <c r="D43">
        <v>14344</v>
      </c>
      <c r="E43">
        <v>5</v>
      </c>
      <c r="F43">
        <v>2019</v>
      </c>
      <c r="G43" t="s">
        <v>10</v>
      </c>
      <c r="I43" t="str">
        <v/>
      </c>
    </row>
    <row r="44" spans="1:9" hidden="1" x14ac:dyDescent="0.25">
      <c r="A44" t="s">
        <v>77</v>
      </c>
      <c r="B44" t="s">
        <v>78</v>
      </c>
      <c r="C44">
        <v>4.8</v>
      </c>
      <c r="D44">
        <v>4505</v>
      </c>
      <c r="E44">
        <v>0</v>
      </c>
      <c r="F44">
        <v>2011</v>
      </c>
      <c r="G44" t="s">
        <v>10</v>
      </c>
      <c r="I44" t="str">
        <v/>
      </c>
    </row>
    <row r="45" spans="1:9" hidden="1" x14ac:dyDescent="0.25">
      <c r="A45" t="s">
        <v>79</v>
      </c>
      <c r="B45" t="s">
        <v>80</v>
      </c>
      <c r="C45">
        <v>4.5999999999999996</v>
      </c>
      <c r="D45">
        <v>10369</v>
      </c>
      <c r="E45">
        <v>4</v>
      </c>
      <c r="F45">
        <v>2016</v>
      </c>
      <c r="G45" t="s">
        <v>8</v>
      </c>
      <c r="I45" t="str">
        <v/>
      </c>
    </row>
    <row r="46" spans="1:9" hidden="1" x14ac:dyDescent="0.25">
      <c r="A46" t="s">
        <v>81</v>
      </c>
      <c r="B46" t="s">
        <v>82</v>
      </c>
      <c r="C46">
        <v>4.8</v>
      </c>
      <c r="D46">
        <v>16244</v>
      </c>
      <c r="E46">
        <v>18</v>
      </c>
      <c r="F46">
        <v>2019</v>
      </c>
      <c r="G46" t="s">
        <v>8</v>
      </c>
      <c r="I46" t="str">
        <v/>
      </c>
    </row>
    <row r="47" spans="1:9" hidden="1" x14ac:dyDescent="0.25">
      <c r="A47" t="s">
        <v>83</v>
      </c>
      <c r="B47" t="s">
        <v>84</v>
      </c>
      <c r="C47">
        <v>4.5</v>
      </c>
      <c r="D47">
        <v>2884</v>
      </c>
      <c r="E47">
        <v>28</v>
      </c>
      <c r="F47">
        <v>2014</v>
      </c>
      <c r="G47" t="s">
        <v>8</v>
      </c>
      <c r="I47" t="str">
        <v/>
      </c>
    </row>
    <row r="48" spans="1:9" hidden="1" x14ac:dyDescent="0.25">
      <c r="A48" t="s">
        <v>85</v>
      </c>
      <c r="B48" t="s">
        <v>86</v>
      </c>
      <c r="C48">
        <v>4.7</v>
      </c>
      <c r="D48">
        <v>22614</v>
      </c>
      <c r="E48">
        <v>11</v>
      </c>
      <c r="F48">
        <v>2010</v>
      </c>
      <c r="G48" t="s">
        <v>10</v>
      </c>
      <c r="I48" t="str">
        <v/>
      </c>
    </row>
    <row r="49" spans="1:9" hidden="1" x14ac:dyDescent="0.25">
      <c r="A49" t="s">
        <v>85</v>
      </c>
      <c r="B49" t="s">
        <v>86</v>
      </c>
      <c r="C49">
        <v>4.7</v>
      </c>
      <c r="D49">
        <v>22614</v>
      </c>
      <c r="E49">
        <v>11</v>
      </c>
      <c r="F49">
        <v>2011</v>
      </c>
      <c r="G49" t="s">
        <v>10</v>
      </c>
      <c r="I49" t="str">
        <v/>
      </c>
    </row>
    <row r="50" spans="1:9" hidden="1" x14ac:dyDescent="0.25">
      <c r="A50" t="s">
        <v>85</v>
      </c>
      <c r="B50" t="s">
        <v>86</v>
      </c>
      <c r="C50">
        <v>4.7</v>
      </c>
      <c r="D50">
        <v>22614</v>
      </c>
      <c r="E50">
        <v>11</v>
      </c>
      <c r="F50">
        <v>2012</v>
      </c>
      <c r="G50" t="s">
        <v>10</v>
      </c>
      <c r="I50" t="str">
        <v/>
      </c>
    </row>
    <row r="51" spans="1:9" hidden="1" x14ac:dyDescent="0.25">
      <c r="A51" t="s">
        <v>87</v>
      </c>
      <c r="B51" t="s">
        <v>88</v>
      </c>
      <c r="C51">
        <v>4.7</v>
      </c>
      <c r="D51">
        <v>4761</v>
      </c>
      <c r="E51">
        <v>16</v>
      </c>
      <c r="F51">
        <v>2016</v>
      </c>
      <c r="G51" t="s">
        <v>8</v>
      </c>
      <c r="I51" t="str">
        <v/>
      </c>
    </row>
    <row r="52" spans="1:9" hidden="1" x14ac:dyDescent="0.25">
      <c r="A52" t="s">
        <v>89</v>
      </c>
      <c r="B52" t="s">
        <v>90</v>
      </c>
      <c r="C52">
        <v>4.7</v>
      </c>
      <c r="D52">
        <v>1542</v>
      </c>
      <c r="E52">
        <v>14</v>
      </c>
      <c r="F52">
        <v>2009</v>
      </c>
      <c r="G52" t="s">
        <v>8</v>
      </c>
      <c r="I52" t="str">
        <v/>
      </c>
    </row>
    <row r="53" spans="1:9" hidden="1" x14ac:dyDescent="0.25">
      <c r="A53" t="s">
        <v>89</v>
      </c>
      <c r="B53" t="s">
        <v>90</v>
      </c>
      <c r="C53">
        <v>4.7</v>
      </c>
      <c r="D53">
        <v>1542</v>
      </c>
      <c r="E53">
        <v>14</v>
      </c>
      <c r="F53">
        <v>2010</v>
      </c>
      <c r="G53" t="s">
        <v>8</v>
      </c>
      <c r="I53" t="str">
        <v/>
      </c>
    </row>
    <row r="54" spans="1:9" hidden="1" x14ac:dyDescent="0.25">
      <c r="A54" t="s">
        <v>89</v>
      </c>
      <c r="B54" t="s">
        <v>90</v>
      </c>
      <c r="C54">
        <v>4.7</v>
      </c>
      <c r="D54">
        <v>1542</v>
      </c>
      <c r="E54">
        <v>14</v>
      </c>
      <c r="F54">
        <v>2011</v>
      </c>
      <c r="G54" t="s">
        <v>8</v>
      </c>
      <c r="I54" t="str">
        <v/>
      </c>
    </row>
    <row r="55" spans="1:9" hidden="1" x14ac:dyDescent="0.25">
      <c r="A55" t="s">
        <v>91</v>
      </c>
      <c r="B55" t="s">
        <v>92</v>
      </c>
      <c r="C55">
        <v>4.3</v>
      </c>
      <c r="D55">
        <v>6143</v>
      </c>
      <c r="E55">
        <v>8</v>
      </c>
      <c r="F55">
        <v>2018</v>
      </c>
      <c r="G55" t="s">
        <v>10</v>
      </c>
      <c r="I55" t="str">
        <v/>
      </c>
    </row>
    <row r="56" spans="1:9" hidden="1" x14ac:dyDescent="0.25">
      <c r="A56" t="s">
        <v>93</v>
      </c>
      <c r="B56" t="s">
        <v>94</v>
      </c>
      <c r="C56">
        <v>4.8</v>
      </c>
      <c r="D56">
        <v>4022</v>
      </c>
      <c r="E56">
        <v>4</v>
      </c>
      <c r="F56">
        <v>2015</v>
      </c>
      <c r="G56" t="s">
        <v>8</v>
      </c>
      <c r="I56" t="str">
        <v/>
      </c>
    </row>
    <row r="57" spans="1:9" hidden="1" x14ac:dyDescent="0.25">
      <c r="A57" t="s">
        <v>95</v>
      </c>
      <c r="B57" t="s">
        <v>94</v>
      </c>
      <c r="C57">
        <v>4.8</v>
      </c>
      <c r="D57">
        <v>3871</v>
      </c>
      <c r="E57">
        <v>5</v>
      </c>
      <c r="F57">
        <v>2015</v>
      </c>
      <c r="G57" t="s">
        <v>8</v>
      </c>
      <c r="I57" t="str">
        <v/>
      </c>
    </row>
    <row r="58" spans="1:9" hidden="1" x14ac:dyDescent="0.25">
      <c r="A58" t="s">
        <v>96</v>
      </c>
      <c r="B58" t="s">
        <v>97</v>
      </c>
      <c r="C58">
        <v>4.5999999999999996</v>
      </c>
      <c r="D58">
        <v>4866</v>
      </c>
      <c r="E58">
        <v>11</v>
      </c>
      <c r="F58">
        <v>2010</v>
      </c>
      <c r="G58" t="s">
        <v>10</v>
      </c>
      <c r="I58" t="str">
        <v/>
      </c>
    </row>
    <row r="59" spans="1:9" hidden="1" x14ac:dyDescent="0.25">
      <c r="A59" t="s">
        <v>96</v>
      </c>
      <c r="B59" t="s">
        <v>97</v>
      </c>
      <c r="C59">
        <v>4.5999999999999996</v>
      </c>
      <c r="D59">
        <v>4866</v>
      </c>
      <c r="E59">
        <v>11</v>
      </c>
      <c r="F59">
        <v>2011</v>
      </c>
      <c r="G59" t="s">
        <v>10</v>
      </c>
      <c r="I59" t="str">
        <v/>
      </c>
    </row>
    <row r="60" spans="1:9" hidden="1" x14ac:dyDescent="0.25">
      <c r="A60" t="s">
        <v>98</v>
      </c>
      <c r="B60" t="s">
        <v>99</v>
      </c>
      <c r="C60">
        <v>4.8</v>
      </c>
      <c r="D60">
        <v>1329</v>
      </c>
      <c r="E60">
        <v>10</v>
      </c>
      <c r="F60">
        <v>2013</v>
      </c>
      <c r="G60" t="s">
        <v>8</v>
      </c>
      <c r="I60" t="str">
        <v/>
      </c>
    </row>
    <row r="61" spans="1:9" hidden="1" x14ac:dyDescent="0.25">
      <c r="A61" t="s">
        <v>100</v>
      </c>
      <c r="B61" t="s">
        <v>101</v>
      </c>
      <c r="C61">
        <v>4.4000000000000004</v>
      </c>
      <c r="D61">
        <v>4642</v>
      </c>
      <c r="E61">
        <v>13</v>
      </c>
      <c r="F61">
        <v>2013</v>
      </c>
      <c r="G61" t="s">
        <v>8</v>
      </c>
      <c r="I61" t="str">
        <v/>
      </c>
    </row>
    <row r="62" spans="1:9" hidden="1" x14ac:dyDescent="0.25">
      <c r="A62" t="s">
        <v>102</v>
      </c>
      <c r="B62" t="s">
        <v>103</v>
      </c>
      <c r="C62">
        <v>4.5999999999999996</v>
      </c>
      <c r="D62">
        <v>1541</v>
      </c>
      <c r="E62">
        <v>4</v>
      </c>
      <c r="F62">
        <v>2009</v>
      </c>
      <c r="G62" t="s">
        <v>10</v>
      </c>
      <c r="I62" t="str">
        <v/>
      </c>
    </row>
    <row r="63" spans="1:9" hidden="1" x14ac:dyDescent="0.25">
      <c r="A63" t="s">
        <v>104</v>
      </c>
      <c r="B63" t="s">
        <v>103</v>
      </c>
      <c r="C63">
        <v>4.3</v>
      </c>
      <c r="D63">
        <v>1924</v>
      </c>
      <c r="E63">
        <v>8</v>
      </c>
      <c r="F63">
        <v>2010</v>
      </c>
      <c r="G63" t="s">
        <v>10</v>
      </c>
      <c r="I63" t="str">
        <v/>
      </c>
    </row>
    <row r="64" spans="1:9" hidden="1" x14ac:dyDescent="0.25">
      <c r="A64" t="s">
        <v>105</v>
      </c>
      <c r="B64" t="s">
        <v>103</v>
      </c>
      <c r="C64">
        <v>4.2</v>
      </c>
      <c r="D64">
        <v>2094</v>
      </c>
      <c r="E64">
        <v>4</v>
      </c>
      <c r="F64">
        <v>2011</v>
      </c>
      <c r="G64" t="s">
        <v>10</v>
      </c>
      <c r="I64" t="str">
        <v/>
      </c>
    </row>
    <row r="65" spans="1:9" hidden="1" x14ac:dyDescent="0.25">
      <c r="A65" t="s">
        <v>106</v>
      </c>
      <c r="B65" t="s">
        <v>107</v>
      </c>
      <c r="C65">
        <v>4.8</v>
      </c>
      <c r="D65">
        <v>10922</v>
      </c>
      <c r="E65">
        <v>5</v>
      </c>
      <c r="F65">
        <v>2015</v>
      </c>
      <c r="G65" t="s">
        <v>10</v>
      </c>
      <c r="I65" t="str">
        <v/>
      </c>
    </row>
    <row r="66" spans="1:9" hidden="1" x14ac:dyDescent="0.25">
      <c r="A66" t="s">
        <v>106</v>
      </c>
      <c r="B66" t="s">
        <v>107</v>
      </c>
      <c r="C66">
        <v>4.8</v>
      </c>
      <c r="D66">
        <v>10922</v>
      </c>
      <c r="E66">
        <v>5</v>
      </c>
      <c r="F66">
        <v>2016</v>
      </c>
      <c r="G66" t="s">
        <v>10</v>
      </c>
      <c r="I66" t="str">
        <v/>
      </c>
    </row>
    <row r="67" spans="1:9" hidden="1" x14ac:dyDescent="0.25">
      <c r="A67" t="s">
        <v>106</v>
      </c>
      <c r="B67" t="s">
        <v>107</v>
      </c>
      <c r="C67">
        <v>4.8</v>
      </c>
      <c r="D67">
        <v>10922</v>
      </c>
      <c r="E67">
        <v>5</v>
      </c>
      <c r="F67">
        <v>2017</v>
      </c>
      <c r="G67" t="s">
        <v>10</v>
      </c>
      <c r="I67" t="str">
        <v/>
      </c>
    </row>
    <row r="68" spans="1:9" hidden="1" x14ac:dyDescent="0.25">
      <c r="A68" t="s">
        <v>106</v>
      </c>
      <c r="B68" t="s">
        <v>107</v>
      </c>
      <c r="C68">
        <v>4.8</v>
      </c>
      <c r="D68">
        <v>10922</v>
      </c>
      <c r="E68">
        <v>5</v>
      </c>
      <c r="F68">
        <v>2018</v>
      </c>
      <c r="G68" t="s">
        <v>10</v>
      </c>
      <c r="I68" t="str">
        <v/>
      </c>
    </row>
    <row r="69" spans="1:9" hidden="1" x14ac:dyDescent="0.25">
      <c r="A69" t="s">
        <v>108</v>
      </c>
      <c r="B69" t="s">
        <v>109</v>
      </c>
      <c r="C69">
        <v>4.5999999999999996</v>
      </c>
      <c r="D69">
        <v>2137</v>
      </c>
      <c r="E69">
        <v>17</v>
      </c>
      <c r="F69">
        <v>2010</v>
      </c>
      <c r="G69" t="s">
        <v>8</v>
      </c>
      <c r="I69" t="str">
        <v/>
      </c>
    </row>
    <row r="70" spans="1:9" hidden="1" x14ac:dyDescent="0.25">
      <c r="A70" t="s">
        <v>110</v>
      </c>
      <c r="B70" t="s">
        <v>111</v>
      </c>
      <c r="C70">
        <v>4.5999999999999996</v>
      </c>
      <c r="D70">
        <v>1651</v>
      </c>
      <c r="E70">
        <v>15</v>
      </c>
      <c r="F70">
        <v>2010</v>
      </c>
      <c r="G70" t="s">
        <v>8</v>
      </c>
      <c r="I70" t="str">
        <v/>
      </c>
    </row>
    <row r="71" spans="1:9" x14ac:dyDescent="0.25">
      <c r="A71" t="s">
        <v>112</v>
      </c>
      <c r="B71" t="s">
        <v>113</v>
      </c>
      <c r="C71">
        <v>4.5</v>
      </c>
      <c r="D71">
        <v>6679</v>
      </c>
      <c r="E71">
        <v>105</v>
      </c>
      <c r="F71">
        <v>2013</v>
      </c>
      <c r="G71" t="s">
        <v>8</v>
      </c>
      <c r="H71">
        <v>105</v>
      </c>
      <c r="I71" s="4" t="str">
        <v>Diagnostic and Statistical Manual of Mental Disorders, 5th Edition: DSM-5</v>
      </c>
    </row>
    <row r="72" spans="1:9" x14ac:dyDescent="0.25">
      <c r="A72" t="s">
        <v>112</v>
      </c>
      <c r="B72" t="s">
        <v>113</v>
      </c>
      <c r="C72">
        <v>4.5</v>
      </c>
      <c r="D72">
        <v>6679</v>
      </c>
      <c r="E72">
        <v>105</v>
      </c>
      <c r="F72">
        <v>2014</v>
      </c>
      <c r="G72" t="s">
        <v>8</v>
      </c>
      <c r="H72">
        <v>105</v>
      </c>
      <c r="I72" s="4" t="str">
        <v>Diagnostic and Statistical Manual of Mental Disorders, 5th Edition: DSM-5</v>
      </c>
    </row>
    <row r="73" spans="1:9" hidden="1" x14ac:dyDescent="0.25">
      <c r="A73" t="s">
        <v>114</v>
      </c>
      <c r="B73" t="s">
        <v>78</v>
      </c>
      <c r="C73">
        <v>4.8</v>
      </c>
      <c r="D73">
        <v>6812</v>
      </c>
      <c r="E73">
        <v>0</v>
      </c>
      <c r="F73">
        <v>2013</v>
      </c>
      <c r="G73" t="s">
        <v>10</v>
      </c>
      <c r="I73" t="str">
        <v/>
      </c>
    </row>
    <row r="74" spans="1:9" hidden="1" x14ac:dyDescent="0.25">
      <c r="A74" t="s">
        <v>115</v>
      </c>
      <c r="B74" t="s">
        <v>78</v>
      </c>
      <c r="C74">
        <v>4.8</v>
      </c>
      <c r="D74">
        <v>3837</v>
      </c>
      <c r="E74">
        <v>15</v>
      </c>
      <c r="F74">
        <v>2009</v>
      </c>
      <c r="G74" t="s">
        <v>10</v>
      </c>
      <c r="I74" t="str">
        <v/>
      </c>
    </row>
    <row r="75" spans="1:9" hidden="1" x14ac:dyDescent="0.25">
      <c r="A75" t="s">
        <v>116</v>
      </c>
      <c r="B75" t="s">
        <v>78</v>
      </c>
      <c r="C75">
        <v>4.8</v>
      </c>
      <c r="D75">
        <v>6540</v>
      </c>
      <c r="E75">
        <v>22</v>
      </c>
      <c r="F75">
        <v>2014</v>
      </c>
      <c r="G75" t="s">
        <v>10</v>
      </c>
      <c r="I75" t="str">
        <v/>
      </c>
    </row>
    <row r="76" spans="1:9" hidden="1" x14ac:dyDescent="0.25">
      <c r="A76" t="s">
        <v>117</v>
      </c>
      <c r="B76" t="s">
        <v>118</v>
      </c>
      <c r="C76">
        <v>4.5999999999999996</v>
      </c>
      <c r="D76">
        <v>7955</v>
      </c>
      <c r="E76">
        <v>5</v>
      </c>
      <c r="F76">
        <v>2019</v>
      </c>
      <c r="G76" t="s">
        <v>8</v>
      </c>
      <c r="I76" t="str">
        <v/>
      </c>
    </row>
    <row r="77" spans="1:9" hidden="1" x14ac:dyDescent="0.25">
      <c r="A77" t="s">
        <v>119</v>
      </c>
      <c r="B77" t="s">
        <v>46</v>
      </c>
      <c r="C77">
        <v>4.5999999999999996</v>
      </c>
      <c r="D77">
        <v>27098</v>
      </c>
      <c r="E77">
        <v>15</v>
      </c>
      <c r="F77">
        <v>2013</v>
      </c>
      <c r="G77" t="s">
        <v>10</v>
      </c>
      <c r="I77" t="str">
        <v/>
      </c>
    </row>
    <row r="78" spans="1:9" hidden="1" x14ac:dyDescent="0.25">
      <c r="A78" t="s">
        <v>119</v>
      </c>
      <c r="B78" t="s">
        <v>46</v>
      </c>
      <c r="C78">
        <v>4.5999999999999996</v>
      </c>
      <c r="D78">
        <v>27098</v>
      </c>
      <c r="E78">
        <v>15</v>
      </c>
      <c r="F78">
        <v>2014</v>
      </c>
      <c r="G78" t="s">
        <v>10</v>
      </c>
      <c r="I78" t="str">
        <v/>
      </c>
    </row>
    <row r="79" spans="1:9" hidden="1" x14ac:dyDescent="0.25">
      <c r="A79" t="s">
        <v>120</v>
      </c>
      <c r="B79" t="s">
        <v>46</v>
      </c>
      <c r="C79">
        <v>4.5</v>
      </c>
      <c r="D79">
        <v>17684</v>
      </c>
      <c r="E79">
        <v>6</v>
      </c>
      <c r="F79">
        <v>2014</v>
      </c>
      <c r="G79" t="s">
        <v>10</v>
      </c>
      <c r="I79" t="str">
        <v/>
      </c>
    </row>
    <row r="80" spans="1:9" hidden="1" x14ac:dyDescent="0.25">
      <c r="A80" t="s">
        <v>121</v>
      </c>
      <c r="B80" t="s">
        <v>122</v>
      </c>
      <c r="C80">
        <v>4.5999999999999996</v>
      </c>
      <c r="D80">
        <v>37</v>
      </c>
      <c r="E80">
        <v>6</v>
      </c>
      <c r="F80">
        <v>2009</v>
      </c>
      <c r="G80" t="s">
        <v>8</v>
      </c>
      <c r="I80" t="str">
        <v/>
      </c>
    </row>
    <row r="81" spans="1:9" hidden="1" x14ac:dyDescent="0.25">
      <c r="A81" t="s">
        <v>123</v>
      </c>
      <c r="B81" t="s">
        <v>9</v>
      </c>
      <c r="C81">
        <v>4.7</v>
      </c>
      <c r="D81">
        <v>15845</v>
      </c>
      <c r="E81">
        <v>13</v>
      </c>
      <c r="F81">
        <v>2013</v>
      </c>
      <c r="G81" t="s">
        <v>10</v>
      </c>
      <c r="I81" t="str">
        <v/>
      </c>
    </row>
    <row r="82" spans="1:9" hidden="1" x14ac:dyDescent="0.25">
      <c r="A82" t="s">
        <v>124</v>
      </c>
      <c r="B82" t="s">
        <v>78</v>
      </c>
      <c r="C82">
        <v>4.8</v>
      </c>
      <c r="D82">
        <v>3181</v>
      </c>
      <c r="E82">
        <v>12</v>
      </c>
      <c r="F82">
        <v>2009</v>
      </c>
      <c r="G82" t="s">
        <v>10</v>
      </c>
      <c r="I82" t="str">
        <v/>
      </c>
    </row>
    <row r="83" spans="1:9" hidden="1" x14ac:dyDescent="0.25">
      <c r="A83" t="s">
        <v>125</v>
      </c>
      <c r="B83" t="s">
        <v>126</v>
      </c>
      <c r="C83">
        <v>4.9000000000000004</v>
      </c>
      <c r="D83">
        <v>5062</v>
      </c>
      <c r="E83">
        <v>6</v>
      </c>
      <c r="F83">
        <v>2018</v>
      </c>
      <c r="G83" t="s">
        <v>10</v>
      </c>
      <c r="I83" t="str">
        <v/>
      </c>
    </row>
    <row r="84" spans="1:9" hidden="1" x14ac:dyDescent="0.25">
      <c r="A84" t="s">
        <v>127</v>
      </c>
      <c r="B84" t="s">
        <v>126</v>
      </c>
      <c r="C84">
        <v>4.9000000000000004</v>
      </c>
      <c r="D84">
        <v>4786</v>
      </c>
      <c r="E84">
        <v>8</v>
      </c>
      <c r="F84">
        <v>2017</v>
      </c>
      <c r="G84" t="s">
        <v>10</v>
      </c>
      <c r="I84" t="str">
        <v/>
      </c>
    </row>
    <row r="85" spans="1:9" hidden="1" x14ac:dyDescent="0.25">
      <c r="A85" t="s">
        <v>128</v>
      </c>
      <c r="B85" t="s">
        <v>126</v>
      </c>
      <c r="C85">
        <v>4.9000000000000004</v>
      </c>
      <c r="D85">
        <v>7235</v>
      </c>
      <c r="E85">
        <v>4</v>
      </c>
      <c r="F85">
        <v>2018</v>
      </c>
      <c r="G85" t="s">
        <v>10</v>
      </c>
      <c r="I85" t="str">
        <v/>
      </c>
    </row>
    <row r="86" spans="1:9" hidden="1" x14ac:dyDescent="0.25">
      <c r="A86" t="s">
        <v>128</v>
      </c>
      <c r="B86" t="s">
        <v>126</v>
      </c>
      <c r="C86">
        <v>4.9000000000000004</v>
      </c>
      <c r="D86">
        <v>7235</v>
      </c>
      <c r="E86">
        <v>4</v>
      </c>
      <c r="F86">
        <v>2019</v>
      </c>
      <c r="G86" t="s">
        <v>10</v>
      </c>
      <c r="I86" t="str">
        <v/>
      </c>
    </row>
    <row r="87" spans="1:9" hidden="1" x14ac:dyDescent="0.25">
      <c r="A87" t="s">
        <v>129</v>
      </c>
      <c r="B87" t="s">
        <v>126</v>
      </c>
      <c r="C87">
        <v>4.9000000000000004</v>
      </c>
      <c r="D87">
        <v>12619</v>
      </c>
      <c r="E87">
        <v>8</v>
      </c>
      <c r="F87">
        <v>2019</v>
      </c>
      <c r="G87" t="s">
        <v>10</v>
      </c>
      <c r="I87" t="str">
        <v/>
      </c>
    </row>
    <row r="88" spans="1:9" hidden="1" x14ac:dyDescent="0.25">
      <c r="A88" t="s">
        <v>130</v>
      </c>
      <c r="B88" t="s">
        <v>126</v>
      </c>
      <c r="C88">
        <v>4.9000000000000004</v>
      </c>
      <c r="D88">
        <v>9089</v>
      </c>
      <c r="E88">
        <v>8</v>
      </c>
      <c r="F88">
        <v>2019</v>
      </c>
      <c r="G88" t="s">
        <v>10</v>
      </c>
      <c r="I88" t="str">
        <v/>
      </c>
    </row>
    <row r="89" spans="1:9" hidden="1" x14ac:dyDescent="0.25">
      <c r="A89" t="s">
        <v>131</v>
      </c>
      <c r="B89" t="s">
        <v>126</v>
      </c>
      <c r="C89">
        <v>4.9000000000000004</v>
      </c>
      <c r="D89">
        <v>5470</v>
      </c>
      <c r="E89">
        <v>6</v>
      </c>
      <c r="F89">
        <v>2018</v>
      </c>
      <c r="G89" t="s">
        <v>10</v>
      </c>
      <c r="I89" t="str">
        <v/>
      </c>
    </row>
    <row r="90" spans="1:9" hidden="1" x14ac:dyDescent="0.25">
      <c r="A90" t="s">
        <v>132</v>
      </c>
      <c r="B90" t="s">
        <v>78</v>
      </c>
      <c r="C90">
        <v>4.8</v>
      </c>
      <c r="D90">
        <v>5118</v>
      </c>
      <c r="E90">
        <v>20</v>
      </c>
      <c r="F90">
        <v>2016</v>
      </c>
      <c r="G90" t="s">
        <v>10</v>
      </c>
      <c r="I90" t="str">
        <v/>
      </c>
    </row>
    <row r="91" spans="1:9" hidden="1" x14ac:dyDescent="0.25">
      <c r="A91" t="s">
        <v>133</v>
      </c>
      <c r="B91" t="s">
        <v>134</v>
      </c>
      <c r="C91">
        <v>4.5999999999999996</v>
      </c>
      <c r="D91">
        <v>2134</v>
      </c>
      <c r="E91">
        <v>5</v>
      </c>
      <c r="F91">
        <v>2015</v>
      </c>
      <c r="G91" t="s">
        <v>8</v>
      </c>
      <c r="I91" t="str">
        <v/>
      </c>
    </row>
    <row r="92" spans="1:9" hidden="1" x14ac:dyDescent="0.25">
      <c r="A92" t="s">
        <v>135</v>
      </c>
      <c r="B92" t="s">
        <v>136</v>
      </c>
      <c r="C92">
        <v>4.5</v>
      </c>
      <c r="D92">
        <v>2525</v>
      </c>
      <c r="E92">
        <v>16</v>
      </c>
      <c r="F92">
        <v>2010</v>
      </c>
      <c r="G92" t="s">
        <v>8</v>
      </c>
      <c r="I92" t="str">
        <v/>
      </c>
    </row>
    <row r="93" spans="1:9" hidden="1" x14ac:dyDescent="0.25">
      <c r="A93" t="s">
        <v>137</v>
      </c>
      <c r="B93" t="s">
        <v>138</v>
      </c>
      <c r="C93">
        <v>4.5</v>
      </c>
      <c r="D93">
        <v>720</v>
      </c>
      <c r="E93">
        <v>1</v>
      </c>
      <c r="F93">
        <v>2009</v>
      </c>
      <c r="G93" t="s">
        <v>8</v>
      </c>
      <c r="I93" t="str">
        <v/>
      </c>
    </row>
    <row r="94" spans="1:9" hidden="1" x14ac:dyDescent="0.25">
      <c r="A94" t="s">
        <v>139</v>
      </c>
      <c r="B94" t="s">
        <v>138</v>
      </c>
      <c r="C94">
        <v>4.3</v>
      </c>
      <c r="D94">
        <v>956</v>
      </c>
      <c r="E94">
        <v>14</v>
      </c>
      <c r="F94">
        <v>2009</v>
      </c>
      <c r="G94" t="s">
        <v>8</v>
      </c>
      <c r="I94" t="str">
        <v/>
      </c>
    </row>
    <row r="95" spans="1:9" hidden="1" x14ac:dyDescent="0.25">
      <c r="A95" t="s">
        <v>140</v>
      </c>
      <c r="B95" t="s">
        <v>141</v>
      </c>
      <c r="C95">
        <v>4.5</v>
      </c>
      <c r="D95">
        <v>6346</v>
      </c>
      <c r="E95">
        <v>9</v>
      </c>
      <c r="F95">
        <v>2011</v>
      </c>
      <c r="G95" t="s">
        <v>8</v>
      </c>
      <c r="I95" t="str">
        <v/>
      </c>
    </row>
    <row r="96" spans="1:9" hidden="1" x14ac:dyDescent="0.25">
      <c r="A96" t="s">
        <v>140</v>
      </c>
      <c r="B96" t="s">
        <v>141</v>
      </c>
      <c r="C96">
        <v>4.5</v>
      </c>
      <c r="D96">
        <v>6346</v>
      </c>
      <c r="E96">
        <v>9</v>
      </c>
      <c r="F96">
        <v>2012</v>
      </c>
      <c r="G96" t="s">
        <v>8</v>
      </c>
      <c r="I96" t="str">
        <v/>
      </c>
    </row>
    <row r="97" spans="1:9" hidden="1" x14ac:dyDescent="0.25">
      <c r="A97" t="s">
        <v>142</v>
      </c>
      <c r="B97" t="s">
        <v>73</v>
      </c>
      <c r="C97">
        <v>4.7</v>
      </c>
      <c r="D97">
        <v>5505</v>
      </c>
      <c r="E97">
        <v>7</v>
      </c>
      <c r="F97">
        <v>2009</v>
      </c>
      <c r="G97" t="s">
        <v>10</v>
      </c>
      <c r="I97" t="str">
        <v/>
      </c>
    </row>
    <row r="98" spans="1:9" hidden="1" x14ac:dyDescent="0.25">
      <c r="A98" t="s">
        <v>143</v>
      </c>
      <c r="B98" t="s">
        <v>73</v>
      </c>
      <c r="C98">
        <v>4.7</v>
      </c>
      <c r="D98">
        <v>5505</v>
      </c>
      <c r="E98">
        <v>18</v>
      </c>
      <c r="F98">
        <v>2009</v>
      </c>
      <c r="G98" t="s">
        <v>10</v>
      </c>
      <c r="I98" t="str">
        <v/>
      </c>
    </row>
    <row r="99" spans="1:9" hidden="1" x14ac:dyDescent="0.25">
      <c r="A99" t="s">
        <v>144</v>
      </c>
      <c r="B99" t="s">
        <v>145</v>
      </c>
      <c r="C99">
        <v>4.7</v>
      </c>
      <c r="D99">
        <v>28729</v>
      </c>
      <c r="E99">
        <v>15</v>
      </c>
      <c r="F99">
        <v>2018</v>
      </c>
      <c r="G99" t="s">
        <v>8</v>
      </c>
      <c r="I99" t="str">
        <v/>
      </c>
    </row>
    <row r="100" spans="1:9" hidden="1" x14ac:dyDescent="0.25">
      <c r="A100" t="s">
        <v>144</v>
      </c>
      <c r="B100" t="s">
        <v>145</v>
      </c>
      <c r="C100">
        <v>4.7</v>
      </c>
      <c r="D100">
        <v>28729</v>
      </c>
      <c r="E100">
        <v>15</v>
      </c>
      <c r="F100">
        <v>2019</v>
      </c>
      <c r="G100" t="s">
        <v>8</v>
      </c>
      <c r="I100" t="str">
        <v/>
      </c>
    </row>
    <row r="101" spans="1:9" hidden="1" x14ac:dyDescent="0.25">
      <c r="A101" t="s">
        <v>146</v>
      </c>
      <c r="B101" t="s">
        <v>147</v>
      </c>
      <c r="C101">
        <v>4.7</v>
      </c>
      <c r="D101">
        <v>5413</v>
      </c>
      <c r="E101">
        <v>9</v>
      </c>
      <c r="F101">
        <v>2015</v>
      </c>
      <c r="G101" t="s">
        <v>8</v>
      </c>
      <c r="I101" t="str">
        <v/>
      </c>
    </row>
    <row r="102" spans="1:9" hidden="1" x14ac:dyDescent="0.25">
      <c r="A102" t="s">
        <v>148</v>
      </c>
      <c r="B102" t="s">
        <v>149</v>
      </c>
      <c r="C102">
        <v>4.5999999999999996</v>
      </c>
      <c r="D102">
        <v>10721</v>
      </c>
      <c r="E102">
        <v>8</v>
      </c>
      <c r="F102">
        <v>2016</v>
      </c>
      <c r="G102" t="s">
        <v>10</v>
      </c>
      <c r="I102" t="str">
        <v/>
      </c>
    </row>
    <row r="103" spans="1:9" hidden="1" x14ac:dyDescent="0.25">
      <c r="A103" t="s">
        <v>148</v>
      </c>
      <c r="B103" t="s">
        <v>149</v>
      </c>
      <c r="C103">
        <v>4.5999999999999996</v>
      </c>
      <c r="D103">
        <v>10721</v>
      </c>
      <c r="E103">
        <v>8</v>
      </c>
      <c r="F103">
        <v>2018</v>
      </c>
      <c r="G103" t="s">
        <v>10</v>
      </c>
      <c r="I103" t="str">
        <v/>
      </c>
    </row>
    <row r="104" spans="1:9" hidden="1" x14ac:dyDescent="0.25">
      <c r="A104" t="s">
        <v>150</v>
      </c>
      <c r="B104" t="s">
        <v>151</v>
      </c>
      <c r="C104">
        <v>4.7</v>
      </c>
      <c r="D104">
        <v>4370</v>
      </c>
      <c r="E104">
        <v>15</v>
      </c>
      <c r="F104">
        <v>2016</v>
      </c>
      <c r="G104" t="s">
        <v>10</v>
      </c>
      <c r="I104" t="str">
        <v/>
      </c>
    </row>
    <row r="105" spans="1:9" hidden="1" x14ac:dyDescent="0.25">
      <c r="A105" t="s">
        <v>152</v>
      </c>
      <c r="B105" t="s">
        <v>153</v>
      </c>
      <c r="C105">
        <v>4.4000000000000004</v>
      </c>
      <c r="D105">
        <v>6042</v>
      </c>
      <c r="E105">
        <v>2</v>
      </c>
      <c r="F105">
        <v>2018</v>
      </c>
      <c r="G105" t="s">
        <v>8</v>
      </c>
      <c r="I105" t="str">
        <v/>
      </c>
    </row>
    <row r="106" spans="1:9" hidden="1" x14ac:dyDescent="0.25">
      <c r="A106" t="s">
        <v>154</v>
      </c>
      <c r="B106" t="s">
        <v>155</v>
      </c>
      <c r="C106">
        <v>4.4000000000000004</v>
      </c>
      <c r="D106">
        <v>23631</v>
      </c>
      <c r="E106">
        <v>7</v>
      </c>
      <c r="F106">
        <v>2012</v>
      </c>
      <c r="G106" t="s">
        <v>10</v>
      </c>
      <c r="I106" t="str">
        <v/>
      </c>
    </row>
    <row r="107" spans="1:9" hidden="1" x14ac:dyDescent="0.25">
      <c r="A107" t="s">
        <v>156</v>
      </c>
      <c r="B107" t="s">
        <v>155</v>
      </c>
      <c r="C107">
        <v>4.5</v>
      </c>
      <c r="D107">
        <v>20262</v>
      </c>
      <c r="E107">
        <v>11</v>
      </c>
      <c r="F107">
        <v>2012</v>
      </c>
      <c r="G107" t="s">
        <v>10</v>
      </c>
      <c r="I107" t="str">
        <v/>
      </c>
    </row>
    <row r="108" spans="1:9" hidden="1" x14ac:dyDescent="0.25">
      <c r="A108" t="s">
        <v>157</v>
      </c>
      <c r="B108" t="s">
        <v>155</v>
      </c>
      <c r="C108">
        <v>3.8</v>
      </c>
      <c r="D108">
        <v>47265</v>
      </c>
      <c r="E108">
        <v>14</v>
      </c>
      <c r="F108">
        <v>2012</v>
      </c>
      <c r="G108" t="s">
        <v>10</v>
      </c>
      <c r="I108" t="str">
        <v/>
      </c>
    </row>
    <row r="109" spans="1:9" hidden="1" x14ac:dyDescent="0.25">
      <c r="A109" t="s">
        <v>157</v>
      </c>
      <c r="B109" t="s">
        <v>155</v>
      </c>
      <c r="C109">
        <v>3.8</v>
      </c>
      <c r="D109">
        <v>47265</v>
      </c>
      <c r="E109">
        <v>14</v>
      </c>
      <c r="F109">
        <v>2013</v>
      </c>
      <c r="G109" t="s">
        <v>10</v>
      </c>
      <c r="I109" t="str">
        <v/>
      </c>
    </row>
    <row r="110" spans="1:9" hidden="1" x14ac:dyDescent="0.25">
      <c r="A110" t="s">
        <v>158</v>
      </c>
      <c r="B110" t="s">
        <v>155</v>
      </c>
      <c r="C110">
        <v>4.5</v>
      </c>
      <c r="D110">
        <v>13964</v>
      </c>
      <c r="E110">
        <v>32</v>
      </c>
      <c r="F110">
        <v>2012</v>
      </c>
      <c r="G110" t="s">
        <v>10</v>
      </c>
      <c r="I110" t="str">
        <v/>
      </c>
    </row>
    <row r="111" spans="1:9" hidden="1" x14ac:dyDescent="0.25">
      <c r="A111" t="s">
        <v>159</v>
      </c>
      <c r="B111" t="s">
        <v>160</v>
      </c>
      <c r="C111">
        <v>4.2</v>
      </c>
      <c r="D111">
        <v>13677</v>
      </c>
      <c r="E111">
        <v>6</v>
      </c>
      <c r="F111">
        <v>2018</v>
      </c>
      <c r="G111" t="s">
        <v>8</v>
      </c>
      <c r="I111" t="str">
        <v/>
      </c>
    </row>
    <row r="112" spans="1:9" hidden="1" x14ac:dyDescent="0.25">
      <c r="A112" t="s">
        <v>161</v>
      </c>
      <c r="B112" t="s">
        <v>162</v>
      </c>
      <c r="C112">
        <v>4.7</v>
      </c>
      <c r="D112">
        <v>17323</v>
      </c>
      <c r="E112">
        <v>4</v>
      </c>
      <c r="F112">
        <v>2014</v>
      </c>
      <c r="G112" t="s">
        <v>8</v>
      </c>
      <c r="I112" t="str">
        <v/>
      </c>
    </row>
    <row r="113" spans="1:9" hidden="1" x14ac:dyDescent="0.25">
      <c r="A113" t="s">
        <v>161</v>
      </c>
      <c r="B113" t="s">
        <v>162</v>
      </c>
      <c r="C113">
        <v>4.7</v>
      </c>
      <c r="D113">
        <v>17323</v>
      </c>
      <c r="E113">
        <v>4</v>
      </c>
      <c r="F113">
        <v>2015</v>
      </c>
      <c r="G113" t="s">
        <v>8</v>
      </c>
      <c r="I113" t="str">
        <v/>
      </c>
    </row>
    <row r="114" spans="1:9" hidden="1" x14ac:dyDescent="0.25">
      <c r="A114" t="s">
        <v>161</v>
      </c>
      <c r="B114" t="s">
        <v>162</v>
      </c>
      <c r="C114">
        <v>4.7</v>
      </c>
      <c r="D114">
        <v>17323</v>
      </c>
      <c r="E114">
        <v>4</v>
      </c>
      <c r="F114">
        <v>2016</v>
      </c>
      <c r="G114" t="s">
        <v>8</v>
      </c>
      <c r="I114" t="str">
        <v/>
      </c>
    </row>
    <row r="115" spans="1:9" hidden="1" x14ac:dyDescent="0.25">
      <c r="A115" t="s">
        <v>161</v>
      </c>
      <c r="B115" t="s">
        <v>162</v>
      </c>
      <c r="C115">
        <v>4.7</v>
      </c>
      <c r="D115">
        <v>17323</v>
      </c>
      <c r="E115">
        <v>4</v>
      </c>
      <c r="F115">
        <v>2017</v>
      </c>
      <c r="G115" t="s">
        <v>8</v>
      </c>
      <c r="I115" t="str">
        <v/>
      </c>
    </row>
    <row r="116" spans="1:9" hidden="1" x14ac:dyDescent="0.25">
      <c r="A116" t="s">
        <v>161</v>
      </c>
      <c r="B116" t="s">
        <v>162</v>
      </c>
      <c r="C116">
        <v>4.7</v>
      </c>
      <c r="D116">
        <v>17323</v>
      </c>
      <c r="E116">
        <v>4</v>
      </c>
      <c r="F116">
        <v>2018</v>
      </c>
      <c r="G116" t="s">
        <v>8</v>
      </c>
      <c r="I116" t="str">
        <v/>
      </c>
    </row>
    <row r="117" spans="1:9" hidden="1" x14ac:dyDescent="0.25">
      <c r="A117" t="s">
        <v>163</v>
      </c>
      <c r="B117" t="s">
        <v>164</v>
      </c>
      <c r="C117">
        <v>4.4000000000000004</v>
      </c>
      <c r="D117">
        <v>1555</v>
      </c>
      <c r="E117">
        <v>9</v>
      </c>
      <c r="F117">
        <v>2010</v>
      </c>
      <c r="G117" t="s">
        <v>8</v>
      </c>
      <c r="I117" t="str">
        <v/>
      </c>
    </row>
    <row r="118" spans="1:9" hidden="1" x14ac:dyDescent="0.25">
      <c r="A118" t="s">
        <v>165</v>
      </c>
      <c r="B118" t="s">
        <v>166</v>
      </c>
      <c r="C118">
        <v>4.7</v>
      </c>
      <c r="D118">
        <v>3642</v>
      </c>
      <c r="E118">
        <v>0</v>
      </c>
      <c r="F118">
        <v>2014</v>
      </c>
      <c r="G118" t="s">
        <v>10</v>
      </c>
      <c r="I118" t="str">
        <v/>
      </c>
    </row>
    <row r="119" spans="1:9" hidden="1" x14ac:dyDescent="0.25">
      <c r="A119" t="s">
        <v>167</v>
      </c>
      <c r="B119" t="s">
        <v>168</v>
      </c>
      <c r="C119">
        <v>4.4000000000000004</v>
      </c>
      <c r="D119">
        <v>1215</v>
      </c>
      <c r="E119">
        <v>9</v>
      </c>
      <c r="F119">
        <v>2010</v>
      </c>
      <c r="G119" t="s">
        <v>8</v>
      </c>
      <c r="I119" t="str">
        <v/>
      </c>
    </row>
    <row r="120" spans="1:9" hidden="1" x14ac:dyDescent="0.25">
      <c r="A120" t="s">
        <v>169</v>
      </c>
      <c r="B120" t="s">
        <v>170</v>
      </c>
      <c r="C120">
        <v>4.5999999999999996</v>
      </c>
      <c r="D120">
        <v>5594</v>
      </c>
      <c r="E120">
        <v>5</v>
      </c>
      <c r="F120">
        <v>2011</v>
      </c>
      <c r="G120" t="s">
        <v>10</v>
      </c>
      <c r="I120" t="str">
        <v/>
      </c>
    </row>
    <row r="121" spans="1:9" hidden="1" x14ac:dyDescent="0.25">
      <c r="A121" t="s">
        <v>169</v>
      </c>
      <c r="B121" t="s">
        <v>170</v>
      </c>
      <c r="C121">
        <v>4.5999999999999996</v>
      </c>
      <c r="D121">
        <v>5594</v>
      </c>
      <c r="E121">
        <v>5</v>
      </c>
      <c r="F121">
        <v>2012</v>
      </c>
      <c r="G121" t="s">
        <v>10</v>
      </c>
      <c r="I121" t="str">
        <v/>
      </c>
    </row>
    <row r="122" spans="1:9" hidden="1" x14ac:dyDescent="0.25">
      <c r="A122" t="s">
        <v>169</v>
      </c>
      <c r="B122" t="s">
        <v>170</v>
      </c>
      <c r="C122">
        <v>4.5999999999999996</v>
      </c>
      <c r="D122">
        <v>5594</v>
      </c>
      <c r="E122">
        <v>5</v>
      </c>
      <c r="F122">
        <v>2013</v>
      </c>
      <c r="G122" t="s">
        <v>10</v>
      </c>
      <c r="I122" t="str">
        <v/>
      </c>
    </row>
    <row r="123" spans="1:9" hidden="1" x14ac:dyDescent="0.25">
      <c r="A123" t="s">
        <v>171</v>
      </c>
      <c r="B123" t="s">
        <v>172</v>
      </c>
      <c r="C123">
        <v>4.5</v>
      </c>
      <c r="D123">
        <v>408</v>
      </c>
      <c r="E123">
        <v>20</v>
      </c>
      <c r="F123">
        <v>2010</v>
      </c>
      <c r="G123" t="s">
        <v>8</v>
      </c>
      <c r="I123" t="str">
        <v/>
      </c>
    </row>
    <row r="124" spans="1:9" hidden="1" x14ac:dyDescent="0.25">
      <c r="A124" t="s">
        <v>173</v>
      </c>
      <c r="B124" t="s">
        <v>174</v>
      </c>
      <c r="C124">
        <v>4.5999999999999996</v>
      </c>
      <c r="D124">
        <v>4799</v>
      </c>
      <c r="E124">
        <v>16</v>
      </c>
      <c r="F124">
        <v>2013</v>
      </c>
      <c r="G124" t="s">
        <v>8</v>
      </c>
      <c r="I124" t="str">
        <v/>
      </c>
    </row>
    <row r="125" spans="1:9" hidden="1" x14ac:dyDescent="0.25">
      <c r="A125" t="s">
        <v>175</v>
      </c>
      <c r="B125" t="s">
        <v>176</v>
      </c>
      <c r="C125">
        <v>4.8</v>
      </c>
      <c r="D125">
        <v>14038</v>
      </c>
      <c r="E125">
        <v>4</v>
      </c>
      <c r="F125">
        <v>2015</v>
      </c>
      <c r="G125" t="s">
        <v>10</v>
      </c>
      <c r="I125" t="str">
        <v/>
      </c>
    </row>
    <row r="126" spans="1:9" hidden="1" x14ac:dyDescent="0.25">
      <c r="A126" t="s">
        <v>175</v>
      </c>
      <c r="B126" t="s">
        <v>176</v>
      </c>
      <c r="C126">
        <v>4.8</v>
      </c>
      <c r="D126">
        <v>14038</v>
      </c>
      <c r="E126">
        <v>4</v>
      </c>
      <c r="F126">
        <v>2016</v>
      </c>
      <c r="G126" t="s">
        <v>10</v>
      </c>
      <c r="I126" t="str">
        <v/>
      </c>
    </row>
    <row r="127" spans="1:9" hidden="1" x14ac:dyDescent="0.25">
      <c r="A127" t="s">
        <v>175</v>
      </c>
      <c r="B127" t="s">
        <v>176</v>
      </c>
      <c r="C127">
        <v>4.8</v>
      </c>
      <c r="D127">
        <v>14038</v>
      </c>
      <c r="E127">
        <v>4</v>
      </c>
      <c r="F127">
        <v>2017</v>
      </c>
      <c r="G127" t="s">
        <v>10</v>
      </c>
      <c r="I127" t="str">
        <v/>
      </c>
    </row>
    <row r="128" spans="1:9" hidden="1" x14ac:dyDescent="0.25">
      <c r="A128" t="s">
        <v>175</v>
      </c>
      <c r="B128" t="s">
        <v>176</v>
      </c>
      <c r="C128">
        <v>4.8</v>
      </c>
      <c r="D128">
        <v>14038</v>
      </c>
      <c r="E128">
        <v>4</v>
      </c>
      <c r="F128">
        <v>2018</v>
      </c>
      <c r="G128" t="s">
        <v>10</v>
      </c>
      <c r="I128" t="str">
        <v/>
      </c>
    </row>
    <row r="129" spans="1:9" hidden="1" x14ac:dyDescent="0.25">
      <c r="A129" t="s">
        <v>175</v>
      </c>
      <c r="B129" t="s">
        <v>176</v>
      </c>
      <c r="C129">
        <v>4.8</v>
      </c>
      <c r="D129">
        <v>14038</v>
      </c>
      <c r="E129">
        <v>4</v>
      </c>
      <c r="F129">
        <v>2019</v>
      </c>
      <c r="G129" t="s">
        <v>10</v>
      </c>
      <c r="I129" t="str">
        <v/>
      </c>
    </row>
    <row r="130" spans="1:9" hidden="1" x14ac:dyDescent="0.25">
      <c r="A130" t="s">
        <v>177</v>
      </c>
      <c r="B130" t="s">
        <v>178</v>
      </c>
      <c r="C130">
        <v>4.5999999999999996</v>
      </c>
      <c r="D130">
        <v>7660</v>
      </c>
      <c r="E130">
        <v>12</v>
      </c>
      <c r="F130">
        <v>2019</v>
      </c>
      <c r="G130" t="s">
        <v>8</v>
      </c>
      <c r="I130" t="str">
        <v/>
      </c>
    </row>
    <row r="131" spans="1:9" hidden="1" x14ac:dyDescent="0.25">
      <c r="A131" t="s">
        <v>179</v>
      </c>
      <c r="B131" t="s">
        <v>178</v>
      </c>
      <c r="C131">
        <v>4.5999999999999996</v>
      </c>
      <c r="D131">
        <v>22288</v>
      </c>
      <c r="E131">
        <v>12</v>
      </c>
      <c r="F131">
        <v>2018</v>
      </c>
      <c r="G131" t="s">
        <v>8</v>
      </c>
      <c r="I131" t="str">
        <v/>
      </c>
    </row>
    <row r="132" spans="1:9" hidden="1" x14ac:dyDescent="0.25">
      <c r="A132" t="s">
        <v>179</v>
      </c>
      <c r="B132" t="s">
        <v>178</v>
      </c>
      <c r="C132">
        <v>4.5999999999999996</v>
      </c>
      <c r="D132">
        <v>22288</v>
      </c>
      <c r="E132">
        <v>12</v>
      </c>
      <c r="F132">
        <v>2019</v>
      </c>
      <c r="G132" t="s">
        <v>8</v>
      </c>
      <c r="I132" t="str">
        <v/>
      </c>
    </row>
    <row r="133" spans="1:9" hidden="1" x14ac:dyDescent="0.25">
      <c r="A133" t="s">
        <v>180</v>
      </c>
      <c r="B133" t="s">
        <v>52</v>
      </c>
      <c r="C133">
        <v>4.5999999999999996</v>
      </c>
      <c r="D133">
        <v>1365</v>
      </c>
      <c r="E133">
        <v>11</v>
      </c>
      <c r="F133">
        <v>2009</v>
      </c>
      <c r="G133" t="s">
        <v>8</v>
      </c>
      <c r="I133" t="str">
        <v/>
      </c>
    </row>
    <row r="134" spans="1:9" hidden="1" x14ac:dyDescent="0.25">
      <c r="A134" t="s">
        <v>181</v>
      </c>
      <c r="B134" t="s">
        <v>182</v>
      </c>
      <c r="C134">
        <v>3.6</v>
      </c>
      <c r="D134">
        <v>14982</v>
      </c>
      <c r="E134">
        <v>19</v>
      </c>
      <c r="F134">
        <v>2015</v>
      </c>
      <c r="G134" t="s">
        <v>10</v>
      </c>
      <c r="I134" t="str">
        <v/>
      </c>
    </row>
    <row r="135" spans="1:9" hidden="1" x14ac:dyDescent="0.25">
      <c r="A135" t="s">
        <v>183</v>
      </c>
      <c r="B135" t="s">
        <v>184</v>
      </c>
      <c r="C135">
        <v>4.8</v>
      </c>
      <c r="D135">
        <v>9568</v>
      </c>
      <c r="E135">
        <v>9</v>
      </c>
      <c r="F135">
        <v>2011</v>
      </c>
      <c r="G135" t="s">
        <v>10</v>
      </c>
      <c r="I135" t="str">
        <v/>
      </c>
    </row>
    <row r="136" spans="1:9" hidden="1" x14ac:dyDescent="0.25">
      <c r="A136" t="s">
        <v>185</v>
      </c>
      <c r="B136" t="s">
        <v>186</v>
      </c>
      <c r="C136">
        <v>4.5999999999999996</v>
      </c>
      <c r="D136">
        <v>1636</v>
      </c>
      <c r="E136">
        <v>6</v>
      </c>
      <c r="F136">
        <v>2009</v>
      </c>
      <c r="G136" t="s">
        <v>8</v>
      </c>
      <c r="I136" t="str">
        <v/>
      </c>
    </row>
    <row r="137" spans="1:9" hidden="1" x14ac:dyDescent="0.25">
      <c r="A137" t="s">
        <v>187</v>
      </c>
      <c r="B137" t="s">
        <v>188</v>
      </c>
      <c r="C137">
        <v>4</v>
      </c>
      <c r="D137">
        <v>57271</v>
      </c>
      <c r="E137">
        <v>10</v>
      </c>
      <c r="F137">
        <v>2012</v>
      </c>
      <c r="G137" t="s">
        <v>10</v>
      </c>
      <c r="I137" t="str">
        <v/>
      </c>
    </row>
    <row r="138" spans="1:9" hidden="1" x14ac:dyDescent="0.25">
      <c r="A138" t="s">
        <v>187</v>
      </c>
      <c r="B138" t="s">
        <v>188</v>
      </c>
      <c r="C138">
        <v>4</v>
      </c>
      <c r="D138">
        <v>57271</v>
      </c>
      <c r="E138">
        <v>10</v>
      </c>
      <c r="F138">
        <v>2013</v>
      </c>
      <c r="G138" t="s">
        <v>10</v>
      </c>
      <c r="I138" t="str">
        <v/>
      </c>
    </row>
    <row r="139" spans="1:9" hidden="1" x14ac:dyDescent="0.25">
      <c r="A139" t="s">
        <v>187</v>
      </c>
      <c r="B139" t="s">
        <v>188</v>
      </c>
      <c r="C139">
        <v>4</v>
      </c>
      <c r="D139">
        <v>57271</v>
      </c>
      <c r="E139">
        <v>9</v>
      </c>
      <c r="F139">
        <v>2014</v>
      </c>
      <c r="G139" t="s">
        <v>10</v>
      </c>
      <c r="I139" t="str">
        <v/>
      </c>
    </row>
    <row r="140" spans="1:9" hidden="1" x14ac:dyDescent="0.25">
      <c r="A140" t="s">
        <v>189</v>
      </c>
      <c r="B140" t="s">
        <v>190</v>
      </c>
      <c r="C140">
        <v>4.5999999999999996</v>
      </c>
      <c r="D140">
        <v>10141</v>
      </c>
      <c r="E140">
        <v>6</v>
      </c>
      <c r="F140">
        <v>2019</v>
      </c>
      <c r="G140" t="s">
        <v>8</v>
      </c>
      <c r="I140" t="str">
        <v/>
      </c>
    </row>
    <row r="141" spans="1:9" hidden="1" x14ac:dyDescent="0.25">
      <c r="A141" t="s">
        <v>191</v>
      </c>
      <c r="B141" t="s">
        <v>192</v>
      </c>
      <c r="C141">
        <v>4.5</v>
      </c>
      <c r="D141">
        <v>3457</v>
      </c>
      <c r="E141">
        <v>14</v>
      </c>
      <c r="F141">
        <v>2009</v>
      </c>
      <c r="G141" t="s">
        <v>8</v>
      </c>
      <c r="I141" t="str">
        <v/>
      </c>
    </row>
    <row r="142" spans="1:9" hidden="1" x14ac:dyDescent="0.25">
      <c r="A142" t="s">
        <v>191</v>
      </c>
      <c r="B142" t="s">
        <v>192</v>
      </c>
      <c r="C142">
        <v>4.5</v>
      </c>
      <c r="D142">
        <v>3457</v>
      </c>
      <c r="E142">
        <v>14</v>
      </c>
      <c r="F142">
        <v>2010</v>
      </c>
      <c r="G142" t="s">
        <v>8</v>
      </c>
      <c r="I142" t="str">
        <v/>
      </c>
    </row>
    <row r="143" spans="1:9" hidden="1" x14ac:dyDescent="0.25">
      <c r="A143" t="s">
        <v>191</v>
      </c>
      <c r="B143" t="s">
        <v>192</v>
      </c>
      <c r="C143">
        <v>4.5</v>
      </c>
      <c r="D143">
        <v>3457</v>
      </c>
      <c r="E143">
        <v>14</v>
      </c>
      <c r="F143">
        <v>2011</v>
      </c>
      <c r="G143" t="s">
        <v>8</v>
      </c>
      <c r="I143" t="str">
        <v/>
      </c>
    </row>
    <row r="144" spans="1:9" hidden="1" x14ac:dyDescent="0.25">
      <c r="A144" t="s">
        <v>191</v>
      </c>
      <c r="B144" t="s">
        <v>192</v>
      </c>
      <c r="C144">
        <v>4.5</v>
      </c>
      <c r="D144">
        <v>3457</v>
      </c>
      <c r="E144">
        <v>14</v>
      </c>
      <c r="F144">
        <v>2012</v>
      </c>
      <c r="G144" t="s">
        <v>8</v>
      </c>
      <c r="I144" t="str">
        <v/>
      </c>
    </row>
    <row r="145" spans="1:9" hidden="1" x14ac:dyDescent="0.25">
      <c r="A145" t="s">
        <v>193</v>
      </c>
      <c r="B145" t="s">
        <v>194</v>
      </c>
      <c r="C145">
        <v>4.8</v>
      </c>
      <c r="D145">
        <v>8837</v>
      </c>
      <c r="E145">
        <v>5</v>
      </c>
      <c r="F145">
        <v>2017</v>
      </c>
      <c r="G145" t="s">
        <v>10</v>
      </c>
      <c r="I145" t="str">
        <v/>
      </c>
    </row>
    <row r="146" spans="1:9" hidden="1" x14ac:dyDescent="0.25">
      <c r="A146" t="s">
        <v>193</v>
      </c>
      <c r="B146" t="s">
        <v>194</v>
      </c>
      <c r="C146">
        <v>4.8</v>
      </c>
      <c r="D146">
        <v>8837</v>
      </c>
      <c r="E146">
        <v>5</v>
      </c>
      <c r="F146">
        <v>2018</v>
      </c>
      <c r="G146" t="s">
        <v>10</v>
      </c>
      <c r="I146" t="str">
        <v/>
      </c>
    </row>
    <row r="147" spans="1:9" hidden="1" x14ac:dyDescent="0.25">
      <c r="A147" t="s">
        <v>193</v>
      </c>
      <c r="B147" t="s">
        <v>194</v>
      </c>
      <c r="C147">
        <v>4.8</v>
      </c>
      <c r="D147">
        <v>8837</v>
      </c>
      <c r="E147">
        <v>5</v>
      </c>
      <c r="F147">
        <v>2019</v>
      </c>
      <c r="G147" t="s">
        <v>10</v>
      </c>
      <c r="I147" t="str">
        <v/>
      </c>
    </row>
    <row r="148" spans="1:9" hidden="1" x14ac:dyDescent="0.25">
      <c r="A148" t="s">
        <v>195</v>
      </c>
      <c r="B148" t="s">
        <v>196</v>
      </c>
      <c r="C148">
        <v>4.9000000000000004</v>
      </c>
      <c r="D148">
        <v>7038</v>
      </c>
      <c r="E148">
        <v>7</v>
      </c>
      <c r="F148">
        <v>2012</v>
      </c>
      <c r="G148" t="s">
        <v>10</v>
      </c>
      <c r="I148" t="str">
        <v/>
      </c>
    </row>
    <row r="149" spans="1:9" hidden="1" x14ac:dyDescent="0.25">
      <c r="A149" t="s">
        <v>195</v>
      </c>
      <c r="B149" t="s">
        <v>196</v>
      </c>
      <c r="C149">
        <v>4.9000000000000004</v>
      </c>
      <c r="D149">
        <v>7038</v>
      </c>
      <c r="E149">
        <v>7</v>
      </c>
      <c r="F149">
        <v>2013</v>
      </c>
      <c r="G149" t="s">
        <v>10</v>
      </c>
      <c r="I149" t="str">
        <v/>
      </c>
    </row>
    <row r="150" spans="1:9" hidden="1" x14ac:dyDescent="0.25">
      <c r="A150" t="s">
        <v>197</v>
      </c>
      <c r="B150" t="s">
        <v>198</v>
      </c>
      <c r="C150">
        <v>4.5999999999999996</v>
      </c>
      <c r="D150">
        <v>5972</v>
      </c>
      <c r="E150">
        <v>10</v>
      </c>
      <c r="F150">
        <v>2014</v>
      </c>
      <c r="G150" t="s">
        <v>8</v>
      </c>
      <c r="I150" t="str">
        <v/>
      </c>
    </row>
    <row r="151" spans="1:9" hidden="1" x14ac:dyDescent="0.25">
      <c r="A151" t="s">
        <v>199</v>
      </c>
      <c r="B151" t="s">
        <v>155</v>
      </c>
      <c r="C151">
        <v>4.4000000000000004</v>
      </c>
      <c r="D151">
        <v>25624</v>
      </c>
      <c r="E151">
        <v>14</v>
      </c>
      <c r="F151">
        <v>2015</v>
      </c>
      <c r="G151" t="s">
        <v>10</v>
      </c>
      <c r="I151" t="str">
        <v/>
      </c>
    </row>
    <row r="152" spans="1:9" hidden="1" x14ac:dyDescent="0.25">
      <c r="A152" t="s">
        <v>200</v>
      </c>
      <c r="B152" t="s">
        <v>201</v>
      </c>
      <c r="C152">
        <v>4.8</v>
      </c>
      <c r="D152">
        <v>5476</v>
      </c>
      <c r="E152">
        <v>7</v>
      </c>
      <c r="F152">
        <v>2019</v>
      </c>
      <c r="G152" t="s">
        <v>8</v>
      </c>
      <c r="I152" t="str">
        <v/>
      </c>
    </row>
    <row r="153" spans="1:9" hidden="1" x14ac:dyDescent="0.25">
      <c r="A153" t="s">
        <v>202</v>
      </c>
      <c r="B153" t="s">
        <v>203</v>
      </c>
      <c r="C153">
        <v>4.9000000000000004</v>
      </c>
      <c r="D153">
        <v>5867</v>
      </c>
      <c r="E153">
        <v>54</v>
      </c>
      <c r="F153">
        <v>2016</v>
      </c>
      <c r="G153" t="s">
        <v>8</v>
      </c>
      <c r="I153" t="str">
        <v/>
      </c>
    </row>
    <row r="154" spans="1:9" hidden="1" x14ac:dyDescent="0.25">
      <c r="A154" t="s">
        <v>204</v>
      </c>
      <c r="B154" t="s">
        <v>205</v>
      </c>
      <c r="C154">
        <v>4.8</v>
      </c>
      <c r="D154">
        <v>4148</v>
      </c>
      <c r="E154">
        <v>11</v>
      </c>
      <c r="F154">
        <v>2013</v>
      </c>
      <c r="G154" t="s">
        <v>8</v>
      </c>
      <c r="I154" t="str">
        <v/>
      </c>
    </row>
    <row r="155" spans="1:9" hidden="1" x14ac:dyDescent="0.25">
      <c r="A155" t="s">
        <v>206</v>
      </c>
      <c r="B155" t="s">
        <v>151</v>
      </c>
      <c r="C155">
        <v>4.9000000000000004</v>
      </c>
      <c r="D155">
        <v>19622</v>
      </c>
      <c r="E155">
        <v>30</v>
      </c>
      <c r="F155">
        <v>2016</v>
      </c>
      <c r="G155" t="s">
        <v>10</v>
      </c>
      <c r="I155" t="str">
        <v/>
      </c>
    </row>
    <row r="156" spans="1:9" hidden="1" x14ac:dyDescent="0.25">
      <c r="A156" t="s">
        <v>207</v>
      </c>
      <c r="B156" t="s">
        <v>151</v>
      </c>
      <c r="C156">
        <v>4</v>
      </c>
      <c r="D156">
        <v>23973</v>
      </c>
      <c r="E156">
        <v>12</v>
      </c>
      <c r="F156">
        <v>2016</v>
      </c>
      <c r="G156" t="s">
        <v>10</v>
      </c>
      <c r="I156" t="str">
        <v/>
      </c>
    </row>
    <row r="157" spans="1:9" hidden="1" x14ac:dyDescent="0.25">
      <c r="A157" t="s">
        <v>208</v>
      </c>
      <c r="B157" t="s">
        <v>209</v>
      </c>
      <c r="C157">
        <v>4.9000000000000004</v>
      </c>
      <c r="D157">
        <v>7758</v>
      </c>
      <c r="E157">
        <v>18</v>
      </c>
      <c r="F157">
        <v>2019</v>
      </c>
      <c r="G157" t="s">
        <v>10</v>
      </c>
      <c r="I157" t="str">
        <v/>
      </c>
    </row>
    <row r="158" spans="1:9" hidden="1" x14ac:dyDescent="0.25">
      <c r="A158" t="s">
        <v>210</v>
      </c>
      <c r="B158" t="s">
        <v>151</v>
      </c>
      <c r="C158">
        <v>4.9000000000000004</v>
      </c>
      <c r="D158">
        <v>3146</v>
      </c>
      <c r="E158">
        <v>30</v>
      </c>
      <c r="F158">
        <v>2017</v>
      </c>
      <c r="G158" t="s">
        <v>10</v>
      </c>
      <c r="I158" t="str">
        <v/>
      </c>
    </row>
    <row r="159" spans="1:9" hidden="1" x14ac:dyDescent="0.25">
      <c r="A159" t="s">
        <v>211</v>
      </c>
      <c r="B159" t="s">
        <v>151</v>
      </c>
      <c r="C159">
        <v>4.9000000000000004</v>
      </c>
      <c r="D159">
        <v>10052</v>
      </c>
      <c r="E159">
        <v>22</v>
      </c>
      <c r="F159">
        <v>2016</v>
      </c>
      <c r="G159" t="s">
        <v>10</v>
      </c>
      <c r="I159" t="str">
        <v/>
      </c>
    </row>
    <row r="160" spans="1:9" hidden="1" x14ac:dyDescent="0.25">
      <c r="A160" t="s">
        <v>212</v>
      </c>
      <c r="B160" t="s">
        <v>213</v>
      </c>
      <c r="C160">
        <v>4.7</v>
      </c>
      <c r="D160">
        <v>3564</v>
      </c>
      <c r="E160">
        <v>9</v>
      </c>
      <c r="F160">
        <v>2015</v>
      </c>
      <c r="G160" t="s">
        <v>8</v>
      </c>
      <c r="I160" t="str">
        <v/>
      </c>
    </row>
    <row r="161" spans="1:9" hidden="1" x14ac:dyDescent="0.25">
      <c r="A161" t="s">
        <v>214</v>
      </c>
      <c r="B161" t="s">
        <v>209</v>
      </c>
      <c r="C161">
        <v>4.8</v>
      </c>
      <c r="D161">
        <v>13471</v>
      </c>
      <c r="E161">
        <v>52</v>
      </c>
      <c r="F161">
        <v>2016</v>
      </c>
      <c r="G161" t="s">
        <v>10</v>
      </c>
      <c r="I161" t="str">
        <v/>
      </c>
    </row>
    <row r="162" spans="1:9" hidden="1" x14ac:dyDescent="0.25">
      <c r="A162" t="s">
        <v>215</v>
      </c>
      <c r="B162" t="s">
        <v>216</v>
      </c>
      <c r="C162">
        <v>4.8</v>
      </c>
      <c r="D162">
        <v>1930</v>
      </c>
      <c r="E162">
        <v>4</v>
      </c>
      <c r="F162">
        <v>2009</v>
      </c>
      <c r="G162" t="s">
        <v>8</v>
      </c>
      <c r="I162" t="str">
        <v/>
      </c>
    </row>
    <row r="163" spans="1:9" hidden="1" x14ac:dyDescent="0.25">
      <c r="A163" t="s">
        <v>217</v>
      </c>
      <c r="B163" t="s">
        <v>218</v>
      </c>
      <c r="C163">
        <v>4.7</v>
      </c>
      <c r="D163">
        <v>15779</v>
      </c>
      <c r="E163">
        <v>10</v>
      </c>
      <c r="F163">
        <v>2011</v>
      </c>
      <c r="G163" t="s">
        <v>8</v>
      </c>
      <c r="I163" t="str">
        <v/>
      </c>
    </row>
    <row r="164" spans="1:9" hidden="1" x14ac:dyDescent="0.25">
      <c r="A164" t="s">
        <v>217</v>
      </c>
      <c r="B164" t="s">
        <v>218</v>
      </c>
      <c r="C164">
        <v>4.7</v>
      </c>
      <c r="D164">
        <v>15779</v>
      </c>
      <c r="E164">
        <v>10</v>
      </c>
      <c r="F164">
        <v>2012</v>
      </c>
      <c r="G164" t="s">
        <v>8</v>
      </c>
      <c r="I164" t="str">
        <v/>
      </c>
    </row>
    <row r="165" spans="1:9" hidden="1" x14ac:dyDescent="0.25">
      <c r="A165" t="s">
        <v>219</v>
      </c>
      <c r="B165" t="s">
        <v>220</v>
      </c>
      <c r="C165">
        <v>4.4000000000000004</v>
      </c>
      <c r="D165">
        <v>15526</v>
      </c>
      <c r="E165">
        <v>14</v>
      </c>
      <c r="F165">
        <v>2016</v>
      </c>
      <c r="G165" t="s">
        <v>8</v>
      </c>
      <c r="I165" t="str">
        <v/>
      </c>
    </row>
    <row r="166" spans="1:9" hidden="1" x14ac:dyDescent="0.25">
      <c r="A166" t="s">
        <v>219</v>
      </c>
      <c r="B166" t="s">
        <v>220</v>
      </c>
      <c r="C166">
        <v>4.4000000000000004</v>
      </c>
      <c r="D166">
        <v>15526</v>
      </c>
      <c r="E166">
        <v>14</v>
      </c>
      <c r="F166">
        <v>2017</v>
      </c>
      <c r="G166" t="s">
        <v>8</v>
      </c>
      <c r="I166" t="str">
        <v/>
      </c>
    </row>
    <row r="167" spans="1:9" hidden="1" x14ac:dyDescent="0.25">
      <c r="A167" t="s">
        <v>221</v>
      </c>
      <c r="B167" t="s">
        <v>222</v>
      </c>
      <c r="C167">
        <v>4.8</v>
      </c>
      <c r="D167">
        <v>3776</v>
      </c>
      <c r="E167">
        <v>22</v>
      </c>
      <c r="F167">
        <v>2018</v>
      </c>
      <c r="G167" t="s">
        <v>8</v>
      </c>
      <c r="I167" t="str">
        <v/>
      </c>
    </row>
    <row r="168" spans="1:9" hidden="1" x14ac:dyDescent="0.25">
      <c r="A168" t="s">
        <v>223</v>
      </c>
      <c r="B168" t="s">
        <v>224</v>
      </c>
      <c r="C168">
        <v>4.7</v>
      </c>
      <c r="D168">
        <v>25001</v>
      </c>
      <c r="E168">
        <v>11</v>
      </c>
      <c r="F168">
        <v>2014</v>
      </c>
      <c r="G168" t="s">
        <v>8</v>
      </c>
      <c r="I168" t="str">
        <v/>
      </c>
    </row>
    <row r="169" spans="1:9" hidden="1" x14ac:dyDescent="0.25">
      <c r="A169" t="s">
        <v>223</v>
      </c>
      <c r="B169" t="s">
        <v>224</v>
      </c>
      <c r="C169">
        <v>4.7</v>
      </c>
      <c r="D169">
        <v>25001</v>
      </c>
      <c r="E169">
        <v>11</v>
      </c>
      <c r="F169">
        <v>2015</v>
      </c>
      <c r="G169" t="s">
        <v>8</v>
      </c>
      <c r="I169" t="str">
        <v/>
      </c>
    </row>
    <row r="170" spans="1:9" hidden="1" x14ac:dyDescent="0.25">
      <c r="A170" t="s">
        <v>223</v>
      </c>
      <c r="B170" t="s">
        <v>224</v>
      </c>
      <c r="C170">
        <v>4.7</v>
      </c>
      <c r="D170">
        <v>25001</v>
      </c>
      <c r="E170">
        <v>11</v>
      </c>
      <c r="F170">
        <v>2016</v>
      </c>
      <c r="G170" t="s">
        <v>8</v>
      </c>
      <c r="I170" t="str">
        <v/>
      </c>
    </row>
    <row r="171" spans="1:9" hidden="1" x14ac:dyDescent="0.25">
      <c r="A171" t="s">
        <v>223</v>
      </c>
      <c r="B171" t="s">
        <v>224</v>
      </c>
      <c r="C171">
        <v>4.7</v>
      </c>
      <c r="D171">
        <v>25001</v>
      </c>
      <c r="E171">
        <v>11</v>
      </c>
      <c r="F171">
        <v>2017</v>
      </c>
      <c r="G171" t="s">
        <v>8</v>
      </c>
      <c r="I171" t="str">
        <v/>
      </c>
    </row>
    <row r="172" spans="1:9" hidden="1" x14ac:dyDescent="0.25">
      <c r="A172" t="s">
        <v>223</v>
      </c>
      <c r="B172" t="s">
        <v>224</v>
      </c>
      <c r="C172">
        <v>4.7</v>
      </c>
      <c r="D172">
        <v>25001</v>
      </c>
      <c r="E172">
        <v>11</v>
      </c>
      <c r="F172">
        <v>2018</v>
      </c>
      <c r="G172" t="s">
        <v>8</v>
      </c>
      <c r="I172" t="str">
        <v/>
      </c>
    </row>
    <row r="173" spans="1:9" hidden="1" x14ac:dyDescent="0.25">
      <c r="A173" t="s">
        <v>225</v>
      </c>
      <c r="B173" t="s">
        <v>226</v>
      </c>
      <c r="C173">
        <v>4.3</v>
      </c>
      <c r="D173">
        <v>5272</v>
      </c>
      <c r="E173">
        <v>16</v>
      </c>
      <c r="F173">
        <v>2019</v>
      </c>
      <c r="G173" t="s">
        <v>8</v>
      </c>
      <c r="I173" t="str">
        <v/>
      </c>
    </row>
    <row r="174" spans="1:9" hidden="1" x14ac:dyDescent="0.25">
      <c r="A174" t="s">
        <v>227</v>
      </c>
      <c r="B174" t="s">
        <v>228</v>
      </c>
      <c r="C174">
        <v>4.8</v>
      </c>
      <c r="D174">
        <v>3490</v>
      </c>
      <c r="E174">
        <v>15</v>
      </c>
      <c r="F174">
        <v>2013</v>
      </c>
      <c r="G174" t="s">
        <v>8</v>
      </c>
      <c r="I174" t="str">
        <v/>
      </c>
    </row>
    <row r="175" spans="1:9" hidden="1" x14ac:dyDescent="0.25">
      <c r="A175" t="s">
        <v>227</v>
      </c>
      <c r="B175" t="s">
        <v>228</v>
      </c>
      <c r="C175">
        <v>4.8</v>
      </c>
      <c r="D175">
        <v>3490</v>
      </c>
      <c r="E175">
        <v>15</v>
      </c>
      <c r="F175">
        <v>2014</v>
      </c>
      <c r="G175" t="s">
        <v>8</v>
      </c>
      <c r="I175" t="str">
        <v/>
      </c>
    </row>
    <row r="176" spans="1:9" hidden="1" x14ac:dyDescent="0.25">
      <c r="A176" t="s">
        <v>229</v>
      </c>
      <c r="B176" t="s">
        <v>228</v>
      </c>
      <c r="C176">
        <v>4.9000000000000004</v>
      </c>
      <c r="D176">
        <v>2812</v>
      </c>
      <c r="E176">
        <v>17</v>
      </c>
      <c r="F176">
        <v>2015</v>
      </c>
      <c r="G176" t="s">
        <v>8</v>
      </c>
      <c r="I176" t="str">
        <v/>
      </c>
    </row>
    <row r="177" spans="1:9" hidden="1" x14ac:dyDescent="0.25">
      <c r="A177" t="s">
        <v>230</v>
      </c>
      <c r="B177" t="s">
        <v>231</v>
      </c>
      <c r="C177">
        <v>4.7</v>
      </c>
      <c r="D177">
        <v>4896</v>
      </c>
      <c r="E177">
        <v>17</v>
      </c>
      <c r="F177">
        <v>2013</v>
      </c>
      <c r="G177" t="s">
        <v>8</v>
      </c>
      <c r="I177" t="str">
        <v/>
      </c>
    </row>
    <row r="178" spans="1:9" hidden="1" x14ac:dyDescent="0.25">
      <c r="A178" t="s">
        <v>232</v>
      </c>
      <c r="B178" t="s">
        <v>233</v>
      </c>
      <c r="C178">
        <v>4.8</v>
      </c>
      <c r="D178">
        <v>9737</v>
      </c>
      <c r="E178">
        <v>7</v>
      </c>
      <c r="F178">
        <v>2019</v>
      </c>
      <c r="G178" t="s">
        <v>8</v>
      </c>
      <c r="I178" t="str">
        <v/>
      </c>
    </row>
    <row r="179" spans="1:9" hidden="1" x14ac:dyDescent="0.25">
      <c r="A179" t="s">
        <v>234</v>
      </c>
      <c r="B179" t="s">
        <v>235</v>
      </c>
      <c r="C179">
        <v>4.5999999999999996</v>
      </c>
      <c r="D179">
        <v>1320</v>
      </c>
      <c r="E179">
        <v>7</v>
      </c>
      <c r="F179">
        <v>2009</v>
      </c>
      <c r="G179" t="s">
        <v>10</v>
      </c>
      <c r="I179" t="str">
        <v/>
      </c>
    </row>
    <row r="180" spans="1:9" hidden="1" x14ac:dyDescent="0.25">
      <c r="A180" t="s">
        <v>236</v>
      </c>
      <c r="B180" t="s">
        <v>237</v>
      </c>
      <c r="C180">
        <v>4.8</v>
      </c>
      <c r="D180">
        <v>16643</v>
      </c>
      <c r="E180">
        <v>4</v>
      </c>
      <c r="F180">
        <v>2017</v>
      </c>
      <c r="G180" t="s">
        <v>10</v>
      </c>
      <c r="I180" t="str">
        <v/>
      </c>
    </row>
    <row r="181" spans="1:9" hidden="1" x14ac:dyDescent="0.25">
      <c r="A181" t="s">
        <v>236</v>
      </c>
      <c r="B181" t="s">
        <v>237</v>
      </c>
      <c r="C181">
        <v>4.8</v>
      </c>
      <c r="D181">
        <v>16643</v>
      </c>
      <c r="E181">
        <v>4</v>
      </c>
      <c r="F181">
        <v>2019</v>
      </c>
      <c r="G181" t="s">
        <v>10</v>
      </c>
      <c r="I181" t="str">
        <v/>
      </c>
    </row>
    <row r="182" spans="1:9" hidden="1" x14ac:dyDescent="0.25">
      <c r="A182" t="s">
        <v>238</v>
      </c>
      <c r="B182" t="s">
        <v>239</v>
      </c>
      <c r="C182">
        <v>4.3</v>
      </c>
      <c r="D182">
        <v>7153</v>
      </c>
      <c r="E182">
        <v>9</v>
      </c>
      <c r="F182">
        <v>2014</v>
      </c>
      <c r="G182" t="s">
        <v>10</v>
      </c>
      <c r="I182" t="str">
        <v/>
      </c>
    </row>
    <row r="183" spans="1:9" hidden="1" x14ac:dyDescent="0.25">
      <c r="A183" t="s">
        <v>240</v>
      </c>
      <c r="B183" t="s">
        <v>241</v>
      </c>
      <c r="C183">
        <v>4.4000000000000004</v>
      </c>
      <c r="D183">
        <v>4571</v>
      </c>
      <c r="E183">
        <v>21</v>
      </c>
      <c r="F183">
        <v>2011</v>
      </c>
      <c r="G183" t="s">
        <v>8</v>
      </c>
      <c r="I183" t="str">
        <v/>
      </c>
    </row>
    <row r="184" spans="1:9" hidden="1" x14ac:dyDescent="0.25">
      <c r="A184" t="s">
        <v>242</v>
      </c>
      <c r="B184" t="s">
        <v>243</v>
      </c>
      <c r="C184">
        <v>4.0999999999999996</v>
      </c>
      <c r="D184">
        <v>29651</v>
      </c>
      <c r="E184">
        <v>14</v>
      </c>
      <c r="F184">
        <v>2013</v>
      </c>
      <c r="G184" t="s">
        <v>10</v>
      </c>
      <c r="I184" t="str">
        <v/>
      </c>
    </row>
    <row r="185" spans="1:9" hidden="1" x14ac:dyDescent="0.25">
      <c r="A185" t="s">
        <v>244</v>
      </c>
      <c r="B185" t="s">
        <v>245</v>
      </c>
      <c r="C185">
        <v>4.5999999999999996</v>
      </c>
      <c r="D185">
        <v>5299</v>
      </c>
      <c r="E185">
        <v>20</v>
      </c>
      <c r="F185">
        <v>2011</v>
      </c>
      <c r="G185" t="s">
        <v>10</v>
      </c>
      <c r="I185" t="str">
        <v/>
      </c>
    </row>
    <row r="186" spans="1:9" hidden="1" x14ac:dyDescent="0.25">
      <c r="A186" t="s">
        <v>246</v>
      </c>
      <c r="B186" t="s">
        <v>247</v>
      </c>
      <c r="C186">
        <v>4.4000000000000004</v>
      </c>
      <c r="D186">
        <v>7396</v>
      </c>
      <c r="E186">
        <v>13</v>
      </c>
      <c r="F186">
        <v>2019</v>
      </c>
      <c r="G186" t="s">
        <v>8</v>
      </c>
      <c r="I186" t="str">
        <v/>
      </c>
    </row>
    <row r="187" spans="1:9" hidden="1" x14ac:dyDescent="0.25">
      <c r="A187" t="s">
        <v>246</v>
      </c>
      <c r="B187" t="s">
        <v>247</v>
      </c>
      <c r="C187">
        <v>4.4000000000000004</v>
      </c>
      <c r="D187">
        <v>7396</v>
      </c>
      <c r="E187">
        <v>13</v>
      </c>
      <c r="F187">
        <v>2018</v>
      </c>
      <c r="G187" t="s">
        <v>8</v>
      </c>
      <c r="I187" t="str">
        <v/>
      </c>
    </row>
    <row r="188" spans="1:9" hidden="1" x14ac:dyDescent="0.25">
      <c r="A188" t="s">
        <v>248</v>
      </c>
      <c r="B188" t="s">
        <v>249</v>
      </c>
      <c r="C188">
        <v>4.8</v>
      </c>
      <c r="D188">
        <v>7062</v>
      </c>
      <c r="E188">
        <v>12</v>
      </c>
      <c r="F188">
        <v>2019</v>
      </c>
      <c r="G188" t="s">
        <v>8</v>
      </c>
      <c r="I188" t="str">
        <v/>
      </c>
    </row>
    <row r="189" spans="1:9" hidden="1" x14ac:dyDescent="0.25">
      <c r="A189" t="s">
        <v>250</v>
      </c>
      <c r="B189" t="s">
        <v>251</v>
      </c>
      <c r="C189">
        <v>4.9000000000000004</v>
      </c>
      <c r="D189">
        <v>19576</v>
      </c>
      <c r="E189">
        <v>8</v>
      </c>
      <c r="F189">
        <v>2011</v>
      </c>
      <c r="G189" t="s">
        <v>8</v>
      </c>
      <c r="I189" t="str">
        <v/>
      </c>
    </row>
    <row r="190" spans="1:9" hidden="1" x14ac:dyDescent="0.25">
      <c r="A190" t="s">
        <v>250</v>
      </c>
      <c r="B190" t="s">
        <v>251</v>
      </c>
      <c r="C190">
        <v>4.9000000000000004</v>
      </c>
      <c r="D190">
        <v>19576</v>
      </c>
      <c r="E190">
        <v>8</v>
      </c>
      <c r="F190">
        <v>2012</v>
      </c>
      <c r="G190" t="s">
        <v>8</v>
      </c>
      <c r="I190" t="str">
        <v/>
      </c>
    </row>
    <row r="191" spans="1:9" hidden="1" x14ac:dyDescent="0.25">
      <c r="A191" t="s">
        <v>250</v>
      </c>
      <c r="B191" t="s">
        <v>251</v>
      </c>
      <c r="C191">
        <v>4.9000000000000004</v>
      </c>
      <c r="D191">
        <v>19576</v>
      </c>
      <c r="E191">
        <v>8</v>
      </c>
      <c r="F191">
        <v>2013</v>
      </c>
      <c r="G191" t="s">
        <v>8</v>
      </c>
      <c r="I191" t="str">
        <v/>
      </c>
    </row>
    <row r="192" spans="1:9" hidden="1" x14ac:dyDescent="0.25">
      <c r="A192" t="s">
        <v>250</v>
      </c>
      <c r="B192" t="s">
        <v>251</v>
      </c>
      <c r="C192">
        <v>4.9000000000000004</v>
      </c>
      <c r="D192">
        <v>19576</v>
      </c>
      <c r="E192">
        <v>8</v>
      </c>
      <c r="F192">
        <v>2014</v>
      </c>
      <c r="G192" t="s">
        <v>8</v>
      </c>
      <c r="I192" t="str">
        <v/>
      </c>
    </row>
    <row r="193" spans="1:9" hidden="1" x14ac:dyDescent="0.25">
      <c r="A193" t="s">
        <v>250</v>
      </c>
      <c r="B193" t="s">
        <v>251</v>
      </c>
      <c r="C193">
        <v>4.9000000000000004</v>
      </c>
      <c r="D193">
        <v>19576</v>
      </c>
      <c r="E193">
        <v>8</v>
      </c>
      <c r="F193">
        <v>2015</v>
      </c>
      <c r="G193" t="s">
        <v>8</v>
      </c>
      <c r="I193" t="str">
        <v/>
      </c>
    </row>
    <row r="194" spans="1:9" hidden="1" x14ac:dyDescent="0.25">
      <c r="A194" t="s">
        <v>250</v>
      </c>
      <c r="B194" t="s">
        <v>251</v>
      </c>
      <c r="C194">
        <v>4.9000000000000004</v>
      </c>
      <c r="D194">
        <v>19576</v>
      </c>
      <c r="E194">
        <v>8</v>
      </c>
      <c r="F194">
        <v>2016</v>
      </c>
      <c r="G194" t="s">
        <v>8</v>
      </c>
      <c r="I194" t="str">
        <v/>
      </c>
    </row>
    <row r="195" spans="1:9" hidden="1" x14ac:dyDescent="0.25">
      <c r="A195" t="s">
        <v>252</v>
      </c>
      <c r="B195" t="s">
        <v>166</v>
      </c>
      <c r="C195">
        <v>4.5999999999999996</v>
      </c>
      <c r="D195">
        <v>978</v>
      </c>
      <c r="E195">
        <v>0</v>
      </c>
      <c r="F195">
        <v>2014</v>
      </c>
      <c r="G195" t="s">
        <v>10</v>
      </c>
      <c r="I195" t="str">
        <v/>
      </c>
    </row>
    <row r="196" spans="1:9" hidden="1" x14ac:dyDescent="0.25">
      <c r="A196" t="s">
        <v>253</v>
      </c>
      <c r="B196" t="s">
        <v>9</v>
      </c>
      <c r="C196">
        <v>4.5</v>
      </c>
      <c r="D196">
        <v>4748</v>
      </c>
      <c r="E196">
        <v>12</v>
      </c>
      <c r="F196">
        <v>2013</v>
      </c>
      <c r="G196" t="s">
        <v>10</v>
      </c>
      <c r="I196" t="str">
        <v/>
      </c>
    </row>
    <row r="197" spans="1:9" hidden="1" x14ac:dyDescent="0.25">
      <c r="A197" t="s">
        <v>254</v>
      </c>
      <c r="B197" t="s">
        <v>255</v>
      </c>
      <c r="C197">
        <v>4.5999999999999996</v>
      </c>
      <c r="D197">
        <v>8393</v>
      </c>
      <c r="E197">
        <v>17</v>
      </c>
      <c r="F197">
        <v>2017</v>
      </c>
      <c r="G197" t="s">
        <v>8</v>
      </c>
      <c r="I197" t="str">
        <v/>
      </c>
    </row>
    <row r="198" spans="1:9" hidden="1" x14ac:dyDescent="0.25">
      <c r="A198" t="s">
        <v>256</v>
      </c>
      <c r="B198" t="s">
        <v>257</v>
      </c>
      <c r="C198">
        <v>4.5</v>
      </c>
      <c r="D198">
        <v>11391</v>
      </c>
      <c r="E198">
        <v>12</v>
      </c>
      <c r="F198">
        <v>2013</v>
      </c>
      <c r="G198" t="s">
        <v>8</v>
      </c>
      <c r="I198" t="str">
        <v/>
      </c>
    </row>
    <row r="199" spans="1:9" hidden="1" x14ac:dyDescent="0.25">
      <c r="A199" t="s">
        <v>258</v>
      </c>
      <c r="B199" t="s">
        <v>257</v>
      </c>
      <c r="C199">
        <v>4.5999999999999996</v>
      </c>
      <c r="D199">
        <v>8634</v>
      </c>
      <c r="E199">
        <v>25</v>
      </c>
      <c r="F199">
        <v>2012</v>
      </c>
      <c r="G199" t="s">
        <v>8</v>
      </c>
      <c r="I199" t="str">
        <v/>
      </c>
    </row>
    <row r="200" spans="1:9" hidden="1" x14ac:dyDescent="0.25">
      <c r="A200" t="s">
        <v>259</v>
      </c>
      <c r="B200" t="s">
        <v>257</v>
      </c>
      <c r="C200">
        <v>4.7</v>
      </c>
      <c r="D200">
        <v>9342</v>
      </c>
      <c r="E200">
        <v>10</v>
      </c>
      <c r="F200">
        <v>2011</v>
      </c>
      <c r="G200" t="s">
        <v>8</v>
      </c>
      <c r="I200" t="str">
        <v/>
      </c>
    </row>
    <row r="201" spans="1:9" hidden="1" x14ac:dyDescent="0.25">
      <c r="A201" t="s">
        <v>259</v>
      </c>
      <c r="B201" t="s">
        <v>257</v>
      </c>
      <c r="C201">
        <v>4.7</v>
      </c>
      <c r="D201">
        <v>9342</v>
      </c>
      <c r="E201">
        <v>10</v>
      </c>
      <c r="F201">
        <v>2012</v>
      </c>
      <c r="G201" t="s">
        <v>8</v>
      </c>
      <c r="I201" t="str">
        <v/>
      </c>
    </row>
    <row r="202" spans="1:9" hidden="1" x14ac:dyDescent="0.25">
      <c r="A202" t="s">
        <v>260</v>
      </c>
      <c r="B202" t="s">
        <v>257</v>
      </c>
      <c r="C202">
        <v>4.5999999999999996</v>
      </c>
      <c r="D202">
        <v>10927</v>
      </c>
      <c r="E202">
        <v>6</v>
      </c>
      <c r="F202">
        <v>2014</v>
      </c>
      <c r="G202" t="s">
        <v>8</v>
      </c>
      <c r="I202" t="str">
        <v/>
      </c>
    </row>
    <row r="203" spans="1:9" hidden="1" x14ac:dyDescent="0.25">
      <c r="A203" t="s">
        <v>261</v>
      </c>
      <c r="B203" t="s">
        <v>257</v>
      </c>
      <c r="C203">
        <v>4.5999999999999996</v>
      </c>
      <c r="D203">
        <v>5235</v>
      </c>
      <c r="E203">
        <v>5</v>
      </c>
      <c r="F203">
        <v>2015</v>
      </c>
      <c r="G203" t="s">
        <v>8</v>
      </c>
      <c r="I203" t="str">
        <v/>
      </c>
    </row>
    <row r="204" spans="1:9" hidden="1" x14ac:dyDescent="0.25">
      <c r="A204" t="s">
        <v>262</v>
      </c>
      <c r="B204" t="s">
        <v>257</v>
      </c>
      <c r="C204">
        <v>4.8</v>
      </c>
      <c r="D204">
        <v>8916</v>
      </c>
      <c r="E204">
        <v>6</v>
      </c>
      <c r="F204">
        <v>2016</v>
      </c>
      <c r="G204" t="s">
        <v>8</v>
      </c>
      <c r="I204" t="str">
        <v/>
      </c>
    </row>
    <row r="205" spans="1:9" hidden="1" x14ac:dyDescent="0.25">
      <c r="A205" t="s">
        <v>263</v>
      </c>
      <c r="B205" t="s">
        <v>264</v>
      </c>
      <c r="C205">
        <v>4.8</v>
      </c>
      <c r="D205">
        <v>2507</v>
      </c>
      <c r="E205">
        <v>8</v>
      </c>
      <c r="F205">
        <v>2018</v>
      </c>
      <c r="G205" t="s">
        <v>8</v>
      </c>
      <c r="I205" t="str">
        <v/>
      </c>
    </row>
    <row r="206" spans="1:9" hidden="1" x14ac:dyDescent="0.25">
      <c r="A206" t="s">
        <v>265</v>
      </c>
      <c r="B206" t="s">
        <v>266</v>
      </c>
      <c r="C206">
        <v>4.5</v>
      </c>
      <c r="D206">
        <v>3673</v>
      </c>
      <c r="E206">
        <v>4</v>
      </c>
      <c r="F206">
        <v>2013</v>
      </c>
      <c r="G206" t="s">
        <v>8</v>
      </c>
      <c r="I206" t="str">
        <v/>
      </c>
    </row>
    <row r="207" spans="1:9" hidden="1" x14ac:dyDescent="0.25">
      <c r="A207" t="s">
        <v>265</v>
      </c>
      <c r="B207" t="s">
        <v>266</v>
      </c>
      <c r="C207">
        <v>4.5</v>
      </c>
      <c r="D207">
        <v>3673</v>
      </c>
      <c r="E207">
        <v>4</v>
      </c>
      <c r="F207">
        <v>2014</v>
      </c>
      <c r="G207" t="s">
        <v>8</v>
      </c>
      <c r="I207" t="str">
        <v/>
      </c>
    </row>
    <row r="208" spans="1:9" hidden="1" x14ac:dyDescent="0.25">
      <c r="A208" t="s">
        <v>265</v>
      </c>
      <c r="B208" t="s">
        <v>266</v>
      </c>
      <c r="C208">
        <v>4.5</v>
      </c>
      <c r="D208">
        <v>3673</v>
      </c>
      <c r="E208">
        <v>4</v>
      </c>
      <c r="F208">
        <v>2015</v>
      </c>
      <c r="G208" t="s">
        <v>8</v>
      </c>
      <c r="I208" t="str">
        <v/>
      </c>
    </row>
    <row r="209" spans="1:9" hidden="1" x14ac:dyDescent="0.25">
      <c r="A209" t="s">
        <v>267</v>
      </c>
      <c r="B209" t="s">
        <v>268</v>
      </c>
      <c r="C209">
        <v>4.9000000000000004</v>
      </c>
      <c r="D209">
        <v>11881</v>
      </c>
      <c r="E209">
        <v>13</v>
      </c>
      <c r="F209">
        <v>2018</v>
      </c>
      <c r="G209" t="s">
        <v>10</v>
      </c>
      <c r="I209" t="str">
        <v/>
      </c>
    </row>
    <row r="210" spans="1:9" hidden="1" x14ac:dyDescent="0.25">
      <c r="A210" t="s">
        <v>269</v>
      </c>
      <c r="B210" t="s">
        <v>266</v>
      </c>
      <c r="C210">
        <v>4.5999999999999996</v>
      </c>
      <c r="D210">
        <v>6990</v>
      </c>
      <c r="E210">
        <v>4</v>
      </c>
      <c r="F210">
        <v>2013</v>
      </c>
      <c r="G210" t="s">
        <v>8</v>
      </c>
      <c r="I210" t="str">
        <v/>
      </c>
    </row>
    <row r="211" spans="1:9" hidden="1" x14ac:dyDescent="0.25">
      <c r="A211" t="s">
        <v>269</v>
      </c>
      <c r="B211" t="s">
        <v>266</v>
      </c>
      <c r="C211">
        <v>4.5999999999999996</v>
      </c>
      <c r="D211">
        <v>6990</v>
      </c>
      <c r="E211">
        <v>4</v>
      </c>
      <c r="F211">
        <v>2014</v>
      </c>
      <c r="G211" t="s">
        <v>8</v>
      </c>
      <c r="I211" t="str">
        <v/>
      </c>
    </row>
    <row r="212" spans="1:9" hidden="1" x14ac:dyDescent="0.25">
      <c r="A212" t="s">
        <v>269</v>
      </c>
      <c r="B212" t="s">
        <v>266</v>
      </c>
      <c r="C212">
        <v>4.5999999999999996</v>
      </c>
      <c r="D212">
        <v>6990</v>
      </c>
      <c r="E212">
        <v>4</v>
      </c>
      <c r="F212">
        <v>2015</v>
      </c>
      <c r="G212" t="s">
        <v>8</v>
      </c>
      <c r="I212" t="str">
        <v/>
      </c>
    </row>
    <row r="213" spans="1:9" hidden="1" x14ac:dyDescent="0.25">
      <c r="A213" t="s">
        <v>269</v>
      </c>
      <c r="B213" t="s">
        <v>266</v>
      </c>
      <c r="C213">
        <v>4.5999999999999996</v>
      </c>
      <c r="D213">
        <v>6990</v>
      </c>
      <c r="E213">
        <v>4</v>
      </c>
      <c r="F213">
        <v>2016</v>
      </c>
      <c r="G213" t="s">
        <v>8</v>
      </c>
      <c r="I213" t="str">
        <v/>
      </c>
    </row>
    <row r="214" spans="1:9" hidden="1" x14ac:dyDescent="0.25">
      <c r="A214" t="s">
        <v>269</v>
      </c>
      <c r="B214" t="s">
        <v>266</v>
      </c>
      <c r="C214">
        <v>4.5999999999999996</v>
      </c>
      <c r="D214">
        <v>6990</v>
      </c>
      <c r="E214">
        <v>4</v>
      </c>
      <c r="F214">
        <v>2017</v>
      </c>
      <c r="G214" t="s">
        <v>8</v>
      </c>
      <c r="I214" t="str">
        <v/>
      </c>
    </row>
    <row r="215" spans="1:9" hidden="1" x14ac:dyDescent="0.25">
      <c r="A215" t="s">
        <v>270</v>
      </c>
      <c r="B215" t="s">
        <v>271</v>
      </c>
      <c r="C215">
        <v>4.5</v>
      </c>
      <c r="D215">
        <v>6132</v>
      </c>
      <c r="E215">
        <v>13</v>
      </c>
      <c r="F215">
        <v>2013</v>
      </c>
      <c r="G215" t="s">
        <v>8</v>
      </c>
      <c r="I215" t="str">
        <v/>
      </c>
    </row>
    <row r="216" spans="1:9" hidden="1" x14ac:dyDescent="0.25">
      <c r="A216" t="s">
        <v>272</v>
      </c>
      <c r="B216" t="s">
        <v>273</v>
      </c>
      <c r="C216">
        <v>4.5</v>
      </c>
      <c r="D216">
        <v>3014</v>
      </c>
      <c r="E216">
        <v>21</v>
      </c>
      <c r="F216">
        <v>2017</v>
      </c>
      <c r="G216" t="s">
        <v>8</v>
      </c>
      <c r="I216" t="str">
        <v/>
      </c>
    </row>
    <row r="217" spans="1:9" hidden="1" x14ac:dyDescent="0.25">
      <c r="A217" t="s">
        <v>274</v>
      </c>
      <c r="B217" t="s">
        <v>275</v>
      </c>
      <c r="C217">
        <v>4.4000000000000004</v>
      </c>
      <c r="D217">
        <v>7550</v>
      </c>
      <c r="E217">
        <v>6</v>
      </c>
      <c r="F217">
        <v>2018</v>
      </c>
      <c r="G217" t="s">
        <v>8</v>
      </c>
      <c r="I217" t="str">
        <v/>
      </c>
    </row>
    <row r="218" spans="1:9" hidden="1" x14ac:dyDescent="0.25">
      <c r="A218" t="s">
        <v>276</v>
      </c>
      <c r="B218" t="s">
        <v>277</v>
      </c>
      <c r="C218">
        <v>4.8</v>
      </c>
      <c r="D218">
        <v>3828</v>
      </c>
      <c r="E218">
        <v>15</v>
      </c>
      <c r="F218">
        <v>2009</v>
      </c>
      <c r="G218" t="s">
        <v>8</v>
      </c>
      <c r="I218" t="str">
        <v/>
      </c>
    </row>
    <row r="219" spans="1:9" hidden="1" x14ac:dyDescent="0.25">
      <c r="A219" t="s">
        <v>278</v>
      </c>
      <c r="B219" t="s">
        <v>279</v>
      </c>
      <c r="C219">
        <v>4.5</v>
      </c>
      <c r="D219">
        <v>2752</v>
      </c>
      <c r="E219">
        <v>18</v>
      </c>
      <c r="F219">
        <v>2010</v>
      </c>
      <c r="G219" t="s">
        <v>8</v>
      </c>
      <c r="I219" t="str">
        <v/>
      </c>
    </row>
    <row r="220" spans="1:9" hidden="1" x14ac:dyDescent="0.25">
      <c r="A220" t="s">
        <v>280</v>
      </c>
      <c r="B220" t="s">
        <v>281</v>
      </c>
      <c r="C220">
        <v>4.0999999999999996</v>
      </c>
      <c r="D220">
        <v>1467</v>
      </c>
      <c r="E220">
        <v>10</v>
      </c>
      <c r="F220">
        <v>2010</v>
      </c>
      <c r="G220" t="s">
        <v>10</v>
      </c>
      <c r="I220" t="str">
        <v/>
      </c>
    </row>
    <row r="221" spans="1:9" hidden="1" x14ac:dyDescent="0.25">
      <c r="A221" t="s">
        <v>282</v>
      </c>
      <c r="B221" t="s">
        <v>283</v>
      </c>
      <c r="C221">
        <v>4.9000000000000004</v>
      </c>
      <c r="D221">
        <v>1884</v>
      </c>
      <c r="E221">
        <v>0</v>
      </c>
      <c r="F221">
        <v>2014</v>
      </c>
      <c r="G221" t="s">
        <v>10</v>
      </c>
      <c r="I221" t="str">
        <v/>
      </c>
    </row>
    <row r="222" spans="1:9" hidden="1" x14ac:dyDescent="0.25">
      <c r="A222" t="s">
        <v>284</v>
      </c>
      <c r="B222" t="s">
        <v>285</v>
      </c>
      <c r="C222">
        <v>4.5</v>
      </c>
      <c r="D222">
        <v>25706</v>
      </c>
      <c r="E222">
        <v>12</v>
      </c>
      <c r="F222">
        <v>2018</v>
      </c>
      <c r="G222" t="s">
        <v>10</v>
      </c>
      <c r="I222" t="str">
        <v/>
      </c>
    </row>
    <row r="223" spans="1:9" hidden="1" x14ac:dyDescent="0.25">
      <c r="A223" t="s">
        <v>286</v>
      </c>
      <c r="B223" t="s">
        <v>287</v>
      </c>
      <c r="C223">
        <v>4.5</v>
      </c>
      <c r="D223">
        <v>8491</v>
      </c>
      <c r="E223">
        <v>7</v>
      </c>
      <c r="F223">
        <v>2014</v>
      </c>
      <c r="G223" t="s">
        <v>10</v>
      </c>
      <c r="I223" t="str">
        <v/>
      </c>
    </row>
    <row r="224" spans="1:9" hidden="1" x14ac:dyDescent="0.25">
      <c r="A224" t="s">
        <v>288</v>
      </c>
      <c r="B224" t="s">
        <v>289</v>
      </c>
      <c r="C224">
        <v>4.2</v>
      </c>
      <c r="D224">
        <v>1649</v>
      </c>
      <c r="E224">
        <v>13</v>
      </c>
      <c r="F224">
        <v>2011</v>
      </c>
      <c r="G224" t="s">
        <v>8</v>
      </c>
      <c r="I224" t="str">
        <v/>
      </c>
    </row>
    <row r="225" spans="1:9" hidden="1" x14ac:dyDescent="0.25">
      <c r="A225" t="s">
        <v>290</v>
      </c>
      <c r="B225" t="s">
        <v>291</v>
      </c>
      <c r="C225">
        <v>4.8</v>
      </c>
      <c r="D225">
        <v>18613</v>
      </c>
      <c r="E225">
        <v>5</v>
      </c>
      <c r="F225">
        <v>2014</v>
      </c>
      <c r="G225" t="s">
        <v>10</v>
      </c>
      <c r="I225" t="str">
        <v/>
      </c>
    </row>
    <row r="226" spans="1:9" hidden="1" x14ac:dyDescent="0.25">
      <c r="A226" t="s">
        <v>290</v>
      </c>
      <c r="B226" t="s">
        <v>291</v>
      </c>
      <c r="C226">
        <v>4.8</v>
      </c>
      <c r="D226">
        <v>18613</v>
      </c>
      <c r="E226">
        <v>5</v>
      </c>
      <c r="F226">
        <v>2015</v>
      </c>
      <c r="G226" t="s">
        <v>10</v>
      </c>
      <c r="I226" t="str">
        <v/>
      </c>
    </row>
    <row r="227" spans="1:9" hidden="1" x14ac:dyDescent="0.25">
      <c r="A227" t="s">
        <v>292</v>
      </c>
      <c r="B227" t="s">
        <v>222</v>
      </c>
      <c r="C227">
        <v>4.8</v>
      </c>
      <c r="D227">
        <v>9867</v>
      </c>
      <c r="E227">
        <v>16</v>
      </c>
      <c r="F227">
        <v>2018</v>
      </c>
      <c r="G227" t="s">
        <v>8</v>
      </c>
      <c r="I227" t="str">
        <v/>
      </c>
    </row>
    <row r="228" spans="1:9" hidden="1" x14ac:dyDescent="0.25">
      <c r="A228" t="s">
        <v>293</v>
      </c>
      <c r="B228" t="s">
        <v>62</v>
      </c>
      <c r="C228">
        <v>4.5</v>
      </c>
      <c r="D228">
        <v>1386</v>
      </c>
      <c r="E228">
        <v>20</v>
      </c>
      <c r="F228">
        <v>2014</v>
      </c>
      <c r="G228" t="s">
        <v>8</v>
      </c>
      <c r="I228" t="str">
        <v/>
      </c>
    </row>
    <row r="229" spans="1:9" hidden="1" x14ac:dyDescent="0.25">
      <c r="A229" t="s">
        <v>294</v>
      </c>
      <c r="B229" t="s">
        <v>295</v>
      </c>
      <c r="C229">
        <v>4.7</v>
      </c>
      <c r="D229">
        <v>10199</v>
      </c>
      <c r="E229">
        <v>11</v>
      </c>
      <c r="F229">
        <v>2017</v>
      </c>
      <c r="G229" t="s">
        <v>8</v>
      </c>
      <c r="I229" t="str">
        <v/>
      </c>
    </row>
    <row r="230" spans="1:9" hidden="1" x14ac:dyDescent="0.25">
      <c r="A230" t="s">
        <v>296</v>
      </c>
      <c r="B230" t="s">
        <v>297</v>
      </c>
      <c r="C230">
        <v>4.8</v>
      </c>
      <c r="D230">
        <v>2926</v>
      </c>
      <c r="E230">
        <v>27</v>
      </c>
      <c r="F230">
        <v>2009</v>
      </c>
      <c r="G230" t="s">
        <v>8</v>
      </c>
      <c r="I230" t="str">
        <v/>
      </c>
    </row>
    <row r="231" spans="1:9" hidden="1" x14ac:dyDescent="0.25">
      <c r="A231" t="s">
        <v>298</v>
      </c>
      <c r="B231" t="s">
        <v>299</v>
      </c>
      <c r="C231">
        <v>4.7</v>
      </c>
      <c r="D231">
        <v>17739</v>
      </c>
      <c r="E231">
        <v>8</v>
      </c>
      <c r="F231">
        <v>2016</v>
      </c>
      <c r="G231" t="s">
        <v>8</v>
      </c>
      <c r="I231" t="str">
        <v/>
      </c>
    </row>
    <row r="232" spans="1:9" hidden="1" x14ac:dyDescent="0.25">
      <c r="A232" t="s">
        <v>298</v>
      </c>
      <c r="B232" t="s">
        <v>299</v>
      </c>
      <c r="C232">
        <v>4.7</v>
      </c>
      <c r="D232">
        <v>17739</v>
      </c>
      <c r="E232">
        <v>8</v>
      </c>
      <c r="F232">
        <v>2017</v>
      </c>
      <c r="G232" t="s">
        <v>8</v>
      </c>
      <c r="I232" t="str">
        <v/>
      </c>
    </row>
    <row r="233" spans="1:9" hidden="1" x14ac:dyDescent="0.25">
      <c r="A233" t="s">
        <v>298</v>
      </c>
      <c r="B233" t="s">
        <v>299</v>
      </c>
      <c r="C233">
        <v>4.7</v>
      </c>
      <c r="D233">
        <v>17739</v>
      </c>
      <c r="E233">
        <v>8</v>
      </c>
      <c r="F233">
        <v>2018</v>
      </c>
      <c r="G233" t="s">
        <v>8</v>
      </c>
      <c r="I233" t="str">
        <v/>
      </c>
    </row>
    <row r="234" spans="1:9" hidden="1" x14ac:dyDescent="0.25">
      <c r="A234" t="s">
        <v>300</v>
      </c>
      <c r="B234" t="s">
        <v>301</v>
      </c>
      <c r="C234">
        <v>4.4000000000000004</v>
      </c>
      <c r="D234">
        <v>3113</v>
      </c>
      <c r="E234">
        <v>6</v>
      </c>
      <c r="F234">
        <v>2017</v>
      </c>
      <c r="G234" t="s">
        <v>8</v>
      </c>
      <c r="I234" t="str">
        <v/>
      </c>
    </row>
    <row r="235" spans="1:9" hidden="1" x14ac:dyDescent="0.25">
      <c r="A235" t="s">
        <v>302</v>
      </c>
      <c r="B235" t="s">
        <v>303</v>
      </c>
      <c r="C235">
        <v>4.5999999999999996</v>
      </c>
      <c r="D235">
        <v>5542</v>
      </c>
      <c r="E235">
        <v>10</v>
      </c>
      <c r="F235">
        <v>2014</v>
      </c>
      <c r="G235" t="s">
        <v>8</v>
      </c>
      <c r="I235" t="str">
        <v/>
      </c>
    </row>
    <row r="236" spans="1:9" hidden="1" x14ac:dyDescent="0.25">
      <c r="A236" t="s">
        <v>302</v>
      </c>
      <c r="B236" t="s">
        <v>303</v>
      </c>
      <c r="C236">
        <v>4.5999999999999996</v>
      </c>
      <c r="D236">
        <v>5542</v>
      </c>
      <c r="E236">
        <v>10</v>
      </c>
      <c r="F236">
        <v>2015</v>
      </c>
      <c r="G236" t="s">
        <v>8</v>
      </c>
      <c r="I236" t="str">
        <v/>
      </c>
    </row>
    <row r="237" spans="1:9" hidden="1" x14ac:dyDescent="0.25">
      <c r="A237" t="s">
        <v>302</v>
      </c>
      <c r="B237" t="s">
        <v>303</v>
      </c>
      <c r="C237">
        <v>4.5999999999999996</v>
      </c>
      <c r="D237">
        <v>5542</v>
      </c>
      <c r="E237">
        <v>10</v>
      </c>
      <c r="F237">
        <v>2016</v>
      </c>
      <c r="G237" t="s">
        <v>8</v>
      </c>
      <c r="I237" t="str">
        <v/>
      </c>
    </row>
    <row r="238" spans="1:9" hidden="1" x14ac:dyDescent="0.25">
      <c r="A238" t="s">
        <v>304</v>
      </c>
      <c r="B238" t="s">
        <v>86</v>
      </c>
      <c r="C238">
        <v>4.5</v>
      </c>
      <c r="D238">
        <v>26741</v>
      </c>
      <c r="E238">
        <v>8</v>
      </c>
      <c r="F238">
        <v>2010</v>
      </c>
      <c r="G238" t="s">
        <v>10</v>
      </c>
      <c r="I238" t="str">
        <v/>
      </c>
    </row>
    <row r="239" spans="1:9" hidden="1" x14ac:dyDescent="0.25">
      <c r="A239" t="s">
        <v>304</v>
      </c>
      <c r="B239" t="s">
        <v>86</v>
      </c>
      <c r="C239">
        <v>4.5</v>
      </c>
      <c r="D239">
        <v>26741</v>
      </c>
      <c r="E239">
        <v>8</v>
      </c>
      <c r="F239">
        <v>2011</v>
      </c>
      <c r="G239" t="s">
        <v>10</v>
      </c>
      <c r="I239" t="str">
        <v/>
      </c>
    </row>
    <row r="240" spans="1:9" hidden="1" x14ac:dyDescent="0.25">
      <c r="A240" t="s">
        <v>304</v>
      </c>
      <c r="B240" t="s">
        <v>86</v>
      </c>
      <c r="C240">
        <v>4.5</v>
      </c>
      <c r="D240">
        <v>26741</v>
      </c>
      <c r="E240">
        <v>8</v>
      </c>
      <c r="F240">
        <v>2012</v>
      </c>
      <c r="G240" t="s">
        <v>10</v>
      </c>
      <c r="I240" t="str">
        <v/>
      </c>
    </row>
    <row r="241" spans="1:9" hidden="1" x14ac:dyDescent="0.25">
      <c r="A241" t="s">
        <v>305</v>
      </c>
      <c r="B241" t="s">
        <v>306</v>
      </c>
      <c r="C241">
        <v>4.8</v>
      </c>
      <c r="D241">
        <v>5347</v>
      </c>
      <c r="E241">
        <v>16</v>
      </c>
      <c r="F241">
        <v>2019</v>
      </c>
      <c r="G241" t="s">
        <v>8</v>
      </c>
      <c r="I241" t="str">
        <v/>
      </c>
    </row>
    <row r="242" spans="1:9" hidden="1" x14ac:dyDescent="0.25">
      <c r="A242" t="s">
        <v>307</v>
      </c>
      <c r="B242" t="s">
        <v>308</v>
      </c>
      <c r="C242">
        <v>4.8</v>
      </c>
      <c r="D242">
        <v>7866</v>
      </c>
      <c r="E242">
        <v>11</v>
      </c>
      <c r="F242">
        <v>2019</v>
      </c>
      <c r="G242" t="s">
        <v>8</v>
      </c>
      <c r="I242" t="str">
        <v/>
      </c>
    </row>
    <row r="243" spans="1:9" hidden="1" x14ac:dyDescent="0.25">
      <c r="A243" t="s">
        <v>309</v>
      </c>
      <c r="B243" t="s">
        <v>73</v>
      </c>
      <c r="C243">
        <v>4.5999999999999996</v>
      </c>
      <c r="D243">
        <v>5680</v>
      </c>
      <c r="E243">
        <v>10</v>
      </c>
      <c r="F243">
        <v>2009</v>
      </c>
      <c r="G243" t="s">
        <v>10</v>
      </c>
      <c r="I243" t="str">
        <v/>
      </c>
    </row>
    <row r="244" spans="1:9" hidden="1" x14ac:dyDescent="0.25">
      <c r="A244" t="s">
        <v>310</v>
      </c>
      <c r="B244" t="s">
        <v>311</v>
      </c>
      <c r="C244">
        <v>4.7</v>
      </c>
      <c r="D244">
        <v>5178</v>
      </c>
      <c r="E244">
        <v>9</v>
      </c>
      <c r="F244">
        <v>2016</v>
      </c>
      <c r="G244" t="s">
        <v>8</v>
      </c>
      <c r="I244" t="str">
        <v/>
      </c>
    </row>
    <row r="245" spans="1:9" hidden="1" x14ac:dyDescent="0.25">
      <c r="A245" t="s">
        <v>312</v>
      </c>
      <c r="B245" t="s">
        <v>313</v>
      </c>
      <c r="C245">
        <v>4.5999999999999996</v>
      </c>
      <c r="D245">
        <v>8093</v>
      </c>
      <c r="E245">
        <v>14</v>
      </c>
      <c r="F245">
        <v>2012</v>
      </c>
      <c r="G245" t="s">
        <v>8</v>
      </c>
      <c r="I245" t="str">
        <v/>
      </c>
    </row>
    <row r="246" spans="1:9" hidden="1" x14ac:dyDescent="0.25">
      <c r="A246" t="s">
        <v>314</v>
      </c>
      <c r="B246" t="s">
        <v>315</v>
      </c>
      <c r="C246">
        <v>4.9000000000000004</v>
      </c>
      <c r="D246">
        <v>3192</v>
      </c>
      <c r="E246">
        <v>22</v>
      </c>
      <c r="F246">
        <v>2017</v>
      </c>
      <c r="G246" t="s">
        <v>8</v>
      </c>
      <c r="I246" t="str">
        <v/>
      </c>
    </row>
    <row r="247" spans="1:9" hidden="1" x14ac:dyDescent="0.25">
      <c r="A247" t="s">
        <v>316</v>
      </c>
      <c r="B247" t="s">
        <v>317</v>
      </c>
      <c r="C247">
        <v>4.9000000000000004</v>
      </c>
      <c r="D247">
        <v>21834</v>
      </c>
      <c r="E247">
        <v>8</v>
      </c>
      <c r="F247">
        <v>2012</v>
      </c>
      <c r="G247" t="s">
        <v>10</v>
      </c>
      <c r="I247" t="str">
        <v/>
      </c>
    </row>
    <row r="248" spans="1:9" hidden="1" x14ac:dyDescent="0.25">
      <c r="A248" t="s">
        <v>316</v>
      </c>
      <c r="B248" t="s">
        <v>317</v>
      </c>
      <c r="C248">
        <v>4.9000000000000004</v>
      </c>
      <c r="D248">
        <v>21834</v>
      </c>
      <c r="E248">
        <v>8</v>
      </c>
      <c r="F248">
        <v>2013</v>
      </c>
      <c r="G248" t="s">
        <v>10</v>
      </c>
      <c r="I248" t="str">
        <v/>
      </c>
    </row>
    <row r="249" spans="1:9" hidden="1" x14ac:dyDescent="0.25">
      <c r="A249" t="s">
        <v>316</v>
      </c>
      <c r="B249" t="s">
        <v>317</v>
      </c>
      <c r="C249">
        <v>4.9000000000000004</v>
      </c>
      <c r="D249">
        <v>21834</v>
      </c>
      <c r="E249">
        <v>8</v>
      </c>
      <c r="F249">
        <v>2014</v>
      </c>
      <c r="G249" t="s">
        <v>10</v>
      </c>
      <c r="I249" t="str">
        <v/>
      </c>
    </row>
    <row r="250" spans="1:9" hidden="1" x14ac:dyDescent="0.25">
      <c r="A250" t="s">
        <v>316</v>
      </c>
      <c r="B250" t="s">
        <v>317</v>
      </c>
      <c r="C250">
        <v>4.9000000000000004</v>
      </c>
      <c r="D250">
        <v>21834</v>
      </c>
      <c r="E250">
        <v>8</v>
      </c>
      <c r="F250">
        <v>2015</v>
      </c>
      <c r="G250" t="s">
        <v>10</v>
      </c>
      <c r="I250" t="str">
        <v/>
      </c>
    </row>
    <row r="251" spans="1:9" hidden="1" x14ac:dyDescent="0.25">
      <c r="A251" t="s">
        <v>316</v>
      </c>
      <c r="B251" t="s">
        <v>317</v>
      </c>
      <c r="C251">
        <v>4.9000000000000004</v>
      </c>
      <c r="D251">
        <v>21834</v>
      </c>
      <c r="E251">
        <v>8</v>
      </c>
      <c r="F251">
        <v>2016</v>
      </c>
      <c r="G251" t="s">
        <v>10</v>
      </c>
      <c r="I251" t="str">
        <v/>
      </c>
    </row>
    <row r="252" spans="1:9" hidden="1" x14ac:dyDescent="0.25">
      <c r="A252" t="s">
        <v>316</v>
      </c>
      <c r="B252" t="s">
        <v>317</v>
      </c>
      <c r="C252">
        <v>4.9000000000000004</v>
      </c>
      <c r="D252">
        <v>21834</v>
      </c>
      <c r="E252">
        <v>8</v>
      </c>
      <c r="F252">
        <v>2017</v>
      </c>
      <c r="G252" t="s">
        <v>10</v>
      </c>
      <c r="I252" t="str">
        <v/>
      </c>
    </row>
    <row r="253" spans="1:9" hidden="1" x14ac:dyDescent="0.25">
      <c r="A253" t="s">
        <v>316</v>
      </c>
      <c r="B253" t="s">
        <v>317</v>
      </c>
      <c r="C253">
        <v>4.9000000000000004</v>
      </c>
      <c r="D253">
        <v>21834</v>
      </c>
      <c r="E253">
        <v>8</v>
      </c>
      <c r="F253">
        <v>2018</v>
      </c>
      <c r="G253" t="s">
        <v>10</v>
      </c>
      <c r="I253" t="str">
        <v/>
      </c>
    </row>
    <row r="254" spans="1:9" hidden="1" x14ac:dyDescent="0.25">
      <c r="A254" t="s">
        <v>316</v>
      </c>
      <c r="B254" t="s">
        <v>317</v>
      </c>
      <c r="C254">
        <v>4.9000000000000004</v>
      </c>
      <c r="D254">
        <v>21834</v>
      </c>
      <c r="E254">
        <v>8</v>
      </c>
      <c r="F254">
        <v>2019</v>
      </c>
      <c r="G254" t="s">
        <v>10</v>
      </c>
      <c r="I254" t="str">
        <v/>
      </c>
    </row>
    <row r="255" spans="1:9" hidden="1" x14ac:dyDescent="0.25">
      <c r="A255" t="s">
        <v>318</v>
      </c>
      <c r="B255" t="s">
        <v>78</v>
      </c>
      <c r="C255">
        <v>4.8</v>
      </c>
      <c r="D255">
        <v>6169</v>
      </c>
      <c r="E255">
        <v>7</v>
      </c>
      <c r="F255">
        <v>2015</v>
      </c>
      <c r="G255" t="s">
        <v>10</v>
      </c>
      <c r="I255" t="str">
        <v/>
      </c>
    </row>
    <row r="256" spans="1:9" hidden="1" x14ac:dyDescent="0.25">
      <c r="A256" t="s">
        <v>319</v>
      </c>
      <c r="B256" t="s">
        <v>320</v>
      </c>
      <c r="C256">
        <v>4.2</v>
      </c>
      <c r="D256">
        <v>4519</v>
      </c>
      <c r="E256">
        <v>12</v>
      </c>
      <c r="F256">
        <v>2009</v>
      </c>
      <c r="G256" t="s">
        <v>10</v>
      </c>
      <c r="I256" t="str">
        <v/>
      </c>
    </row>
    <row r="257" spans="1:9" hidden="1" x14ac:dyDescent="0.25">
      <c r="A257" t="s">
        <v>321</v>
      </c>
      <c r="B257" t="s">
        <v>322</v>
      </c>
      <c r="C257">
        <v>4.5999999999999996</v>
      </c>
      <c r="D257">
        <v>3163</v>
      </c>
      <c r="E257">
        <v>13</v>
      </c>
      <c r="F257">
        <v>2011</v>
      </c>
      <c r="G257" t="s">
        <v>8</v>
      </c>
      <c r="I257" t="str">
        <v/>
      </c>
    </row>
    <row r="258" spans="1:9" hidden="1" x14ac:dyDescent="0.25">
      <c r="A258" t="s">
        <v>321</v>
      </c>
      <c r="B258" t="s">
        <v>322</v>
      </c>
      <c r="C258">
        <v>4.5999999999999996</v>
      </c>
      <c r="D258">
        <v>3163</v>
      </c>
      <c r="E258">
        <v>13</v>
      </c>
      <c r="F258">
        <v>2012</v>
      </c>
      <c r="G258" t="s">
        <v>8</v>
      </c>
      <c r="I258" t="str">
        <v/>
      </c>
    </row>
    <row r="259" spans="1:9" hidden="1" x14ac:dyDescent="0.25">
      <c r="A259" t="s">
        <v>323</v>
      </c>
      <c r="B259" t="s">
        <v>271</v>
      </c>
      <c r="C259">
        <v>4.5</v>
      </c>
      <c r="D259">
        <v>1831</v>
      </c>
      <c r="E259">
        <v>9</v>
      </c>
      <c r="F259">
        <v>2017</v>
      </c>
      <c r="G259" t="s">
        <v>8</v>
      </c>
      <c r="I259" t="str">
        <v/>
      </c>
    </row>
    <row r="260" spans="1:9" hidden="1" x14ac:dyDescent="0.25">
      <c r="A260" t="s">
        <v>324</v>
      </c>
      <c r="B260" t="s">
        <v>243</v>
      </c>
      <c r="C260">
        <v>4.3</v>
      </c>
      <c r="D260">
        <v>18904</v>
      </c>
      <c r="E260">
        <v>13</v>
      </c>
      <c r="F260">
        <v>2017</v>
      </c>
      <c r="G260" t="s">
        <v>10</v>
      </c>
      <c r="I260" t="str">
        <v/>
      </c>
    </row>
    <row r="261" spans="1:9" hidden="1" x14ac:dyDescent="0.25">
      <c r="A261" t="s">
        <v>325</v>
      </c>
      <c r="B261" t="s">
        <v>326</v>
      </c>
      <c r="C261">
        <v>4.5999999999999996</v>
      </c>
      <c r="D261">
        <v>21930</v>
      </c>
      <c r="E261">
        <v>11</v>
      </c>
      <c r="F261">
        <v>2014</v>
      </c>
      <c r="G261" t="s">
        <v>10</v>
      </c>
      <c r="I261" t="str">
        <v/>
      </c>
    </row>
    <row r="262" spans="1:9" hidden="1" x14ac:dyDescent="0.25">
      <c r="A262" t="s">
        <v>327</v>
      </c>
      <c r="B262" t="s">
        <v>101</v>
      </c>
      <c r="C262">
        <v>4.5999999999999996</v>
      </c>
      <c r="D262">
        <v>10426</v>
      </c>
      <c r="E262">
        <v>20</v>
      </c>
      <c r="F262">
        <v>2009</v>
      </c>
      <c r="G262" t="s">
        <v>8</v>
      </c>
      <c r="I262" t="str">
        <v/>
      </c>
    </row>
    <row r="263" spans="1:9" hidden="1" x14ac:dyDescent="0.25">
      <c r="A263" t="s">
        <v>327</v>
      </c>
      <c r="B263" t="s">
        <v>101</v>
      </c>
      <c r="C263">
        <v>4.5999999999999996</v>
      </c>
      <c r="D263">
        <v>10426</v>
      </c>
      <c r="E263">
        <v>20</v>
      </c>
      <c r="F263">
        <v>2010</v>
      </c>
      <c r="G263" t="s">
        <v>8</v>
      </c>
      <c r="I263" t="str">
        <v/>
      </c>
    </row>
    <row r="264" spans="1:9" hidden="1" x14ac:dyDescent="0.25">
      <c r="A264" t="s">
        <v>328</v>
      </c>
      <c r="B264" t="s">
        <v>329</v>
      </c>
      <c r="C264">
        <v>4.7</v>
      </c>
      <c r="D264">
        <v>10820</v>
      </c>
      <c r="E264">
        <v>5</v>
      </c>
      <c r="F264">
        <v>2018</v>
      </c>
      <c r="G264" t="s">
        <v>8</v>
      </c>
      <c r="I264" t="str">
        <v/>
      </c>
    </row>
    <row r="265" spans="1:9" hidden="1" x14ac:dyDescent="0.25">
      <c r="A265" t="s">
        <v>328</v>
      </c>
      <c r="B265" t="s">
        <v>329</v>
      </c>
      <c r="C265">
        <v>4.7</v>
      </c>
      <c r="D265">
        <v>10820</v>
      </c>
      <c r="E265">
        <v>5</v>
      </c>
      <c r="F265">
        <v>2019</v>
      </c>
      <c r="G265" t="s">
        <v>8</v>
      </c>
      <c r="I265" t="str">
        <v/>
      </c>
    </row>
    <row r="266" spans="1:9" hidden="1" x14ac:dyDescent="0.25">
      <c r="A266" t="s">
        <v>330</v>
      </c>
      <c r="B266" t="s">
        <v>331</v>
      </c>
      <c r="C266">
        <v>4.8</v>
      </c>
      <c r="D266">
        <v>548</v>
      </c>
      <c r="E266">
        <v>2</v>
      </c>
      <c r="F266">
        <v>2010</v>
      </c>
      <c r="G266" t="s">
        <v>10</v>
      </c>
      <c r="I266" t="str">
        <v/>
      </c>
    </row>
    <row r="267" spans="1:9" hidden="1" x14ac:dyDescent="0.25">
      <c r="A267" t="s">
        <v>332</v>
      </c>
      <c r="B267" t="s">
        <v>333</v>
      </c>
      <c r="C267">
        <v>4.8</v>
      </c>
      <c r="D267">
        <v>16990</v>
      </c>
      <c r="E267">
        <v>27</v>
      </c>
      <c r="F267">
        <v>2017</v>
      </c>
      <c r="G267" t="s">
        <v>10</v>
      </c>
      <c r="I267" t="str">
        <v/>
      </c>
    </row>
    <row r="268" spans="1:9" hidden="1" x14ac:dyDescent="0.25">
      <c r="A268" t="s">
        <v>332</v>
      </c>
      <c r="B268" t="s">
        <v>333</v>
      </c>
      <c r="C268">
        <v>4.8</v>
      </c>
      <c r="D268">
        <v>16990</v>
      </c>
      <c r="E268">
        <v>27</v>
      </c>
      <c r="F268">
        <v>2018</v>
      </c>
      <c r="G268" t="s">
        <v>10</v>
      </c>
      <c r="I268" t="str">
        <v/>
      </c>
    </row>
    <row r="269" spans="1:9" hidden="1" x14ac:dyDescent="0.25">
      <c r="A269" t="s">
        <v>332</v>
      </c>
      <c r="B269" t="s">
        <v>333</v>
      </c>
      <c r="C269">
        <v>4.8</v>
      </c>
      <c r="D269">
        <v>16990</v>
      </c>
      <c r="E269">
        <v>27</v>
      </c>
      <c r="F269">
        <v>2019</v>
      </c>
      <c r="G269" t="s">
        <v>10</v>
      </c>
      <c r="I269" t="str">
        <v/>
      </c>
    </row>
    <row r="270" spans="1:9" hidden="1" x14ac:dyDescent="0.25">
      <c r="A270" t="s">
        <v>334</v>
      </c>
      <c r="B270" t="s">
        <v>213</v>
      </c>
      <c r="C270">
        <v>4.7</v>
      </c>
      <c r="D270">
        <v>3503</v>
      </c>
      <c r="E270">
        <v>9</v>
      </c>
      <c r="F270">
        <v>2016</v>
      </c>
      <c r="G270" t="s">
        <v>10</v>
      </c>
      <c r="I270" t="str">
        <v/>
      </c>
    </row>
    <row r="271" spans="1:9" hidden="1" x14ac:dyDescent="0.25">
      <c r="A271" t="s">
        <v>335</v>
      </c>
      <c r="B271" t="s">
        <v>336</v>
      </c>
      <c r="C271">
        <v>4.3</v>
      </c>
      <c r="D271">
        <v>13616</v>
      </c>
      <c r="E271">
        <v>10</v>
      </c>
      <c r="F271">
        <v>2012</v>
      </c>
      <c r="G271" t="s">
        <v>8</v>
      </c>
      <c r="I271" t="str">
        <v/>
      </c>
    </row>
    <row r="272" spans="1:9" hidden="1" x14ac:dyDescent="0.25">
      <c r="A272" t="s">
        <v>335</v>
      </c>
      <c r="B272" t="s">
        <v>336</v>
      </c>
      <c r="C272">
        <v>4.3</v>
      </c>
      <c r="D272">
        <v>13616</v>
      </c>
      <c r="E272">
        <v>10</v>
      </c>
      <c r="F272">
        <v>2013</v>
      </c>
      <c r="G272" t="s">
        <v>8</v>
      </c>
      <c r="I272" t="str">
        <v/>
      </c>
    </row>
    <row r="273" spans="1:9" hidden="1" x14ac:dyDescent="0.25">
      <c r="A273" t="s">
        <v>337</v>
      </c>
      <c r="B273" t="s">
        <v>338</v>
      </c>
      <c r="C273">
        <v>4.5</v>
      </c>
      <c r="D273">
        <v>8580</v>
      </c>
      <c r="E273">
        <v>46</v>
      </c>
      <c r="F273">
        <v>2009</v>
      </c>
      <c r="G273" t="s">
        <v>8</v>
      </c>
      <c r="I273" t="str">
        <v/>
      </c>
    </row>
    <row r="274" spans="1:9" hidden="1" x14ac:dyDescent="0.25">
      <c r="A274" t="s">
        <v>337</v>
      </c>
      <c r="B274" t="s">
        <v>338</v>
      </c>
      <c r="C274">
        <v>4.5</v>
      </c>
      <c r="D274">
        <v>8580</v>
      </c>
      <c r="E274">
        <v>46</v>
      </c>
      <c r="F274">
        <v>2010</v>
      </c>
      <c r="G274" t="s">
        <v>8</v>
      </c>
      <c r="I274" t="str">
        <v/>
      </c>
    </row>
    <row r="275" spans="1:9" hidden="1" x14ac:dyDescent="0.25">
      <c r="A275" t="s">
        <v>337</v>
      </c>
      <c r="B275" t="s">
        <v>338</v>
      </c>
      <c r="C275">
        <v>4.5</v>
      </c>
      <c r="D275">
        <v>8580</v>
      </c>
      <c r="E275">
        <v>46</v>
      </c>
      <c r="F275">
        <v>2011</v>
      </c>
      <c r="G275" t="s">
        <v>8</v>
      </c>
      <c r="I275" t="str">
        <v/>
      </c>
    </row>
    <row r="276" spans="1:9" hidden="1" x14ac:dyDescent="0.25">
      <c r="A276" t="s">
        <v>337</v>
      </c>
      <c r="B276" t="s">
        <v>338</v>
      </c>
      <c r="C276">
        <v>4.5</v>
      </c>
      <c r="D276">
        <v>8580</v>
      </c>
      <c r="E276">
        <v>46</v>
      </c>
      <c r="F276">
        <v>2012</v>
      </c>
      <c r="G276" t="s">
        <v>8</v>
      </c>
      <c r="I276" t="str">
        <v/>
      </c>
    </row>
    <row r="277" spans="1:9" hidden="1" x14ac:dyDescent="0.25">
      <c r="A277" t="s">
        <v>337</v>
      </c>
      <c r="B277" t="s">
        <v>338</v>
      </c>
      <c r="C277">
        <v>4.5</v>
      </c>
      <c r="D277">
        <v>8580</v>
      </c>
      <c r="E277">
        <v>46</v>
      </c>
      <c r="F277">
        <v>2013</v>
      </c>
      <c r="G277" t="s">
        <v>8</v>
      </c>
      <c r="I277" t="str">
        <v/>
      </c>
    </row>
    <row r="278" spans="1:9" hidden="1" x14ac:dyDescent="0.25">
      <c r="A278" t="s">
        <v>337</v>
      </c>
      <c r="B278" t="s">
        <v>338</v>
      </c>
      <c r="C278">
        <v>4.5</v>
      </c>
      <c r="D278">
        <v>8580</v>
      </c>
      <c r="E278">
        <v>46</v>
      </c>
      <c r="F278">
        <v>2014</v>
      </c>
      <c r="G278" t="s">
        <v>8</v>
      </c>
      <c r="I278" t="str">
        <v/>
      </c>
    </row>
    <row r="279" spans="1:9" hidden="1" x14ac:dyDescent="0.25">
      <c r="A279" t="s">
        <v>337</v>
      </c>
      <c r="B279" t="s">
        <v>338</v>
      </c>
      <c r="C279">
        <v>4.5</v>
      </c>
      <c r="D279">
        <v>8580</v>
      </c>
      <c r="E279">
        <v>46</v>
      </c>
      <c r="F279">
        <v>2015</v>
      </c>
      <c r="G279" t="s">
        <v>8</v>
      </c>
      <c r="I279" t="str">
        <v/>
      </c>
    </row>
    <row r="280" spans="1:9" hidden="1" x14ac:dyDescent="0.25">
      <c r="A280" t="s">
        <v>337</v>
      </c>
      <c r="B280" t="s">
        <v>338</v>
      </c>
      <c r="C280">
        <v>4.5</v>
      </c>
      <c r="D280">
        <v>8580</v>
      </c>
      <c r="E280">
        <v>46</v>
      </c>
      <c r="F280">
        <v>2016</v>
      </c>
      <c r="G280" t="s">
        <v>8</v>
      </c>
      <c r="I280" t="str">
        <v/>
      </c>
    </row>
    <row r="281" spans="1:9" hidden="1" x14ac:dyDescent="0.25">
      <c r="A281" t="s">
        <v>337</v>
      </c>
      <c r="B281" t="s">
        <v>338</v>
      </c>
      <c r="C281">
        <v>4.5</v>
      </c>
      <c r="D281">
        <v>8580</v>
      </c>
      <c r="E281">
        <v>46</v>
      </c>
      <c r="F281">
        <v>2017</v>
      </c>
      <c r="G281" t="s">
        <v>8</v>
      </c>
      <c r="I281" t="str">
        <v/>
      </c>
    </row>
    <row r="282" spans="1:9" hidden="1" x14ac:dyDescent="0.25">
      <c r="A282" t="s">
        <v>337</v>
      </c>
      <c r="B282" t="s">
        <v>338</v>
      </c>
      <c r="C282">
        <v>4.5</v>
      </c>
      <c r="D282">
        <v>8580</v>
      </c>
      <c r="E282">
        <v>46</v>
      </c>
      <c r="F282">
        <v>2018</v>
      </c>
      <c r="G282" t="s">
        <v>8</v>
      </c>
      <c r="I282" t="str">
        <v/>
      </c>
    </row>
    <row r="283" spans="1:9" hidden="1" x14ac:dyDescent="0.25">
      <c r="A283" t="s">
        <v>339</v>
      </c>
      <c r="B283" t="s">
        <v>340</v>
      </c>
      <c r="C283">
        <v>4.8</v>
      </c>
      <c r="D283">
        <v>4757</v>
      </c>
      <c r="E283">
        <v>4</v>
      </c>
      <c r="F283">
        <v>2017</v>
      </c>
      <c r="G283" t="s">
        <v>10</v>
      </c>
      <c r="I283" t="str">
        <v/>
      </c>
    </row>
    <row r="284" spans="1:9" hidden="1" x14ac:dyDescent="0.25">
      <c r="A284" t="s">
        <v>341</v>
      </c>
      <c r="B284" t="s">
        <v>342</v>
      </c>
      <c r="C284">
        <v>4.5999999999999996</v>
      </c>
      <c r="D284">
        <v>10009</v>
      </c>
      <c r="E284">
        <v>20</v>
      </c>
      <c r="F284">
        <v>2012</v>
      </c>
      <c r="G284" t="s">
        <v>8</v>
      </c>
      <c r="I284" t="str">
        <v/>
      </c>
    </row>
    <row r="285" spans="1:9" hidden="1" x14ac:dyDescent="0.25">
      <c r="A285" t="s">
        <v>341</v>
      </c>
      <c r="B285" t="s">
        <v>342</v>
      </c>
      <c r="C285">
        <v>4.5999999999999996</v>
      </c>
      <c r="D285">
        <v>10009</v>
      </c>
      <c r="E285">
        <v>7</v>
      </c>
      <c r="F285">
        <v>2013</v>
      </c>
      <c r="G285" t="s">
        <v>8</v>
      </c>
      <c r="I285" t="str">
        <v/>
      </c>
    </row>
    <row r="286" spans="1:9" hidden="1" x14ac:dyDescent="0.25">
      <c r="A286" t="s">
        <v>343</v>
      </c>
      <c r="B286" t="s">
        <v>344</v>
      </c>
      <c r="C286">
        <v>4.7</v>
      </c>
      <c r="D286">
        <v>1985</v>
      </c>
      <c r="E286">
        <v>9</v>
      </c>
      <c r="F286">
        <v>2010</v>
      </c>
      <c r="G286" t="s">
        <v>8</v>
      </c>
      <c r="I286" t="str">
        <v/>
      </c>
    </row>
    <row r="287" spans="1:9" hidden="1" x14ac:dyDescent="0.25">
      <c r="A287" t="s">
        <v>343</v>
      </c>
      <c r="B287" t="s">
        <v>344</v>
      </c>
      <c r="C287">
        <v>4.7</v>
      </c>
      <c r="D287">
        <v>1985</v>
      </c>
      <c r="E287">
        <v>9</v>
      </c>
      <c r="F287">
        <v>2011</v>
      </c>
      <c r="G287" t="s">
        <v>8</v>
      </c>
      <c r="I287" t="str">
        <v/>
      </c>
    </row>
    <row r="288" spans="1:9" hidden="1" x14ac:dyDescent="0.25">
      <c r="A288" t="s">
        <v>345</v>
      </c>
      <c r="B288" t="s">
        <v>346</v>
      </c>
      <c r="C288">
        <v>4.5999999999999996</v>
      </c>
      <c r="D288">
        <v>22536</v>
      </c>
      <c r="E288">
        <v>12</v>
      </c>
      <c r="F288">
        <v>2017</v>
      </c>
      <c r="G288" t="s">
        <v>10</v>
      </c>
      <c r="I288" t="str">
        <v/>
      </c>
    </row>
    <row r="289" spans="1:9" hidden="1" x14ac:dyDescent="0.25">
      <c r="A289" t="s">
        <v>345</v>
      </c>
      <c r="B289" t="s">
        <v>346</v>
      </c>
      <c r="C289">
        <v>4.5999999999999996</v>
      </c>
      <c r="D289">
        <v>22536</v>
      </c>
      <c r="E289">
        <v>12</v>
      </c>
      <c r="F289">
        <v>2018</v>
      </c>
      <c r="G289" t="s">
        <v>10</v>
      </c>
      <c r="I289" t="str">
        <v/>
      </c>
    </row>
    <row r="290" spans="1:9" hidden="1" x14ac:dyDescent="0.25">
      <c r="A290" t="s">
        <v>347</v>
      </c>
      <c r="B290" t="s">
        <v>348</v>
      </c>
      <c r="C290">
        <v>4.9000000000000004</v>
      </c>
      <c r="D290">
        <v>7150</v>
      </c>
      <c r="E290">
        <v>12</v>
      </c>
      <c r="F290">
        <v>2013</v>
      </c>
      <c r="G290" t="s">
        <v>10</v>
      </c>
      <c r="I290" t="str">
        <v/>
      </c>
    </row>
    <row r="291" spans="1:9" hidden="1" x14ac:dyDescent="0.25">
      <c r="A291" t="s">
        <v>349</v>
      </c>
      <c r="B291" t="s">
        <v>348</v>
      </c>
      <c r="C291">
        <v>4.9000000000000004</v>
      </c>
      <c r="D291">
        <v>3836</v>
      </c>
      <c r="E291">
        <v>12</v>
      </c>
      <c r="F291">
        <v>2014</v>
      </c>
      <c r="G291" t="s">
        <v>10</v>
      </c>
      <c r="I291" t="str">
        <v/>
      </c>
    </row>
    <row r="292" spans="1:9" hidden="1" x14ac:dyDescent="0.25">
      <c r="A292" t="s">
        <v>350</v>
      </c>
      <c r="B292" t="s">
        <v>351</v>
      </c>
      <c r="C292">
        <v>4.8</v>
      </c>
      <c r="D292">
        <v>7802</v>
      </c>
      <c r="E292">
        <v>20</v>
      </c>
      <c r="F292">
        <v>2018</v>
      </c>
      <c r="G292" t="s">
        <v>8</v>
      </c>
      <c r="I292" t="str">
        <v/>
      </c>
    </row>
    <row r="293" spans="1:9" hidden="1" x14ac:dyDescent="0.25">
      <c r="A293" t="s">
        <v>350</v>
      </c>
      <c r="B293" t="s">
        <v>351</v>
      </c>
      <c r="C293">
        <v>4.8</v>
      </c>
      <c r="D293">
        <v>7802</v>
      </c>
      <c r="E293">
        <v>20</v>
      </c>
      <c r="F293">
        <v>2019</v>
      </c>
      <c r="G293" t="s">
        <v>8</v>
      </c>
      <c r="I293" t="str">
        <v/>
      </c>
    </row>
    <row r="294" spans="1:9" hidden="1" x14ac:dyDescent="0.25">
      <c r="A294" t="s">
        <v>352</v>
      </c>
      <c r="B294" t="s">
        <v>353</v>
      </c>
      <c r="C294">
        <v>4.5999999999999996</v>
      </c>
      <c r="D294">
        <v>3619</v>
      </c>
      <c r="E294">
        <v>10</v>
      </c>
      <c r="F294">
        <v>2010</v>
      </c>
      <c r="G294" t="s">
        <v>10</v>
      </c>
      <c r="I294" t="str">
        <v/>
      </c>
    </row>
    <row r="295" spans="1:9" hidden="1" x14ac:dyDescent="0.25">
      <c r="A295" t="s">
        <v>354</v>
      </c>
      <c r="B295" t="s">
        <v>355</v>
      </c>
      <c r="C295">
        <v>4.8</v>
      </c>
      <c r="D295">
        <v>23047</v>
      </c>
      <c r="E295">
        <v>6</v>
      </c>
      <c r="F295">
        <v>2018</v>
      </c>
      <c r="G295" t="s">
        <v>8</v>
      </c>
      <c r="I295" t="str">
        <v/>
      </c>
    </row>
    <row r="296" spans="1:9" hidden="1" x14ac:dyDescent="0.25">
      <c r="A296" t="s">
        <v>354</v>
      </c>
      <c r="B296" t="s">
        <v>355</v>
      </c>
      <c r="C296">
        <v>4.8</v>
      </c>
      <c r="D296">
        <v>23047</v>
      </c>
      <c r="E296">
        <v>6</v>
      </c>
      <c r="F296">
        <v>2019</v>
      </c>
      <c r="G296" t="s">
        <v>8</v>
      </c>
      <c r="I296" t="str">
        <v/>
      </c>
    </row>
    <row r="297" spans="1:9" hidden="1" x14ac:dyDescent="0.25">
      <c r="A297" t="s">
        <v>356</v>
      </c>
      <c r="B297" t="s">
        <v>147</v>
      </c>
      <c r="C297">
        <v>4.7</v>
      </c>
      <c r="D297">
        <v>9366</v>
      </c>
      <c r="E297">
        <v>9</v>
      </c>
      <c r="F297">
        <v>2015</v>
      </c>
      <c r="G297" t="s">
        <v>8</v>
      </c>
      <c r="I297" t="str">
        <v/>
      </c>
    </row>
    <row r="298" spans="1:9" hidden="1" x14ac:dyDescent="0.25">
      <c r="A298" t="s">
        <v>357</v>
      </c>
      <c r="B298" t="s">
        <v>358</v>
      </c>
      <c r="C298">
        <v>4.7</v>
      </c>
      <c r="D298">
        <v>1265</v>
      </c>
      <c r="E298">
        <v>11</v>
      </c>
      <c r="F298">
        <v>2010</v>
      </c>
      <c r="G298" t="s">
        <v>8</v>
      </c>
      <c r="I298" t="str">
        <v/>
      </c>
    </row>
    <row r="299" spans="1:9" hidden="1" x14ac:dyDescent="0.25">
      <c r="A299" t="s">
        <v>359</v>
      </c>
      <c r="B299" t="s">
        <v>360</v>
      </c>
      <c r="C299">
        <v>4.8</v>
      </c>
      <c r="D299">
        <v>3923</v>
      </c>
      <c r="E299">
        <v>16</v>
      </c>
      <c r="F299">
        <v>2018</v>
      </c>
      <c r="G299" t="s">
        <v>8</v>
      </c>
      <c r="I299" t="str">
        <v/>
      </c>
    </row>
    <row r="300" spans="1:9" hidden="1" x14ac:dyDescent="0.25">
      <c r="A300" t="s">
        <v>361</v>
      </c>
      <c r="B300" t="s">
        <v>362</v>
      </c>
      <c r="C300">
        <v>4.0999999999999996</v>
      </c>
      <c r="D300">
        <v>2272</v>
      </c>
      <c r="E300">
        <v>6</v>
      </c>
      <c r="F300">
        <v>2013</v>
      </c>
      <c r="G300" t="s">
        <v>8</v>
      </c>
      <c r="I300" t="str">
        <v/>
      </c>
    </row>
    <row r="301" spans="1:9" hidden="1" x14ac:dyDescent="0.25">
      <c r="A301" t="s">
        <v>363</v>
      </c>
      <c r="B301" t="s">
        <v>103</v>
      </c>
      <c r="C301">
        <v>4.7</v>
      </c>
      <c r="D301">
        <v>973</v>
      </c>
      <c r="E301">
        <v>25</v>
      </c>
      <c r="F301">
        <v>2009</v>
      </c>
      <c r="G301" t="s">
        <v>10</v>
      </c>
      <c r="I301" t="str">
        <v/>
      </c>
    </row>
    <row r="302" spans="1:9" hidden="1" x14ac:dyDescent="0.25">
      <c r="A302" t="s">
        <v>364</v>
      </c>
      <c r="B302" t="s">
        <v>122</v>
      </c>
      <c r="C302">
        <v>4.5999999999999996</v>
      </c>
      <c r="D302">
        <v>220</v>
      </c>
      <c r="E302">
        <v>17</v>
      </c>
      <c r="F302">
        <v>2013</v>
      </c>
      <c r="G302" t="s">
        <v>8</v>
      </c>
      <c r="I302" t="str">
        <v/>
      </c>
    </row>
    <row r="303" spans="1:9" hidden="1" x14ac:dyDescent="0.25">
      <c r="A303" t="s">
        <v>365</v>
      </c>
      <c r="B303" t="s">
        <v>273</v>
      </c>
      <c r="C303">
        <v>4.5999999999999996</v>
      </c>
      <c r="D303">
        <v>7827</v>
      </c>
      <c r="E303">
        <v>20</v>
      </c>
      <c r="F303">
        <v>2011</v>
      </c>
      <c r="G303" t="s">
        <v>8</v>
      </c>
      <c r="I303" t="str">
        <v/>
      </c>
    </row>
    <row r="304" spans="1:9" hidden="1" x14ac:dyDescent="0.25">
      <c r="A304" t="s">
        <v>365</v>
      </c>
      <c r="B304" t="s">
        <v>273</v>
      </c>
      <c r="C304">
        <v>4.5999999999999996</v>
      </c>
      <c r="D304">
        <v>7827</v>
      </c>
      <c r="E304">
        <v>20</v>
      </c>
      <c r="F304">
        <v>2012</v>
      </c>
      <c r="G304" t="s">
        <v>8</v>
      </c>
      <c r="I304" t="str">
        <v/>
      </c>
    </row>
    <row r="305" spans="1:9" hidden="1" x14ac:dyDescent="0.25">
      <c r="A305" t="s">
        <v>366</v>
      </c>
      <c r="B305" t="s">
        <v>367</v>
      </c>
      <c r="C305">
        <v>4.9000000000000004</v>
      </c>
      <c r="D305">
        <v>9382</v>
      </c>
      <c r="E305">
        <v>6</v>
      </c>
      <c r="F305">
        <v>2019</v>
      </c>
      <c r="G305" t="s">
        <v>10</v>
      </c>
      <c r="I305" t="str">
        <v/>
      </c>
    </row>
    <row r="306" spans="1:9" hidden="1" x14ac:dyDescent="0.25">
      <c r="A306" t="s">
        <v>368</v>
      </c>
      <c r="B306" t="s">
        <v>369</v>
      </c>
      <c r="C306">
        <v>4</v>
      </c>
      <c r="D306">
        <v>5069</v>
      </c>
      <c r="E306">
        <v>17</v>
      </c>
      <c r="F306">
        <v>2009</v>
      </c>
      <c r="G306" t="s">
        <v>8</v>
      </c>
      <c r="I306" t="str">
        <v/>
      </c>
    </row>
    <row r="307" spans="1:9" hidden="1" x14ac:dyDescent="0.25">
      <c r="A307" t="s">
        <v>368</v>
      </c>
      <c r="B307" t="s">
        <v>369</v>
      </c>
      <c r="C307">
        <v>4</v>
      </c>
      <c r="D307">
        <v>5069</v>
      </c>
      <c r="E307">
        <v>17</v>
      </c>
      <c r="F307">
        <v>2010</v>
      </c>
      <c r="G307" t="s">
        <v>8</v>
      </c>
      <c r="I307" t="str">
        <v/>
      </c>
    </row>
    <row r="308" spans="1:9" hidden="1" x14ac:dyDescent="0.25">
      <c r="A308" t="s">
        <v>368</v>
      </c>
      <c r="B308" t="s">
        <v>369</v>
      </c>
      <c r="C308">
        <v>4</v>
      </c>
      <c r="D308">
        <v>5069</v>
      </c>
      <c r="E308">
        <v>17</v>
      </c>
      <c r="F308">
        <v>2011</v>
      </c>
      <c r="G308" t="s">
        <v>8</v>
      </c>
      <c r="I308" t="str">
        <v/>
      </c>
    </row>
    <row r="309" spans="1:9" hidden="1" x14ac:dyDescent="0.25">
      <c r="A309" t="s">
        <v>368</v>
      </c>
      <c r="B309" t="s">
        <v>369</v>
      </c>
      <c r="C309">
        <v>4</v>
      </c>
      <c r="D309">
        <v>5069</v>
      </c>
      <c r="E309">
        <v>17</v>
      </c>
      <c r="F309">
        <v>2012</v>
      </c>
      <c r="G309" t="s">
        <v>8</v>
      </c>
      <c r="I309" t="str">
        <v/>
      </c>
    </row>
    <row r="310" spans="1:9" hidden="1" x14ac:dyDescent="0.25">
      <c r="A310" t="s">
        <v>368</v>
      </c>
      <c r="B310" t="s">
        <v>369</v>
      </c>
      <c r="C310">
        <v>4</v>
      </c>
      <c r="D310">
        <v>5069</v>
      </c>
      <c r="E310">
        <v>17</v>
      </c>
      <c r="F310">
        <v>2013</v>
      </c>
      <c r="G310" t="s">
        <v>8</v>
      </c>
      <c r="I310" t="str">
        <v/>
      </c>
    </row>
    <row r="311" spans="1:9" hidden="1" x14ac:dyDescent="0.25">
      <c r="A311" t="s">
        <v>368</v>
      </c>
      <c r="B311" t="s">
        <v>369</v>
      </c>
      <c r="C311">
        <v>4</v>
      </c>
      <c r="D311">
        <v>5069</v>
      </c>
      <c r="E311">
        <v>17</v>
      </c>
      <c r="F311">
        <v>2014</v>
      </c>
      <c r="G311" t="s">
        <v>8</v>
      </c>
      <c r="I311" t="str">
        <v/>
      </c>
    </row>
    <row r="312" spans="1:9" hidden="1" x14ac:dyDescent="0.25">
      <c r="A312" t="s">
        <v>368</v>
      </c>
      <c r="B312" t="s">
        <v>369</v>
      </c>
      <c r="C312">
        <v>4</v>
      </c>
      <c r="D312">
        <v>5069</v>
      </c>
      <c r="E312">
        <v>17</v>
      </c>
      <c r="F312">
        <v>2015</v>
      </c>
      <c r="G312" t="s">
        <v>8</v>
      </c>
      <c r="I312" t="str">
        <v/>
      </c>
    </row>
    <row r="313" spans="1:9" hidden="1" x14ac:dyDescent="0.25">
      <c r="A313" t="s">
        <v>368</v>
      </c>
      <c r="B313" t="s">
        <v>369</v>
      </c>
      <c r="C313">
        <v>4</v>
      </c>
      <c r="D313">
        <v>5069</v>
      </c>
      <c r="E313">
        <v>17</v>
      </c>
      <c r="F313">
        <v>2016</v>
      </c>
      <c r="G313" t="s">
        <v>8</v>
      </c>
      <c r="I313" t="str">
        <v/>
      </c>
    </row>
    <row r="314" spans="1:9" hidden="1" x14ac:dyDescent="0.25">
      <c r="A314" t="s">
        <v>368</v>
      </c>
      <c r="B314" t="s">
        <v>369</v>
      </c>
      <c r="C314">
        <v>4</v>
      </c>
      <c r="D314">
        <v>5069</v>
      </c>
      <c r="E314">
        <v>17</v>
      </c>
      <c r="F314">
        <v>2017</v>
      </c>
      <c r="G314" t="s">
        <v>8</v>
      </c>
      <c r="I314" t="str">
        <v/>
      </c>
    </row>
    <row r="315" spans="1:9" hidden="1" x14ac:dyDescent="0.25">
      <c r="A315" t="s">
        <v>370</v>
      </c>
      <c r="B315" t="s">
        <v>371</v>
      </c>
      <c r="C315">
        <v>4.5</v>
      </c>
      <c r="D315">
        <v>1583</v>
      </c>
      <c r="E315">
        <v>18</v>
      </c>
      <c r="F315">
        <v>2009</v>
      </c>
      <c r="G315" t="s">
        <v>8</v>
      </c>
      <c r="I315" t="str">
        <v/>
      </c>
    </row>
    <row r="316" spans="1:9" hidden="1" x14ac:dyDescent="0.25">
      <c r="A316" t="s">
        <v>372</v>
      </c>
      <c r="B316" t="s">
        <v>373</v>
      </c>
      <c r="C316">
        <v>4.5999999999999996</v>
      </c>
      <c r="D316">
        <v>1907</v>
      </c>
      <c r="E316">
        <v>13</v>
      </c>
      <c r="F316">
        <v>2010</v>
      </c>
      <c r="G316" t="s">
        <v>8</v>
      </c>
      <c r="I316" t="str">
        <v/>
      </c>
    </row>
    <row r="317" spans="1:9" hidden="1" x14ac:dyDescent="0.25">
      <c r="A317" t="s">
        <v>374</v>
      </c>
      <c r="B317" t="s">
        <v>375</v>
      </c>
      <c r="C317">
        <v>4.5</v>
      </c>
      <c r="D317">
        <v>23114</v>
      </c>
      <c r="E317">
        <v>18</v>
      </c>
      <c r="F317">
        <v>2013</v>
      </c>
      <c r="G317" t="s">
        <v>10</v>
      </c>
      <c r="I317" t="str">
        <v/>
      </c>
    </row>
    <row r="318" spans="1:9" hidden="1" x14ac:dyDescent="0.25">
      <c r="A318" t="s">
        <v>376</v>
      </c>
      <c r="B318" t="s">
        <v>377</v>
      </c>
      <c r="C318">
        <v>4.4000000000000004</v>
      </c>
      <c r="D318">
        <v>637</v>
      </c>
      <c r="E318">
        <v>20</v>
      </c>
      <c r="F318">
        <v>2010</v>
      </c>
      <c r="G318" t="s">
        <v>8</v>
      </c>
      <c r="I318" t="str">
        <v/>
      </c>
    </row>
    <row r="319" spans="1:9" hidden="1" x14ac:dyDescent="0.25">
      <c r="A319" t="s">
        <v>376</v>
      </c>
      <c r="B319" t="s">
        <v>377</v>
      </c>
      <c r="C319">
        <v>4.4000000000000004</v>
      </c>
      <c r="D319">
        <v>637</v>
      </c>
      <c r="E319">
        <v>20</v>
      </c>
      <c r="F319">
        <v>2011</v>
      </c>
      <c r="G319" t="s">
        <v>8</v>
      </c>
      <c r="I319" t="str">
        <v/>
      </c>
    </row>
    <row r="320" spans="1:9" hidden="1" x14ac:dyDescent="0.25">
      <c r="A320" t="s">
        <v>378</v>
      </c>
      <c r="B320" t="s">
        <v>379</v>
      </c>
      <c r="C320">
        <v>4.3</v>
      </c>
      <c r="D320">
        <v>2314</v>
      </c>
      <c r="E320">
        <v>22</v>
      </c>
      <c r="F320">
        <v>2011</v>
      </c>
      <c r="G320" t="s">
        <v>8</v>
      </c>
      <c r="I320" t="str">
        <v/>
      </c>
    </row>
    <row r="321" spans="1:9" hidden="1" x14ac:dyDescent="0.25">
      <c r="A321" t="s">
        <v>380</v>
      </c>
      <c r="B321" t="s">
        <v>381</v>
      </c>
      <c r="C321">
        <v>4.3</v>
      </c>
      <c r="D321">
        <v>4587</v>
      </c>
      <c r="E321">
        <v>21</v>
      </c>
      <c r="F321">
        <v>2011</v>
      </c>
      <c r="G321" t="s">
        <v>8</v>
      </c>
      <c r="I321" t="str">
        <v/>
      </c>
    </row>
    <row r="322" spans="1:9" hidden="1" x14ac:dyDescent="0.25">
      <c r="A322" t="s">
        <v>382</v>
      </c>
      <c r="B322" t="s">
        <v>383</v>
      </c>
      <c r="C322">
        <v>4.7</v>
      </c>
      <c r="D322">
        <v>3477</v>
      </c>
      <c r="E322">
        <v>28</v>
      </c>
      <c r="F322">
        <v>2010</v>
      </c>
      <c r="G322" t="s">
        <v>8</v>
      </c>
      <c r="I322" t="str">
        <v/>
      </c>
    </row>
    <row r="323" spans="1:9" hidden="1" x14ac:dyDescent="0.25">
      <c r="A323" t="s">
        <v>382</v>
      </c>
      <c r="B323" t="s">
        <v>383</v>
      </c>
      <c r="C323">
        <v>4.7</v>
      </c>
      <c r="D323">
        <v>3477</v>
      </c>
      <c r="E323">
        <v>28</v>
      </c>
      <c r="F323">
        <v>2011</v>
      </c>
      <c r="G323" t="s">
        <v>8</v>
      </c>
      <c r="I323" t="str">
        <v/>
      </c>
    </row>
    <row r="324" spans="1:9" hidden="1" x14ac:dyDescent="0.25">
      <c r="A324" t="s">
        <v>382</v>
      </c>
      <c r="B324" t="s">
        <v>383</v>
      </c>
      <c r="C324">
        <v>4.7</v>
      </c>
      <c r="D324">
        <v>3477</v>
      </c>
      <c r="E324">
        <v>28</v>
      </c>
      <c r="F324">
        <v>2012</v>
      </c>
      <c r="G324" t="s">
        <v>8</v>
      </c>
      <c r="I324" t="str">
        <v/>
      </c>
    </row>
    <row r="325" spans="1:9" hidden="1" x14ac:dyDescent="0.25">
      <c r="A325" t="s">
        <v>382</v>
      </c>
      <c r="B325" t="s">
        <v>383</v>
      </c>
      <c r="C325">
        <v>4.7</v>
      </c>
      <c r="D325">
        <v>3477</v>
      </c>
      <c r="E325">
        <v>28</v>
      </c>
      <c r="F325">
        <v>2013</v>
      </c>
      <c r="G325" t="s">
        <v>8</v>
      </c>
      <c r="I325" t="str">
        <v/>
      </c>
    </row>
    <row r="326" spans="1:9" hidden="1" x14ac:dyDescent="0.25">
      <c r="A326" t="s">
        <v>382</v>
      </c>
      <c r="B326" t="s">
        <v>383</v>
      </c>
      <c r="C326">
        <v>4.7</v>
      </c>
      <c r="D326">
        <v>3477</v>
      </c>
      <c r="E326">
        <v>28</v>
      </c>
      <c r="F326">
        <v>2014</v>
      </c>
      <c r="G326" t="s">
        <v>8</v>
      </c>
      <c r="I326" t="str">
        <v/>
      </c>
    </row>
    <row r="327" spans="1:9" hidden="1" x14ac:dyDescent="0.25">
      <c r="A327" t="s">
        <v>384</v>
      </c>
      <c r="B327" t="s">
        <v>383</v>
      </c>
      <c r="C327">
        <v>4.8</v>
      </c>
      <c r="D327">
        <v>25554</v>
      </c>
      <c r="E327">
        <v>8</v>
      </c>
      <c r="F327">
        <v>2015</v>
      </c>
      <c r="G327" t="s">
        <v>8</v>
      </c>
      <c r="I327" t="str">
        <v/>
      </c>
    </row>
    <row r="328" spans="1:9" hidden="1" x14ac:dyDescent="0.25">
      <c r="A328" t="s">
        <v>384</v>
      </c>
      <c r="B328" t="s">
        <v>383</v>
      </c>
      <c r="C328">
        <v>4.8</v>
      </c>
      <c r="D328">
        <v>25554</v>
      </c>
      <c r="E328">
        <v>8</v>
      </c>
      <c r="F328">
        <v>2016</v>
      </c>
      <c r="G328" t="s">
        <v>8</v>
      </c>
      <c r="I328" t="str">
        <v/>
      </c>
    </row>
    <row r="329" spans="1:9" hidden="1" x14ac:dyDescent="0.25">
      <c r="A329" t="s">
        <v>384</v>
      </c>
      <c r="B329" t="s">
        <v>383</v>
      </c>
      <c r="C329">
        <v>4.8</v>
      </c>
      <c r="D329">
        <v>25554</v>
      </c>
      <c r="E329">
        <v>8</v>
      </c>
      <c r="F329">
        <v>2017</v>
      </c>
      <c r="G329" t="s">
        <v>8</v>
      </c>
      <c r="I329" t="str">
        <v/>
      </c>
    </row>
    <row r="330" spans="1:9" hidden="1" x14ac:dyDescent="0.25">
      <c r="A330" t="s">
        <v>384</v>
      </c>
      <c r="B330" t="s">
        <v>383</v>
      </c>
      <c r="C330">
        <v>4.8</v>
      </c>
      <c r="D330">
        <v>25554</v>
      </c>
      <c r="E330">
        <v>8</v>
      </c>
      <c r="F330">
        <v>2018</v>
      </c>
      <c r="G330" t="s">
        <v>8</v>
      </c>
      <c r="I330" t="str">
        <v/>
      </c>
    </row>
    <row r="331" spans="1:9" hidden="1" x14ac:dyDescent="0.25">
      <c r="A331" t="s">
        <v>384</v>
      </c>
      <c r="B331" t="s">
        <v>383</v>
      </c>
      <c r="C331">
        <v>4.8</v>
      </c>
      <c r="D331">
        <v>25554</v>
      </c>
      <c r="E331">
        <v>8</v>
      </c>
      <c r="F331">
        <v>2019</v>
      </c>
      <c r="G331" t="s">
        <v>8</v>
      </c>
      <c r="I331" t="str">
        <v/>
      </c>
    </row>
    <row r="332" spans="1:9" hidden="1" x14ac:dyDescent="0.25">
      <c r="A332" t="s">
        <v>385</v>
      </c>
      <c r="B332" t="s">
        <v>386</v>
      </c>
      <c r="C332">
        <v>4.8</v>
      </c>
      <c r="D332">
        <v>1680</v>
      </c>
      <c r="E332">
        <v>12</v>
      </c>
      <c r="F332">
        <v>2009</v>
      </c>
      <c r="G332" t="s">
        <v>8</v>
      </c>
      <c r="I332" t="str">
        <v/>
      </c>
    </row>
    <row r="333" spans="1:9" hidden="1" x14ac:dyDescent="0.25">
      <c r="A333" t="s">
        <v>387</v>
      </c>
      <c r="B333" t="s">
        <v>388</v>
      </c>
      <c r="C333">
        <v>4.5999999999999996</v>
      </c>
      <c r="D333">
        <v>9325</v>
      </c>
      <c r="E333">
        <v>24</v>
      </c>
      <c r="F333">
        <v>2009</v>
      </c>
      <c r="G333" t="s">
        <v>8</v>
      </c>
      <c r="I333" t="str">
        <v/>
      </c>
    </row>
    <row r="334" spans="1:9" hidden="1" x14ac:dyDescent="0.25">
      <c r="A334" t="s">
        <v>387</v>
      </c>
      <c r="B334" t="s">
        <v>388</v>
      </c>
      <c r="C334">
        <v>4.5999999999999996</v>
      </c>
      <c r="D334">
        <v>9325</v>
      </c>
      <c r="E334">
        <v>24</v>
      </c>
      <c r="F334">
        <v>2011</v>
      </c>
      <c r="G334" t="s">
        <v>8</v>
      </c>
      <c r="I334" t="str">
        <v/>
      </c>
    </row>
    <row r="335" spans="1:9" hidden="1" x14ac:dyDescent="0.25">
      <c r="A335" t="s">
        <v>387</v>
      </c>
      <c r="B335" t="s">
        <v>388</v>
      </c>
      <c r="C335">
        <v>4.5999999999999996</v>
      </c>
      <c r="D335">
        <v>9325</v>
      </c>
      <c r="E335">
        <v>24</v>
      </c>
      <c r="F335">
        <v>2012</v>
      </c>
      <c r="G335" t="s">
        <v>8</v>
      </c>
      <c r="I335" t="str">
        <v/>
      </c>
    </row>
    <row r="336" spans="1:9" hidden="1" x14ac:dyDescent="0.25">
      <c r="A336" t="s">
        <v>387</v>
      </c>
      <c r="B336" t="s">
        <v>388</v>
      </c>
      <c r="C336">
        <v>4.5999999999999996</v>
      </c>
      <c r="D336">
        <v>9325</v>
      </c>
      <c r="E336">
        <v>24</v>
      </c>
      <c r="F336">
        <v>2013</v>
      </c>
      <c r="G336" t="s">
        <v>8</v>
      </c>
      <c r="I336" t="str">
        <v/>
      </c>
    </row>
    <row r="337" spans="1:9" hidden="1" x14ac:dyDescent="0.25">
      <c r="A337" t="s">
        <v>387</v>
      </c>
      <c r="B337" t="s">
        <v>388</v>
      </c>
      <c r="C337">
        <v>4.7</v>
      </c>
      <c r="D337">
        <v>4725</v>
      </c>
      <c r="E337">
        <v>16</v>
      </c>
      <c r="F337">
        <v>2015</v>
      </c>
      <c r="G337" t="s">
        <v>8</v>
      </c>
      <c r="I337" t="str">
        <v/>
      </c>
    </row>
    <row r="338" spans="1:9" hidden="1" x14ac:dyDescent="0.25">
      <c r="A338" t="s">
        <v>387</v>
      </c>
      <c r="B338" t="s">
        <v>388</v>
      </c>
      <c r="C338">
        <v>4.7</v>
      </c>
      <c r="D338">
        <v>4725</v>
      </c>
      <c r="E338">
        <v>16</v>
      </c>
      <c r="F338">
        <v>2016</v>
      </c>
      <c r="G338" t="s">
        <v>8</v>
      </c>
      <c r="I338" t="str">
        <v/>
      </c>
    </row>
    <row r="339" spans="1:9" hidden="1" x14ac:dyDescent="0.25">
      <c r="A339" t="s">
        <v>387</v>
      </c>
      <c r="B339" t="s">
        <v>388</v>
      </c>
      <c r="C339">
        <v>4.7</v>
      </c>
      <c r="D339">
        <v>4725</v>
      </c>
      <c r="E339">
        <v>16</v>
      </c>
      <c r="F339">
        <v>2017</v>
      </c>
      <c r="G339" t="s">
        <v>8</v>
      </c>
      <c r="I339" t="str">
        <v/>
      </c>
    </row>
    <row r="340" spans="1:9" hidden="1" x14ac:dyDescent="0.25">
      <c r="A340" t="s">
        <v>389</v>
      </c>
      <c r="B340" t="s">
        <v>390</v>
      </c>
      <c r="C340">
        <v>4.7</v>
      </c>
      <c r="D340">
        <v>35799</v>
      </c>
      <c r="E340">
        <v>39</v>
      </c>
      <c r="F340">
        <v>2014</v>
      </c>
      <c r="G340" t="s">
        <v>10</v>
      </c>
      <c r="I340" t="str">
        <v/>
      </c>
    </row>
    <row r="341" spans="1:9" hidden="1" x14ac:dyDescent="0.25">
      <c r="A341" t="s">
        <v>391</v>
      </c>
      <c r="B341" t="s">
        <v>392</v>
      </c>
      <c r="C341">
        <v>4.5999999999999996</v>
      </c>
      <c r="D341">
        <v>2580</v>
      </c>
      <c r="E341">
        <v>9</v>
      </c>
      <c r="F341">
        <v>2012</v>
      </c>
      <c r="G341" t="s">
        <v>8</v>
      </c>
      <c r="I341" t="str">
        <v/>
      </c>
    </row>
    <row r="342" spans="1:9" hidden="1" x14ac:dyDescent="0.25">
      <c r="A342" t="s">
        <v>393</v>
      </c>
      <c r="B342" t="s">
        <v>394</v>
      </c>
      <c r="C342">
        <v>4.7</v>
      </c>
      <c r="D342">
        <v>11813</v>
      </c>
      <c r="E342">
        <v>10</v>
      </c>
      <c r="F342">
        <v>2010</v>
      </c>
      <c r="G342" t="s">
        <v>10</v>
      </c>
      <c r="I342" t="str">
        <v/>
      </c>
    </row>
    <row r="343" spans="1:9" hidden="1" x14ac:dyDescent="0.25">
      <c r="A343" t="s">
        <v>393</v>
      </c>
      <c r="B343" t="s">
        <v>394</v>
      </c>
      <c r="C343">
        <v>4.7</v>
      </c>
      <c r="D343">
        <v>11813</v>
      </c>
      <c r="E343">
        <v>10</v>
      </c>
      <c r="F343">
        <v>2011</v>
      </c>
      <c r="G343" t="s">
        <v>10</v>
      </c>
      <c r="I343" t="str">
        <v/>
      </c>
    </row>
    <row r="344" spans="1:9" hidden="1" x14ac:dyDescent="0.25">
      <c r="A344" t="s">
        <v>395</v>
      </c>
      <c r="B344" t="s">
        <v>396</v>
      </c>
      <c r="C344">
        <v>4.7</v>
      </c>
      <c r="D344">
        <v>3536</v>
      </c>
      <c r="E344">
        <v>17</v>
      </c>
      <c r="F344">
        <v>2010</v>
      </c>
      <c r="G344" t="s">
        <v>8</v>
      </c>
      <c r="I344" t="str">
        <v/>
      </c>
    </row>
    <row r="345" spans="1:9" hidden="1" x14ac:dyDescent="0.25">
      <c r="A345" t="s">
        <v>397</v>
      </c>
      <c r="B345" t="s">
        <v>331</v>
      </c>
      <c r="C345">
        <v>4.8</v>
      </c>
      <c r="D345">
        <v>6600</v>
      </c>
      <c r="E345">
        <v>11</v>
      </c>
      <c r="F345">
        <v>2014</v>
      </c>
      <c r="G345" t="s">
        <v>10</v>
      </c>
      <c r="I345" t="str">
        <v/>
      </c>
    </row>
    <row r="346" spans="1:9" hidden="1" x14ac:dyDescent="0.25">
      <c r="A346" t="s">
        <v>398</v>
      </c>
      <c r="B346" t="s">
        <v>399</v>
      </c>
      <c r="C346">
        <v>4.2</v>
      </c>
      <c r="D346">
        <v>1789</v>
      </c>
      <c r="E346">
        <v>14</v>
      </c>
      <c r="F346">
        <v>2012</v>
      </c>
      <c r="G346" t="s">
        <v>8</v>
      </c>
      <c r="I346" t="str">
        <v/>
      </c>
    </row>
    <row r="347" spans="1:9" hidden="1" x14ac:dyDescent="0.25">
      <c r="A347" t="s">
        <v>400</v>
      </c>
      <c r="B347" t="s">
        <v>401</v>
      </c>
      <c r="C347">
        <v>4.8</v>
      </c>
      <c r="D347">
        <v>12361</v>
      </c>
      <c r="E347">
        <v>12</v>
      </c>
      <c r="F347">
        <v>2019</v>
      </c>
      <c r="G347" t="s">
        <v>8</v>
      </c>
      <c r="I347" t="str">
        <v/>
      </c>
    </row>
    <row r="348" spans="1:9" hidden="1" x14ac:dyDescent="0.25">
      <c r="A348" t="s">
        <v>402</v>
      </c>
      <c r="B348" t="s">
        <v>403</v>
      </c>
      <c r="C348">
        <v>4.7</v>
      </c>
      <c r="D348">
        <v>858</v>
      </c>
      <c r="E348">
        <v>53</v>
      </c>
      <c r="F348">
        <v>2009</v>
      </c>
      <c r="G348" t="s">
        <v>8</v>
      </c>
      <c r="I348" t="str">
        <v/>
      </c>
    </row>
    <row r="349" spans="1:9" hidden="1" x14ac:dyDescent="0.25">
      <c r="A349" t="s">
        <v>404</v>
      </c>
      <c r="B349" t="s">
        <v>405</v>
      </c>
      <c r="C349">
        <v>4.5999999999999996</v>
      </c>
      <c r="D349">
        <v>23148</v>
      </c>
      <c r="E349">
        <v>6</v>
      </c>
      <c r="F349">
        <v>2013</v>
      </c>
      <c r="G349" t="s">
        <v>10</v>
      </c>
      <c r="I349" t="str">
        <v/>
      </c>
    </row>
    <row r="350" spans="1:9" hidden="1" x14ac:dyDescent="0.25">
      <c r="A350" t="s">
        <v>404</v>
      </c>
      <c r="B350" t="s">
        <v>405</v>
      </c>
      <c r="C350">
        <v>4.5999999999999996</v>
      </c>
      <c r="D350">
        <v>23148</v>
      </c>
      <c r="E350">
        <v>6</v>
      </c>
      <c r="F350">
        <v>2014</v>
      </c>
      <c r="G350" t="s">
        <v>10</v>
      </c>
      <c r="I350" t="str">
        <v/>
      </c>
    </row>
    <row r="351" spans="1:9" hidden="1" x14ac:dyDescent="0.25">
      <c r="A351" t="s">
        <v>406</v>
      </c>
      <c r="B351" t="s">
        <v>407</v>
      </c>
      <c r="C351">
        <v>4.8</v>
      </c>
      <c r="D351">
        <v>8081</v>
      </c>
      <c r="E351">
        <v>8</v>
      </c>
      <c r="F351">
        <v>2014</v>
      </c>
      <c r="G351" t="s">
        <v>10</v>
      </c>
      <c r="I351" t="str">
        <v/>
      </c>
    </row>
    <row r="352" spans="1:9" hidden="1" x14ac:dyDescent="0.25">
      <c r="A352" t="s">
        <v>406</v>
      </c>
      <c r="B352" t="s">
        <v>407</v>
      </c>
      <c r="C352">
        <v>4.8</v>
      </c>
      <c r="D352">
        <v>8081</v>
      </c>
      <c r="E352">
        <v>8</v>
      </c>
      <c r="F352">
        <v>2015</v>
      </c>
      <c r="G352" t="s">
        <v>10</v>
      </c>
      <c r="I352" t="str">
        <v/>
      </c>
    </row>
    <row r="353" spans="1:9" hidden="1" x14ac:dyDescent="0.25">
      <c r="A353" t="s">
        <v>408</v>
      </c>
      <c r="B353" t="s">
        <v>409</v>
      </c>
      <c r="C353">
        <v>4.8</v>
      </c>
      <c r="D353">
        <v>23358</v>
      </c>
      <c r="E353">
        <v>12</v>
      </c>
      <c r="F353">
        <v>2014</v>
      </c>
      <c r="G353" t="s">
        <v>8</v>
      </c>
      <c r="I353" t="str">
        <v/>
      </c>
    </row>
    <row r="354" spans="1:9" hidden="1" x14ac:dyDescent="0.25">
      <c r="A354" t="s">
        <v>408</v>
      </c>
      <c r="B354" t="s">
        <v>409</v>
      </c>
      <c r="C354">
        <v>4.8</v>
      </c>
      <c r="D354">
        <v>23358</v>
      </c>
      <c r="E354">
        <v>12</v>
      </c>
      <c r="F354">
        <v>2015</v>
      </c>
      <c r="G354" t="s">
        <v>8</v>
      </c>
      <c r="I354" t="str">
        <v/>
      </c>
    </row>
    <row r="355" spans="1:9" hidden="1" x14ac:dyDescent="0.25">
      <c r="A355" t="s">
        <v>410</v>
      </c>
      <c r="B355" t="s">
        <v>151</v>
      </c>
      <c r="C355">
        <v>3.3</v>
      </c>
      <c r="D355">
        <v>9372</v>
      </c>
      <c r="E355">
        <v>12</v>
      </c>
      <c r="F355">
        <v>2012</v>
      </c>
      <c r="G355" t="s">
        <v>10</v>
      </c>
      <c r="I355" t="str">
        <v/>
      </c>
    </row>
    <row r="356" spans="1:9" hidden="1" x14ac:dyDescent="0.25">
      <c r="A356" t="s">
        <v>411</v>
      </c>
      <c r="B356" t="s">
        <v>412</v>
      </c>
      <c r="C356">
        <v>4.7</v>
      </c>
      <c r="D356">
        <v>4633</v>
      </c>
      <c r="E356">
        <v>21</v>
      </c>
      <c r="F356">
        <v>2011</v>
      </c>
      <c r="G356" t="s">
        <v>8</v>
      </c>
      <c r="I356" t="str">
        <v/>
      </c>
    </row>
    <row r="357" spans="1:9" hidden="1" x14ac:dyDescent="0.25">
      <c r="A357" t="s">
        <v>413</v>
      </c>
      <c r="B357" t="s">
        <v>414</v>
      </c>
      <c r="C357">
        <v>4.3</v>
      </c>
      <c r="D357">
        <v>13061</v>
      </c>
      <c r="E357">
        <v>6</v>
      </c>
      <c r="F357">
        <v>2018</v>
      </c>
      <c r="G357" t="s">
        <v>8</v>
      </c>
      <c r="I357" t="str">
        <v/>
      </c>
    </row>
    <row r="358" spans="1:9" hidden="1" x14ac:dyDescent="0.25">
      <c r="A358" t="s">
        <v>413</v>
      </c>
      <c r="B358" t="s">
        <v>414</v>
      </c>
      <c r="C358">
        <v>4.3</v>
      </c>
      <c r="D358">
        <v>13061</v>
      </c>
      <c r="E358">
        <v>6</v>
      </c>
      <c r="F358">
        <v>2019</v>
      </c>
      <c r="G358" t="s">
        <v>8</v>
      </c>
      <c r="I358" t="str">
        <v/>
      </c>
    </row>
    <row r="359" spans="1:9" hidden="1" x14ac:dyDescent="0.25">
      <c r="A359" t="s">
        <v>415</v>
      </c>
      <c r="B359" t="s">
        <v>375</v>
      </c>
      <c r="C359">
        <v>4.3</v>
      </c>
      <c r="D359">
        <v>3523</v>
      </c>
      <c r="E359">
        <v>13</v>
      </c>
      <c r="F359">
        <v>2010</v>
      </c>
      <c r="G359" t="s">
        <v>10</v>
      </c>
      <c r="I359" t="str">
        <v/>
      </c>
    </row>
    <row r="360" spans="1:9" hidden="1" x14ac:dyDescent="0.25">
      <c r="A360" t="s">
        <v>416</v>
      </c>
      <c r="B360" t="s">
        <v>417</v>
      </c>
      <c r="C360">
        <v>4.8</v>
      </c>
      <c r="D360">
        <v>2774</v>
      </c>
      <c r="E360">
        <v>0</v>
      </c>
      <c r="F360">
        <v>2016</v>
      </c>
      <c r="G360" t="s">
        <v>8</v>
      </c>
      <c r="I360" t="str">
        <v/>
      </c>
    </row>
    <row r="361" spans="1:9" hidden="1" x14ac:dyDescent="0.25">
      <c r="A361" t="s">
        <v>418</v>
      </c>
      <c r="B361" t="s">
        <v>419</v>
      </c>
      <c r="C361">
        <v>4.4000000000000004</v>
      </c>
      <c r="D361">
        <v>440</v>
      </c>
      <c r="E361">
        <v>11</v>
      </c>
      <c r="F361">
        <v>2010</v>
      </c>
      <c r="G361" t="s">
        <v>8</v>
      </c>
      <c r="I361" t="str">
        <v/>
      </c>
    </row>
    <row r="362" spans="1:9" hidden="1" x14ac:dyDescent="0.25">
      <c r="A362" t="s">
        <v>420</v>
      </c>
      <c r="B362" t="s">
        <v>421</v>
      </c>
      <c r="C362">
        <v>4.8</v>
      </c>
      <c r="D362">
        <v>8922</v>
      </c>
      <c r="E362">
        <v>9</v>
      </c>
      <c r="F362">
        <v>2013</v>
      </c>
      <c r="G362" t="s">
        <v>10</v>
      </c>
      <c r="I362" t="str">
        <v/>
      </c>
    </row>
    <row r="363" spans="1:9" hidden="1" x14ac:dyDescent="0.25">
      <c r="A363" t="s">
        <v>420</v>
      </c>
      <c r="B363" t="s">
        <v>421</v>
      </c>
      <c r="C363">
        <v>4.8</v>
      </c>
      <c r="D363">
        <v>8922</v>
      </c>
      <c r="E363">
        <v>9</v>
      </c>
      <c r="F363">
        <v>2014</v>
      </c>
      <c r="G363" t="s">
        <v>10</v>
      </c>
      <c r="I363" t="str">
        <v/>
      </c>
    </row>
    <row r="364" spans="1:9" hidden="1" x14ac:dyDescent="0.25">
      <c r="A364" t="s">
        <v>420</v>
      </c>
      <c r="B364" t="s">
        <v>421</v>
      </c>
      <c r="C364">
        <v>4.8</v>
      </c>
      <c r="D364">
        <v>8922</v>
      </c>
      <c r="E364">
        <v>9</v>
      </c>
      <c r="F364">
        <v>2015</v>
      </c>
      <c r="G364" t="s">
        <v>10</v>
      </c>
      <c r="I364" t="str">
        <v/>
      </c>
    </row>
    <row r="365" spans="1:9" hidden="1" x14ac:dyDescent="0.25">
      <c r="A365" t="s">
        <v>422</v>
      </c>
      <c r="B365" t="s">
        <v>423</v>
      </c>
      <c r="C365">
        <v>4.0999999999999996</v>
      </c>
      <c r="D365">
        <v>2023</v>
      </c>
      <c r="E365">
        <v>15</v>
      </c>
      <c r="F365">
        <v>2011</v>
      </c>
      <c r="G365" t="s">
        <v>8</v>
      </c>
      <c r="I365" t="str">
        <v/>
      </c>
    </row>
    <row r="366" spans="1:9" hidden="1" x14ac:dyDescent="0.25">
      <c r="A366" t="s">
        <v>424</v>
      </c>
      <c r="B366" t="s">
        <v>425</v>
      </c>
      <c r="C366">
        <v>4</v>
      </c>
      <c r="D366">
        <v>1859</v>
      </c>
      <c r="E366">
        <v>11</v>
      </c>
      <c r="F366">
        <v>2009</v>
      </c>
      <c r="G366" t="s">
        <v>10</v>
      </c>
      <c r="I366" t="str">
        <v/>
      </c>
    </row>
    <row r="367" spans="1:9" hidden="1" x14ac:dyDescent="0.25">
      <c r="A367" t="s">
        <v>426</v>
      </c>
      <c r="B367" t="s">
        <v>287</v>
      </c>
      <c r="C367">
        <v>4.7</v>
      </c>
      <c r="D367">
        <v>50482</v>
      </c>
      <c r="E367">
        <v>13</v>
      </c>
      <c r="F367">
        <v>2012</v>
      </c>
      <c r="G367" t="s">
        <v>10</v>
      </c>
      <c r="I367" t="str">
        <v/>
      </c>
    </row>
    <row r="368" spans="1:9" hidden="1" x14ac:dyDescent="0.25">
      <c r="A368" t="s">
        <v>426</v>
      </c>
      <c r="B368" t="s">
        <v>287</v>
      </c>
      <c r="C368">
        <v>4.7</v>
      </c>
      <c r="D368">
        <v>50482</v>
      </c>
      <c r="E368">
        <v>13</v>
      </c>
      <c r="F368">
        <v>2013</v>
      </c>
      <c r="G368" t="s">
        <v>10</v>
      </c>
      <c r="I368" t="str">
        <v/>
      </c>
    </row>
    <row r="369" spans="1:9" hidden="1" x14ac:dyDescent="0.25">
      <c r="A369" t="s">
        <v>426</v>
      </c>
      <c r="B369" t="s">
        <v>287</v>
      </c>
      <c r="C369">
        <v>4.7</v>
      </c>
      <c r="D369">
        <v>50482</v>
      </c>
      <c r="E369">
        <v>7</v>
      </c>
      <c r="F369">
        <v>2014</v>
      </c>
      <c r="G369" t="s">
        <v>10</v>
      </c>
      <c r="I369" t="str">
        <v/>
      </c>
    </row>
    <row r="370" spans="1:9" hidden="1" x14ac:dyDescent="0.25">
      <c r="A370" t="s">
        <v>426</v>
      </c>
      <c r="B370" t="s">
        <v>287</v>
      </c>
      <c r="C370">
        <v>4.7</v>
      </c>
      <c r="D370">
        <v>50482</v>
      </c>
      <c r="E370">
        <v>13</v>
      </c>
      <c r="F370">
        <v>2014</v>
      </c>
      <c r="G370" t="s">
        <v>10</v>
      </c>
      <c r="I370" t="str">
        <v/>
      </c>
    </row>
    <row r="371" spans="1:9" hidden="1" x14ac:dyDescent="0.25">
      <c r="A371" t="s">
        <v>427</v>
      </c>
      <c r="B371" t="s">
        <v>428</v>
      </c>
      <c r="C371">
        <v>4.5999999999999996</v>
      </c>
      <c r="D371">
        <v>3207</v>
      </c>
      <c r="E371">
        <v>6</v>
      </c>
      <c r="F371">
        <v>2009</v>
      </c>
      <c r="G371" t="s">
        <v>8</v>
      </c>
      <c r="I371" t="str">
        <v/>
      </c>
    </row>
    <row r="372" spans="1:9" hidden="1" x14ac:dyDescent="0.25">
      <c r="A372" t="s">
        <v>427</v>
      </c>
      <c r="B372" t="s">
        <v>428</v>
      </c>
      <c r="C372">
        <v>4.5999999999999996</v>
      </c>
      <c r="D372">
        <v>3207</v>
      </c>
      <c r="E372">
        <v>6</v>
      </c>
      <c r="F372">
        <v>2010</v>
      </c>
      <c r="G372" t="s">
        <v>8</v>
      </c>
      <c r="I372" t="str">
        <v/>
      </c>
    </row>
    <row r="373" spans="1:9" hidden="1" x14ac:dyDescent="0.25">
      <c r="A373" t="s">
        <v>427</v>
      </c>
      <c r="B373" t="s">
        <v>428</v>
      </c>
      <c r="C373">
        <v>4.5999999999999996</v>
      </c>
      <c r="D373">
        <v>3207</v>
      </c>
      <c r="E373">
        <v>6</v>
      </c>
      <c r="F373">
        <v>2011</v>
      </c>
      <c r="G373" t="s">
        <v>8</v>
      </c>
      <c r="I373" t="str">
        <v/>
      </c>
    </row>
    <row r="374" spans="1:9" hidden="1" x14ac:dyDescent="0.25">
      <c r="A374" t="s">
        <v>427</v>
      </c>
      <c r="B374" t="s">
        <v>428</v>
      </c>
      <c r="C374">
        <v>4.5999999999999996</v>
      </c>
      <c r="D374">
        <v>3207</v>
      </c>
      <c r="E374">
        <v>6</v>
      </c>
      <c r="F374">
        <v>2012</v>
      </c>
      <c r="G374" t="s">
        <v>8</v>
      </c>
      <c r="I374" t="str">
        <v/>
      </c>
    </row>
    <row r="375" spans="1:9" hidden="1" x14ac:dyDescent="0.25">
      <c r="A375" t="s">
        <v>427</v>
      </c>
      <c r="B375" t="s">
        <v>428</v>
      </c>
      <c r="C375">
        <v>4.5999999999999996</v>
      </c>
      <c r="D375">
        <v>3207</v>
      </c>
      <c r="E375">
        <v>6</v>
      </c>
      <c r="F375">
        <v>2013</v>
      </c>
      <c r="G375" t="s">
        <v>8</v>
      </c>
      <c r="I375" t="str">
        <v/>
      </c>
    </row>
    <row r="376" spans="1:9" hidden="1" x14ac:dyDescent="0.25">
      <c r="A376" t="s">
        <v>429</v>
      </c>
      <c r="B376" t="s">
        <v>383</v>
      </c>
      <c r="C376">
        <v>4.5999999999999996</v>
      </c>
      <c r="D376">
        <v>803</v>
      </c>
      <c r="E376">
        <v>9</v>
      </c>
      <c r="F376">
        <v>2009</v>
      </c>
      <c r="G376" t="s">
        <v>8</v>
      </c>
      <c r="I376" t="str">
        <v/>
      </c>
    </row>
    <row r="377" spans="1:9" hidden="1" x14ac:dyDescent="0.25">
      <c r="A377" t="s">
        <v>430</v>
      </c>
      <c r="B377" t="s">
        <v>431</v>
      </c>
      <c r="C377">
        <v>4.7</v>
      </c>
      <c r="D377">
        <v>23308</v>
      </c>
      <c r="E377">
        <v>6</v>
      </c>
      <c r="F377">
        <v>2013</v>
      </c>
      <c r="G377" t="s">
        <v>8</v>
      </c>
      <c r="I377" t="str">
        <v/>
      </c>
    </row>
    <row r="378" spans="1:9" hidden="1" x14ac:dyDescent="0.25">
      <c r="A378" t="s">
        <v>430</v>
      </c>
      <c r="B378" t="s">
        <v>431</v>
      </c>
      <c r="C378">
        <v>4.7</v>
      </c>
      <c r="D378">
        <v>23308</v>
      </c>
      <c r="E378">
        <v>6</v>
      </c>
      <c r="F378">
        <v>2015</v>
      </c>
      <c r="G378" t="s">
        <v>8</v>
      </c>
      <c r="I378" t="str">
        <v/>
      </c>
    </row>
    <row r="379" spans="1:9" hidden="1" x14ac:dyDescent="0.25">
      <c r="A379" t="s">
        <v>430</v>
      </c>
      <c r="B379" t="s">
        <v>431</v>
      </c>
      <c r="C379">
        <v>4.7</v>
      </c>
      <c r="D379">
        <v>23308</v>
      </c>
      <c r="E379">
        <v>6</v>
      </c>
      <c r="F379">
        <v>2016</v>
      </c>
      <c r="G379" t="s">
        <v>8</v>
      </c>
      <c r="I379" t="str">
        <v/>
      </c>
    </row>
    <row r="380" spans="1:9" hidden="1" x14ac:dyDescent="0.25">
      <c r="A380" t="s">
        <v>430</v>
      </c>
      <c r="B380" t="s">
        <v>431</v>
      </c>
      <c r="C380">
        <v>4.7</v>
      </c>
      <c r="D380">
        <v>23308</v>
      </c>
      <c r="E380">
        <v>6</v>
      </c>
      <c r="F380">
        <v>2017</v>
      </c>
      <c r="G380" t="s">
        <v>8</v>
      </c>
      <c r="I380" t="str">
        <v/>
      </c>
    </row>
    <row r="381" spans="1:9" hidden="1" x14ac:dyDescent="0.25">
      <c r="A381" t="s">
        <v>430</v>
      </c>
      <c r="B381" t="s">
        <v>431</v>
      </c>
      <c r="C381">
        <v>4.7</v>
      </c>
      <c r="D381">
        <v>23308</v>
      </c>
      <c r="E381">
        <v>6</v>
      </c>
      <c r="F381">
        <v>2018</v>
      </c>
      <c r="G381" t="s">
        <v>8</v>
      </c>
      <c r="I381" t="str">
        <v/>
      </c>
    </row>
    <row r="382" spans="1:9" hidden="1" x14ac:dyDescent="0.25">
      <c r="A382" t="s">
        <v>430</v>
      </c>
      <c r="B382" t="s">
        <v>431</v>
      </c>
      <c r="C382">
        <v>4.7</v>
      </c>
      <c r="D382">
        <v>23308</v>
      </c>
      <c r="E382">
        <v>6</v>
      </c>
      <c r="F382">
        <v>2019</v>
      </c>
      <c r="G382" t="s">
        <v>8</v>
      </c>
      <c r="I382" t="str">
        <v/>
      </c>
    </row>
    <row r="383" spans="1:9" hidden="1" x14ac:dyDescent="0.25">
      <c r="A383" t="s">
        <v>432</v>
      </c>
      <c r="B383" t="s">
        <v>78</v>
      </c>
      <c r="C383">
        <v>4.8</v>
      </c>
      <c r="D383">
        <v>5836</v>
      </c>
      <c r="E383">
        <v>0</v>
      </c>
      <c r="F383">
        <v>2017</v>
      </c>
      <c r="G383" t="s">
        <v>10</v>
      </c>
      <c r="I383" t="str">
        <v/>
      </c>
    </row>
    <row r="384" spans="1:9" hidden="1" x14ac:dyDescent="0.25">
      <c r="A384" t="s">
        <v>433</v>
      </c>
      <c r="B384" t="s">
        <v>434</v>
      </c>
      <c r="C384">
        <v>4.0999999999999996</v>
      </c>
      <c r="D384">
        <v>79446</v>
      </c>
      <c r="E384">
        <v>18</v>
      </c>
      <c r="F384">
        <v>2015</v>
      </c>
      <c r="G384" t="s">
        <v>10</v>
      </c>
      <c r="I384" t="str">
        <v/>
      </c>
    </row>
    <row r="385" spans="1:9" hidden="1" x14ac:dyDescent="0.25">
      <c r="A385" t="s">
        <v>433</v>
      </c>
      <c r="B385" t="s">
        <v>434</v>
      </c>
      <c r="C385">
        <v>4.0999999999999996</v>
      </c>
      <c r="D385">
        <v>79446</v>
      </c>
      <c r="E385">
        <v>7</v>
      </c>
      <c r="F385">
        <v>2016</v>
      </c>
      <c r="G385" t="s">
        <v>10</v>
      </c>
      <c r="I385" t="str">
        <v/>
      </c>
    </row>
    <row r="386" spans="1:9" hidden="1" x14ac:dyDescent="0.25">
      <c r="A386" t="s">
        <v>435</v>
      </c>
      <c r="B386" t="s">
        <v>436</v>
      </c>
      <c r="C386">
        <v>4.7</v>
      </c>
      <c r="D386">
        <v>7747</v>
      </c>
      <c r="E386">
        <v>14</v>
      </c>
      <c r="F386">
        <v>2010</v>
      </c>
      <c r="G386" t="s">
        <v>10</v>
      </c>
      <c r="I386" t="str">
        <v/>
      </c>
    </row>
    <row r="387" spans="1:9" hidden="1" x14ac:dyDescent="0.25">
      <c r="A387" t="s">
        <v>435</v>
      </c>
      <c r="B387" t="s">
        <v>436</v>
      </c>
      <c r="C387">
        <v>4.7</v>
      </c>
      <c r="D387">
        <v>7747</v>
      </c>
      <c r="E387">
        <v>14</v>
      </c>
      <c r="F387">
        <v>2011</v>
      </c>
      <c r="G387" t="s">
        <v>10</v>
      </c>
      <c r="I387" t="str">
        <v/>
      </c>
    </row>
    <row r="388" spans="1:9" hidden="1" x14ac:dyDescent="0.25">
      <c r="A388" t="s">
        <v>437</v>
      </c>
      <c r="B388" t="s">
        <v>436</v>
      </c>
      <c r="C388">
        <v>4.7</v>
      </c>
      <c r="D388">
        <v>7251</v>
      </c>
      <c r="E388">
        <v>9</v>
      </c>
      <c r="F388">
        <v>2010</v>
      </c>
      <c r="G388" t="s">
        <v>10</v>
      </c>
      <c r="I388" t="str">
        <v/>
      </c>
    </row>
    <row r="389" spans="1:9" hidden="1" x14ac:dyDescent="0.25">
      <c r="A389" t="s">
        <v>438</v>
      </c>
      <c r="B389" t="s">
        <v>436</v>
      </c>
      <c r="C389">
        <v>4.7</v>
      </c>
      <c r="D389">
        <v>7251</v>
      </c>
      <c r="E389">
        <v>16</v>
      </c>
      <c r="F389">
        <v>2009</v>
      </c>
      <c r="G389" t="s">
        <v>10</v>
      </c>
      <c r="I389" t="str">
        <v/>
      </c>
    </row>
    <row r="390" spans="1:9" hidden="1" x14ac:dyDescent="0.25">
      <c r="A390" t="s">
        <v>439</v>
      </c>
      <c r="B390" t="s">
        <v>436</v>
      </c>
      <c r="C390">
        <v>4.4000000000000004</v>
      </c>
      <c r="D390">
        <v>10559</v>
      </c>
      <c r="E390">
        <v>2</v>
      </c>
      <c r="F390">
        <v>2009</v>
      </c>
      <c r="G390" t="s">
        <v>10</v>
      </c>
      <c r="I390" t="str">
        <v/>
      </c>
    </row>
    <row r="391" spans="1:9" hidden="1" x14ac:dyDescent="0.25">
      <c r="A391" t="s">
        <v>439</v>
      </c>
      <c r="B391" t="s">
        <v>436</v>
      </c>
      <c r="C391">
        <v>4.4000000000000004</v>
      </c>
      <c r="D391">
        <v>10559</v>
      </c>
      <c r="E391">
        <v>2</v>
      </c>
      <c r="F391">
        <v>2010</v>
      </c>
      <c r="G391" t="s">
        <v>10</v>
      </c>
      <c r="I391" t="str">
        <v/>
      </c>
    </row>
    <row r="392" spans="1:9" hidden="1" x14ac:dyDescent="0.25">
      <c r="A392" t="s">
        <v>440</v>
      </c>
      <c r="B392" t="s">
        <v>441</v>
      </c>
      <c r="C392">
        <v>4.8</v>
      </c>
      <c r="D392">
        <v>5249</v>
      </c>
      <c r="E392">
        <v>5</v>
      </c>
      <c r="F392">
        <v>2016</v>
      </c>
      <c r="G392" t="s">
        <v>10</v>
      </c>
      <c r="I392" t="str">
        <v/>
      </c>
    </row>
    <row r="393" spans="1:9" hidden="1" x14ac:dyDescent="0.25">
      <c r="A393" t="s">
        <v>440</v>
      </c>
      <c r="B393" t="s">
        <v>441</v>
      </c>
      <c r="C393">
        <v>4.8</v>
      </c>
      <c r="D393">
        <v>5249</v>
      </c>
      <c r="E393">
        <v>5</v>
      </c>
      <c r="F393">
        <v>2017</v>
      </c>
      <c r="G393" t="s">
        <v>10</v>
      </c>
      <c r="I393" t="str">
        <v/>
      </c>
    </row>
    <row r="394" spans="1:9" hidden="1" x14ac:dyDescent="0.25">
      <c r="A394" t="s">
        <v>442</v>
      </c>
      <c r="B394" t="s">
        <v>443</v>
      </c>
      <c r="C394">
        <v>3.9</v>
      </c>
      <c r="D394">
        <v>33844</v>
      </c>
      <c r="E394">
        <v>20</v>
      </c>
      <c r="F394">
        <v>2013</v>
      </c>
      <c r="G394" t="s">
        <v>10</v>
      </c>
      <c r="I394" t="str">
        <v/>
      </c>
    </row>
    <row r="395" spans="1:9" hidden="1" x14ac:dyDescent="0.25">
      <c r="A395" t="s">
        <v>442</v>
      </c>
      <c r="B395" t="s">
        <v>443</v>
      </c>
      <c r="C395">
        <v>3.9</v>
      </c>
      <c r="D395">
        <v>33844</v>
      </c>
      <c r="E395">
        <v>20</v>
      </c>
      <c r="F395">
        <v>2014</v>
      </c>
      <c r="G395" t="s">
        <v>10</v>
      </c>
      <c r="I395" t="str">
        <v/>
      </c>
    </row>
    <row r="396" spans="1:9" hidden="1" x14ac:dyDescent="0.25">
      <c r="A396" t="s">
        <v>444</v>
      </c>
      <c r="B396" t="s">
        <v>445</v>
      </c>
      <c r="C396">
        <v>4.4000000000000004</v>
      </c>
      <c r="D396">
        <v>11616</v>
      </c>
      <c r="E396">
        <v>7</v>
      </c>
      <c r="F396">
        <v>2012</v>
      </c>
      <c r="G396" t="s">
        <v>10</v>
      </c>
      <c r="I396" t="str">
        <v/>
      </c>
    </row>
    <row r="397" spans="1:9" hidden="1" x14ac:dyDescent="0.25">
      <c r="A397" t="s">
        <v>444</v>
      </c>
      <c r="B397" t="s">
        <v>445</v>
      </c>
      <c r="C397">
        <v>4.4000000000000004</v>
      </c>
      <c r="D397">
        <v>11616</v>
      </c>
      <c r="E397">
        <v>7</v>
      </c>
      <c r="F397">
        <v>2013</v>
      </c>
      <c r="G397" t="s">
        <v>10</v>
      </c>
      <c r="I397" t="str">
        <v/>
      </c>
    </row>
    <row r="398" spans="1:9" hidden="1" x14ac:dyDescent="0.25">
      <c r="A398" t="s">
        <v>444</v>
      </c>
      <c r="B398" t="s">
        <v>445</v>
      </c>
      <c r="C398">
        <v>4.4000000000000004</v>
      </c>
      <c r="D398">
        <v>11616</v>
      </c>
      <c r="E398">
        <v>7</v>
      </c>
      <c r="F398">
        <v>2014</v>
      </c>
      <c r="G398" t="s">
        <v>10</v>
      </c>
      <c r="I398" t="str">
        <v/>
      </c>
    </row>
    <row r="399" spans="1:9" hidden="1" x14ac:dyDescent="0.25">
      <c r="A399" t="s">
        <v>446</v>
      </c>
      <c r="B399" t="s">
        <v>375</v>
      </c>
      <c r="C399">
        <v>4.5</v>
      </c>
      <c r="D399">
        <v>13609</v>
      </c>
      <c r="E399">
        <v>14</v>
      </c>
      <c r="F399">
        <v>2019</v>
      </c>
      <c r="G399" t="s">
        <v>10</v>
      </c>
      <c r="I399" t="str">
        <v/>
      </c>
    </row>
    <row r="400" spans="1:9" hidden="1" x14ac:dyDescent="0.25">
      <c r="A400" t="s">
        <v>447</v>
      </c>
      <c r="B400" t="s">
        <v>448</v>
      </c>
      <c r="C400">
        <v>4.7</v>
      </c>
      <c r="D400">
        <v>8587</v>
      </c>
      <c r="E400">
        <v>10</v>
      </c>
      <c r="F400">
        <v>2009</v>
      </c>
      <c r="G400" t="s">
        <v>10</v>
      </c>
      <c r="I400" t="str">
        <v/>
      </c>
    </row>
    <row r="401" spans="1:9" hidden="1" x14ac:dyDescent="0.25">
      <c r="A401" t="s">
        <v>449</v>
      </c>
      <c r="B401" t="s">
        <v>450</v>
      </c>
      <c r="C401">
        <v>4.3</v>
      </c>
      <c r="D401">
        <v>29442</v>
      </c>
      <c r="E401">
        <v>7</v>
      </c>
      <c r="F401">
        <v>2017</v>
      </c>
      <c r="G401" t="s">
        <v>10</v>
      </c>
      <c r="I401" t="str">
        <v/>
      </c>
    </row>
    <row r="402" spans="1:9" hidden="1" x14ac:dyDescent="0.25">
      <c r="A402" t="s">
        <v>451</v>
      </c>
      <c r="B402" t="s">
        <v>452</v>
      </c>
      <c r="C402">
        <v>4.5999999999999996</v>
      </c>
      <c r="D402">
        <v>11098</v>
      </c>
      <c r="E402">
        <v>13</v>
      </c>
      <c r="F402">
        <v>2012</v>
      </c>
      <c r="G402" t="s">
        <v>10</v>
      </c>
      <c r="I402" t="str">
        <v/>
      </c>
    </row>
    <row r="403" spans="1:9" hidden="1" x14ac:dyDescent="0.25">
      <c r="A403" t="s">
        <v>453</v>
      </c>
      <c r="B403" t="s">
        <v>454</v>
      </c>
      <c r="C403">
        <v>4.8</v>
      </c>
      <c r="D403">
        <v>9947</v>
      </c>
      <c r="E403">
        <v>11</v>
      </c>
      <c r="F403">
        <v>2018</v>
      </c>
      <c r="G403" t="s">
        <v>10</v>
      </c>
      <c r="I403" t="str">
        <v/>
      </c>
    </row>
    <row r="404" spans="1:9" hidden="1" x14ac:dyDescent="0.25">
      <c r="A404" t="s">
        <v>455</v>
      </c>
      <c r="B404" t="s">
        <v>456</v>
      </c>
      <c r="C404">
        <v>4.8</v>
      </c>
      <c r="D404">
        <v>13871</v>
      </c>
      <c r="E404">
        <v>6</v>
      </c>
      <c r="F404">
        <v>2009</v>
      </c>
      <c r="G404" t="s">
        <v>10</v>
      </c>
      <c r="I404" t="str">
        <v/>
      </c>
    </row>
    <row r="405" spans="1:9" hidden="1" x14ac:dyDescent="0.25">
      <c r="A405" t="s">
        <v>455</v>
      </c>
      <c r="B405" t="s">
        <v>456</v>
      </c>
      <c r="C405">
        <v>4.8</v>
      </c>
      <c r="D405">
        <v>13871</v>
      </c>
      <c r="E405">
        <v>6</v>
      </c>
      <c r="F405">
        <v>2010</v>
      </c>
      <c r="G405" t="s">
        <v>10</v>
      </c>
      <c r="I405" t="str">
        <v/>
      </c>
    </row>
    <row r="406" spans="1:9" hidden="1" x14ac:dyDescent="0.25">
      <c r="A406" t="s">
        <v>455</v>
      </c>
      <c r="B406" t="s">
        <v>456</v>
      </c>
      <c r="C406">
        <v>4.8</v>
      </c>
      <c r="D406">
        <v>13871</v>
      </c>
      <c r="E406">
        <v>8</v>
      </c>
      <c r="F406">
        <v>2011</v>
      </c>
      <c r="G406" t="s">
        <v>10</v>
      </c>
      <c r="I406" t="str">
        <v/>
      </c>
    </row>
    <row r="407" spans="1:9" hidden="1" x14ac:dyDescent="0.25">
      <c r="A407" t="s">
        <v>455</v>
      </c>
      <c r="B407" t="s">
        <v>456</v>
      </c>
      <c r="C407">
        <v>4.8</v>
      </c>
      <c r="D407">
        <v>13871</v>
      </c>
      <c r="E407">
        <v>7</v>
      </c>
      <c r="F407">
        <v>2011</v>
      </c>
      <c r="G407" t="s">
        <v>10</v>
      </c>
      <c r="I407" t="str">
        <v/>
      </c>
    </row>
    <row r="408" spans="1:9" hidden="1" x14ac:dyDescent="0.25">
      <c r="A408" t="s">
        <v>457</v>
      </c>
      <c r="B408" t="s">
        <v>331</v>
      </c>
      <c r="C408">
        <v>4.8</v>
      </c>
      <c r="D408">
        <v>6982</v>
      </c>
      <c r="E408">
        <v>14</v>
      </c>
      <c r="F408">
        <v>2013</v>
      </c>
      <c r="G408" t="s">
        <v>10</v>
      </c>
      <c r="I408" t="str">
        <v/>
      </c>
    </row>
    <row r="409" spans="1:9" hidden="1" x14ac:dyDescent="0.25">
      <c r="A409" t="s">
        <v>458</v>
      </c>
      <c r="B409" t="s">
        <v>86</v>
      </c>
      <c r="C409">
        <v>4.7</v>
      </c>
      <c r="D409">
        <v>32122</v>
      </c>
      <c r="E409">
        <v>14</v>
      </c>
      <c r="F409">
        <v>2010</v>
      </c>
      <c r="G409" t="s">
        <v>10</v>
      </c>
      <c r="I409" t="str">
        <v/>
      </c>
    </row>
    <row r="410" spans="1:9" hidden="1" x14ac:dyDescent="0.25">
      <c r="A410" t="s">
        <v>459</v>
      </c>
      <c r="B410" t="s">
        <v>86</v>
      </c>
      <c r="C410">
        <v>4.7</v>
      </c>
      <c r="D410">
        <v>32122</v>
      </c>
      <c r="E410">
        <v>8</v>
      </c>
      <c r="F410">
        <v>2011</v>
      </c>
      <c r="G410" t="s">
        <v>10</v>
      </c>
      <c r="I410" t="str">
        <v/>
      </c>
    </row>
    <row r="411" spans="1:9" hidden="1" x14ac:dyDescent="0.25">
      <c r="A411" t="s">
        <v>459</v>
      </c>
      <c r="B411" t="s">
        <v>86</v>
      </c>
      <c r="C411">
        <v>4.7</v>
      </c>
      <c r="D411">
        <v>32122</v>
      </c>
      <c r="E411">
        <v>8</v>
      </c>
      <c r="F411">
        <v>2012</v>
      </c>
      <c r="G411" t="s">
        <v>10</v>
      </c>
      <c r="I411" t="str">
        <v/>
      </c>
    </row>
    <row r="412" spans="1:9" hidden="1" x14ac:dyDescent="0.25">
      <c r="A412" t="s">
        <v>460</v>
      </c>
      <c r="B412" t="s">
        <v>86</v>
      </c>
      <c r="C412">
        <v>4.8</v>
      </c>
      <c r="D412">
        <v>16949</v>
      </c>
      <c r="E412">
        <v>30</v>
      </c>
      <c r="F412">
        <v>2011</v>
      </c>
      <c r="G412" t="s">
        <v>10</v>
      </c>
      <c r="I412" t="str">
        <v/>
      </c>
    </row>
    <row r="413" spans="1:9" hidden="1" x14ac:dyDescent="0.25">
      <c r="A413" t="s">
        <v>460</v>
      </c>
      <c r="B413" t="s">
        <v>86</v>
      </c>
      <c r="C413">
        <v>4.8</v>
      </c>
      <c r="D413">
        <v>16949</v>
      </c>
      <c r="E413">
        <v>30</v>
      </c>
      <c r="F413">
        <v>2012</v>
      </c>
      <c r="G413" t="s">
        <v>10</v>
      </c>
      <c r="I413" t="str">
        <v/>
      </c>
    </row>
    <row r="414" spans="1:9" hidden="1" x14ac:dyDescent="0.25">
      <c r="A414" t="s">
        <v>461</v>
      </c>
      <c r="B414" t="s">
        <v>462</v>
      </c>
      <c r="C414">
        <v>4.7</v>
      </c>
      <c r="D414">
        <v>9289</v>
      </c>
      <c r="E414">
        <v>13</v>
      </c>
      <c r="F414">
        <v>2010</v>
      </c>
      <c r="G414" t="s">
        <v>8</v>
      </c>
      <c r="I414" t="str">
        <v/>
      </c>
    </row>
    <row r="415" spans="1:9" hidden="1" x14ac:dyDescent="0.25">
      <c r="A415" t="s">
        <v>461</v>
      </c>
      <c r="B415" t="s">
        <v>462</v>
      </c>
      <c r="C415">
        <v>4.7</v>
      </c>
      <c r="D415">
        <v>9289</v>
      </c>
      <c r="E415">
        <v>9</v>
      </c>
      <c r="F415">
        <v>2011</v>
      </c>
      <c r="G415" t="s">
        <v>8</v>
      </c>
      <c r="I415" t="str">
        <v/>
      </c>
    </row>
    <row r="416" spans="1:9" hidden="1" x14ac:dyDescent="0.25">
      <c r="A416" t="s">
        <v>461</v>
      </c>
      <c r="B416" t="s">
        <v>462</v>
      </c>
      <c r="C416">
        <v>4.7</v>
      </c>
      <c r="D416">
        <v>9289</v>
      </c>
      <c r="E416">
        <v>9</v>
      </c>
      <c r="F416">
        <v>2012</v>
      </c>
      <c r="G416" t="s">
        <v>8</v>
      </c>
      <c r="I416" t="str">
        <v/>
      </c>
    </row>
    <row r="417" spans="1:9" hidden="1" x14ac:dyDescent="0.25">
      <c r="A417" t="s">
        <v>463</v>
      </c>
      <c r="B417" t="s">
        <v>464</v>
      </c>
      <c r="C417">
        <v>4.3</v>
      </c>
      <c r="D417">
        <v>7368</v>
      </c>
      <c r="E417">
        <v>7</v>
      </c>
      <c r="F417">
        <v>2017</v>
      </c>
      <c r="G417" t="s">
        <v>8</v>
      </c>
      <c r="I417" t="str">
        <v/>
      </c>
    </row>
    <row r="418" spans="1:9" hidden="1" x14ac:dyDescent="0.25">
      <c r="A418" t="s">
        <v>463</v>
      </c>
      <c r="B418" t="s">
        <v>464</v>
      </c>
      <c r="C418">
        <v>4.3</v>
      </c>
      <c r="D418">
        <v>7368</v>
      </c>
      <c r="E418">
        <v>7</v>
      </c>
      <c r="F418">
        <v>2018</v>
      </c>
      <c r="G418" t="s">
        <v>8</v>
      </c>
      <c r="I418" t="str">
        <v/>
      </c>
    </row>
    <row r="419" spans="1:9" hidden="1" x14ac:dyDescent="0.25">
      <c r="A419" t="s">
        <v>465</v>
      </c>
      <c r="B419" t="s">
        <v>466</v>
      </c>
      <c r="C419">
        <v>4.7</v>
      </c>
      <c r="D419">
        <v>4028</v>
      </c>
      <c r="E419">
        <v>9</v>
      </c>
      <c r="F419">
        <v>2009</v>
      </c>
      <c r="G419" t="s">
        <v>8</v>
      </c>
      <c r="I419" t="str">
        <v/>
      </c>
    </row>
    <row r="420" spans="1:9" hidden="1" x14ac:dyDescent="0.25">
      <c r="A420" t="s">
        <v>467</v>
      </c>
      <c r="B420" t="s">
        <v>331</v>
      </c>
      <c r="C420">
        <v>4.8</v>
      </c>
      <c r="D420">
        <v>4628</v>
      </c>
      <c r="E420">
        <v>7</v>
      </c>
      <c r="F420">
        <v>2009</v>
      </c>
      <c r="G420" t="s">
        <v>10</v>
      </c>
      <c r="I420" t="str">
        <v/>
      </c>
    </row>
    <row r="421" spans="1:9" hidden="1" x14ac:dyDescent="0.25">
      <c r="A421" t="s">
        <v>467</v>
      </c>
      <c r="B421" t="s">
        <v>331</v>
      </c>
      <c r="C421">
        <v>4.8</v>
      </c>
      <c r="D421">
        <v>4628</v>
      </c>
      <c r="E421">
        <v>7</v>
      </c>
      <c r="F421">
        <v>2010</v>
      </c>
      <c r="G421" t="s">
        <v>10</v>
      </c>
      <c r="I421" t="str">
        <v/>
      </c>
    </row>
    <row r="422" spans="1:9" hidden="1" x14ac:dyDescent="0.25">
      <c r="A422" t="s">
        <v>468</v>
      </c>
      <c r="B422" t="s">
        <v>469</v>
      </c>
      <c r="C422">
        <v>4.9000000000000004</v>
      </c>
      <c r="D422">
        <v>5396</v>
      </c>
      <c r="E422">
        <v>20</v>
      </c>
      <c r="F422">
        <v>2013</v>
      </c>
      <c r="G422" t="s">
        <v>10</v>
      </c>
      <c r="I422" t="str">
        <v/>
      </c>
    </row>
    <row r="423" spans="1:9" hidden="1" x14ac:dyDescent="0.25">
      <c r="A423" t="s">
        <v>470</v>
      </c>
      <c r="B423" t="s">
        <v>471</v>
      </c>
      <c r="C423">
        <v>4.4000000000000004</v>
      </c>
      <c r="D423">
        <v>4247</v>
      </c>
      <c r="E423">
        <v>13</v>
      </c>
      <c r="F423">
        <v>2011</v>
      </c>
      <c r="G423" t="s">
        <v>8</v>
      </c>
      <c r="I423" t="str">
        <v/>
      </c>
    </row>
    <row r="424" spans="1:9" hidden="1" x14ac:dyDescent="0.25">
      <c r="A424" t="s">
        <v>470</v>
      </c>
      <c r="B424" t="s">
        <v>471</v>
      </c>
      <c r="C424">
        <v>4.4000000000000004</v>
      </c>
      <c r="D424">
        <v>4247</v>
      </c>
      <c r="E424">
        <v>13</v>
      </c>
      <c r="F424">
        <v>2012</v>
      </c>
      <c r="G424" t="s">
        <v>8</v>
      </c>
      <c r="I424" t="str">
        <v/>
      </c>
    </row>
    <row r="425" spans="1:9" hidden="1" x14ac:dyDescent="0.25">
      <c r="A425" t="s">
        <v>472</v>
      </c>
      <c r="B425" t="s">
        <v>473</v>
      </c>
      <c r="C425">
        <v>4.5</v>
      </c>
      <c r="D425">
        <v>22641</v>
      </c>
      <c r="E425">
        <v>11</v>
      </c>
      <c r="F425">
        <v>2015</v>
      </c>
      <c r="G425" t="s">
        <v>8</v>
      </c>
      <c r="I425" t="str">
        <v/>
      </c>
    </row>
    <row r="426" spans="1:9" hidden="1" x14ac:dyDescent="0.25">
      <c r="A426" t="s">
        <v>472</v>
      </c>
      <c r="B426" t="s">
        <v>473</v>
      </c>
      <c r="C426">
        <v>4.5</v>
      </c>
      <c r="D426">
        <v>22641</v>
      </c>
      <c r="E426">
        <v>11</v>
      </c>
      <c r="F426">
        <v>2016</v>
      </c>
      <c r="G426" t="s">
        <v>8</v>
      </c>
      <c r="I426" t="str">
        <v/>
      </c>
    </row>
    <row r="427" spans="1:9" hidden="1" x14ac:dyDescent="0.25">
      <c r="A427" t="s">
        <v>472</v>
      </c>
      <c r="B427" t="s">
        <v>473</v>
      </c>
      <c r="C427">
        <v>4.5</v>
      </c>
      <c r="D427">
        <v>22641</v>
      </c>
      <c r="E427">
        <v>11</v>
      </c>
      <c r="F427">
        <v>2017</v>
      </c>
      <c r="G427" t="s">
        <v>8</v>
      </c>
      <c r="I427" t="str">
        <v/>
      </c>
    </row>
    <row r="428" spans="1:9" hidden="1" x14ac:dyDescent="0.25">
      <c r="A428" t="s">
        <v>472</v>
      </c>
      <c r="B428" t="s">
        <v>473</v>
      </c>
      <c r="C428">
        <v>4.5</v>
      </c>
      <c r="D428">
        <v>22641</v>
      </c>
      <c r="E428">
        <v>11</v>
      </c>
      <c r="F428">
        <v>2019</v>
      </c>
      <c r="G428" t="s">
        <v>8</v>
      </c>
      <c r="I428" t="str">
        <v/>
      </c>
    </row>
    <row r="429" spans="1:9" hidden="1" x14ac:dyDescent="0.25">
      <c r="A429" t="s">
        <v>474</v>
      </c>
      <c r="B429" t="s">
        <v>375</v>
      </c>
      <c r="C429">
        <v>4.4000000000000004</v>
      </c>
      <c r="D429">
        <v>6222</v>
      </c>
      <c r="E429">
        <v>18</v>
      </c>
      <c r="F429">
        <v>2011</v>
      </c>
      <c r="G429" t="s">
        <v>10</v>
      </c>
      <c r="I429" t="str">
        <v/>
      </c>
    </row>
    <row r="430" spans="1:9" hidden="1" x14ac:dyDescent="0.25">
      <c r="A430" t="s">
        <v>475</v>
      </c>
      <c r="B430" t="s">
        <v>331</v>
      </c>
      <c r="C430">
        <v>4.8</v>
      </c>
      <c r="D430">
        <v>4506</v>
      </c>
      <c r="E430">
        <v>14</v>
      </c>
      <c r="F430">
        <v>2010</v>
      </c>
      <c r="G430" t="s">
        <v>10</v>
      </c>
      <c r="I430" t="str">
        <v/>
      </c>
    </row>
    <row r="431" spans="1:9" hidden="1" x14ac:dyDescent="0.25">
      <c r="A431" t="s">
        <v>476</v>
      </c>
      <c r="B431" t="s">
        <v>243</v>
      </c>
      <c r="C431">
        <v>4.2</v>
      </c>
      <c r="D431">
        <v>8747</v>
      </c>
      <c r="E431">
        <v>19</v>
      </c>
      <c r="F431">
        <v>2009</v>
      </c>
      <c r="G431" t="s">
        <v>10</v>
      </c>
      <c r="I431" t="str">
        <v/>
      </c>
    </row>
    <row r="432" spans="1:9" hidden="1" x14ac:dyDescent="0.25">
      <c r="A432" t="s">
        <v>477</v>
      </c>
      <c r="B432" t="s">
        <v>478</v>
      </c>
      <c r="C432">
        <v>4.8</v>
      </c>
      <c r="D432">
        <v>1655</v>
      </c>
      <c r="E432">
        <v>13</v>
      </c>
      <c r="F432">
        <v>2009</v>
      </c>
      <c r="G432" t="s">
        <v>8</v>
      </c>
      <c r="I432" t="str">
        <v/>
      </c>
    </row>
    <row r="433" spans="1:9" hidden="1" x14ac:dyDescent="0.25">
      <c r="A433" t="s">
        <v>479</v>
      </c>
      <c r="B433" t="s">
        <v>480</v>
      </c>
      <c r="C433">
        <v>4.9000000000000004</v>
      </c>
      <c r="D433">
        <v>7861</v>
      </c>
      <c r="E433">
        <v>5</v>
      </c>
      <c r="F433">
        <v>2016</v>
      </c>
      <c r="G433" t="s">
        <v>8</v>
      </c>
      <c r="I433" t="str">
        <v/>
      </c>
    </row>
    <row r="434" spans="1:9" hidden="1" x14ac:dyDescent="0.25">
      <c r="A434" t="s">
        <v>481</v>
      </c>
      <c r="B434" t="s">
        <v>331</v>
      </c>
      <c r="C434">
        <v>4.8</v>
      </c>
      <c r="D434">
        <v>6247</v>
      </c>
      <c r="E434">
        <v>10</v>
      </c>
      <c r="F434">
        <v>2012</v>
      </c>
      <c r="G434" t="s">
        <v>10</v>
      </c>
      <c r="I434" t="str">
        <v/>
      </c>
    </row>
    <row r="435" spans="1:9" hidden="1" x14ac:dyDescent="0.25">
      <c r="A435" t="s">
        <v>482</v>
      </c>
      <c r="B435" t="s">
        <v>483</v>
      </c>
      <c r="C435">
        <v>4.7</v>
      </c>
      <c r="D435">
        <v>39459</v>
      </c>
      <c r="E435">
        <v>9</v>
      </c>
      <c r="F435">
        <v>2015</v>
      </c>
      <c r="G435" t="s">
        <v>10</v>
      </c>
      <c r="I435" t="str">
        <v/>
      </c>
    </row>
    <row r="436" spans="1:9" hidden="1" x14ac:dyDescent="0.25">
      <c r="A436" t="s">
        <v>484</v>
      </c>
      <c r="B436" t="s">
        <v>485</v>
      </c>
      <c r="C436">
        <v>4.5</v>
      </c>
      <c r="D436">
        <v>10101</v>
      </c>
      <c r="E436">
        <v>8</v>
      </c>
      <c r="F436">
        <v>2014</v>
      </c>
      <c r="G436" t="s">
        <v>10</v>
      </c>
      <c r="I436" t="str">
        <v/>
      </c>
    </row>
    <row r="437" spans="1:9" hidden="1" x14ac:dyDescent="0.25">
      <c r="A437" t="s">
        <v>486</v>
      </c>
      <c r="B437" t="s">
        <v>78</v>
      </c>
      <c r="C437">
        <v>4.8</v>
      </c>
      <c r="D437">
        <v>5898</v>
      </c>
      <c r="E437">
        <v>8</v>
      </c>
      <c r="F437">
        <v>2018</v>
      </c>
      <c r="G437" t="s">
        <v>10</v>
      </c>
      <c r="I437" t="str">
        <v/>
      </c>
    </row>
    <row r="438" spans="1:9" hidden="1" x14ac:dyDescent="0.25">
      <c r="A438" t="s">
        <v>487</v>
      </c>
      <c r="B438" t="s">
        <v>488</v>
      </c>
      <c r="C438">
        <v>4.5999999999999996</v>
      </c>
      <c r="D438">
        <v>2744</v>
      </c>
      <c r="E438">
        <v>12</v>
      </c>
      <c r="F438">
        <v>2019</v>
      </c>
      <c r="G438" t="s">
        <v>8</v>
      </c>
      <c r="I438" t="str">
        <v/>
      </c>
    </row>
    <row r="439" spans="1:9" hidden="1" x14ac:dyDescent="0.25">
      <c r="A439" t="s">
        <v>489</v>
      </c>
      <c r="B439" t="s">
        <v>490</v>
      </c>
      <c r="C439">
        <v>4.8</v>
      </c>
      <c r="D439">
        <v>49288</v>
      </c>
      <c r="E439">
        <v>11</v>
      </c>
      <c r="F439">
        <v>2015</v>
      </c>
      <c r="G439" t="s">
        <v>10</v>
      </c>
      <c r="I439" t="str">
        <v/>
      </c>
    </row>
    <row r="440" spans="1:9" hidden="1" x14ac:dyDescent="0.25">
      <c r="A440" t="s">
        <v>489</v>
      </c>
      <c r="B440" t="s">
        <v>490</v>
      </c>
      <c r="C440">
        <v>4.8</v>
      </c>
      <c r="D440">
        <v>49288</v>
      </c>
      <c r="E440">
        <v>11</v>
      </c>
      <c r="F440">
        <v>2016</v>
      </c>
      <c r="G440" t="s">
        <v>10</v>
      </c>
      <c r="I440" t="str">
        <v/>
      </c>
    </row>
    <row r="441" spans="1:9" hidden="1" x14ac:dyDescent="0.25">
      <c r="A441" t="s">
        <v>491</v>
      </c>
      <c r="B441" t="s">
        <v>492</v>
      </c>
      <c r="C441">
        <v>4.4000000000000004</v>
      </c>
      <c r="D441">
        <v>1201</v>
      </c>
      <c r="E441">
        <v>40</v>
      </c>
      <c r="F441">
        <v>2010</v>
      </c>
      <c r="G441" t="s">
        <v>8</v>
      </c>
      <c r="I441" t="str">
        <v/>
      </c>
    </row>
    <row r="442" spans="1:9" hidden="1" x14ac:dyDescent="0.25">
      <c r="A442" t="s">
        <v>491</v>
      </c>
      <c r="B442" t="s">
        <v>492</v>
      </c>
      <c r="C442">
        <v>4.4000000000000004</v>
      </c>
      <c r="D442">
        <v>1201</v>
      </c>
      <c r="E442">
        <v>40</v>
      </c>
      <c r="F442">
        <v>2011</v>
      </c>
      <c r="G442" t="s">
        <v>8</v>
      </c>
      <c r="I442" t="str">
        <v/>
      </c>
    </row>
    <row r="443" spans="1:9" hidden="1" x14ac:dyDescent="0.25">
      <c r="A443" t="s">
        <v>491</v>
      </c>
      <c r="B443" t="s">
        <v>492</v>
      </c>
      <c r="C443">
        <v>4.4000000000000004</v>
      </c>
      <c r="D443">
        <v>1201</v>
      </c>
      <c r="E443">
        <v>40</v>
      </c>
      <c r="F443">
        <v>2012</v>
      </c>
      <c r="G443" t="s">
        <v>8</v>
      </c>
      <c r="I443" t="str">
        <v/>
      </c>
    </row>
    <row r="444" spans="1:9" hidden="1" x14ac:dyDescent="0.25">
      <c r="A444" t="s">
        <v>491</v>
      </c>
      <c r="B444" t="s">
        <v>492</v>
      </c>
      <c r="C444">
        <v>4.4000000000000004</v>
      </c>
      <c r="D444">
        <v>1201</v>
      </c>
      <c r="E444">
        <v>40</v>
      </c>
      <c r="F444">
        <v>2013</v>
      </c>
      <c r="G444" t="s">
        <v>8</v>
      </c>
      <c r="I444" t="str">
        <v/>
      </c>
    </row>
    <row r="445" spans="1:9" hidden="1" x14ac:dyDescent="0.25">
      <c r="A445" t="s">
        <v>491</v>
      </c>
      <c r="B445" t="s">
        <v>492</v>
      </c>
      <c r="C445">
        <v>4.4000000000000004</v>
      </c>
      <c r="D445">
        <v>1201</v>
      </c>
      <c r="E445">
        <v>40</v>
      </c>
      <c r="F445">
        <v>2014</v>
      </c>
      <c r="G445" t="s">
        <v>8</v>
      </c>
      <c r="I445" t="str">
        <v/>
      </c>
    </row>
    <row r="446" spans="1:9" hidden="1" x14ac:dyDescent="0.25">
      <c r="A446" t="s">
        <v>493</v>
      </c>
      <c r="B446" t="s">
        <v>492</v>
      </c>
      <c r="C446">
        <v>4.3</v>
      </c>
      <c r="D446">
        <v>807</v>
      </c>
      <c r="E446">
        <v>36</v>
      </c>
      <c r="F446">
        <v>2016</v>
      </c>
      <c r="G446" t="s">
        <v>8</v>
      </c>
      <c r="I446" t="str">
        <v/>
      </c>
    </row>
    <row r="447" spans="1:9" hidden="1" x14ac:dyDescent="0.25">
      <c r="A447" t="s">
        <v>494</v>
      </c>
      <c r="B447" t="s">
        <v>495</v>
      </c>
      <c r="C447">
        <v>4.3</v>
      </c>
      <c r="D447">
        <v>3759</v>
      </c>
      <c r="E447">
        <v>16</v>
      </c>
      <c r="F447">
        <v>2011</v>
      </c>
      <c r="G447" t="s">
        <v>10</v>
      </c>
      <c r="I447" t="str">
        <v/>
      </c>
    </row>
    <row r="448" spans="1:9" hidden="1" x14ac:dyDescent="0.25">
      <c r="A448" t="s">
        <v>496</v>
      </c>
      <c r="B448" t="s">
        <v>497</v>
      </c>
      <c r="C448">
        <v>4.8</v>
      </c>
      <c r="D448">
        <v>2663</v>
      </c>
      <c r="E448">
        <v>17</v>
      </c>
      <c r="F448">
        <v>2013</v>
      </c>
      <c r="G448" t="s">
        <v>8</v>
      </c>
      <c r="I448" t="str">
        <v/>
      </c>
    </row>
    <row r="449" spans="1:9" hidden="1" x14ac:dyDescent="0.25">
      <c r="A449" t="s">
        <v>498</v>
      </c>
      <c r="B449" t="s">
        <v>497</v>
      </c>
      <c r="C449">
        <v>4.8</v>
      </c>
      <c r="D449">
        <v>3428</v>
      </c>
      <c r="E449">
        <v>14</v>
      </c>
      <c r="F449">
        <v>2015</v>
      </c>
      <c r="G449" t="s">
        <v>8</v>
      </c>
      <c r="I449" t="str">
        <v/>
      </c>
    </row>
    <row r="450" spans="1:9" hidden="1" x14ac:dyDescent="0.25">
      <c r="A450" t="s">
        <v>499</v>
      </c>
      <c r="B450" t="s">
        <v>497</v>
      </c>
      <c r="C450">
        <v>4.8</v>
      </c>
      <c r="D450">
        <v>2876</v>
      </c>
      <c r="E450">
        <v>21</v>
      </c>
      <c r="F450">
        <v>2012</v>
      </c>
      <c r="G450" t="s">
        <v>8</v>
      </c>
      <c r="I450" t="str">
        <v/>
      </c>
    </row>
    <row r="451" spans="1:9" hidden="1" x14ac:dyDescent="0.25">
      <c r="A451" t="s">
        <v>500</v>
      </c>
      <c r="B451" t="s">
        <v>501</v>
      </c>
      <c r="C451">
        <v>4.5</v>
      </c>
      <c r="D451">
        <v>3601</v>
      </c>
      <c r="E451">
        <v>18</v>
      </c>
      <c r="F451">
        <v>2018</v>
      </c>
      <c r="G451" t="s">
        <v>8</v>
      </c>
      <c r="I451" t="str">
        <v/>
      </c>
    </row>
    <row r="452" spans="1:9" hidden="1" x14ac:dyDescent="0.25">
      <c r="A452" t="s">
        <v>502</v>
      </c>
      <c r="B452" t="s">
        <v>501</v>
      </c>
      <c r="C452">
        <v>4.4000000000000004</v>
      </c>
      <c r="D452">
        <v>7058</v>
      </c>
      <c r="E452">
        <v>17</v>
      </c>
      <c r="F452">
        <v>2018</v>
      </c>
      <c r="G452" t="s">
        <v>8</v>
      </c>
      <c r="I452" t="str">
        <v/>
      </c>
    </row>
    <row r="453" spans="1:9" hidden="1" x14ac:dyDescent="0.25">
      <c r="A453" t="s">
        <v>503</v>
      </c>
      <c r="B453" t="s">
        <v>504</v>
      </c>
      <c r="C453">
        <v>4.8</v>
      </c>
      <c r="D453">
        <v>9784</v>
      </c>
      <c r="E453">
        <v>5</v>
      </c>
      <c r="F453">
        <v>2017</v>
      </c>
      <c r="G453" t="s">
        <v>10</v>
      </c>
      <c r="I453" t="str">
        <v/>
      </c>
    </row>
    <row r="454" spans="1:9" hidden="1" x14ac:dyDescent="0.25">
      <c r="A454" t="s">
        <v>503</v>
      </c>
      <c r="B454" t="s">
        <v>504</v>
      </c>
      <c r="C454">
        <v>4.8</v>
      </c>
      <c r="D454">
        <v>9784</v>
      </c>
      <c r="E454">
        <v>5</v>
      </c>
      <c r="F454">
        <v>2018</v>
      </c>
      <c r="G454" t="s">
        <v>10</v>
      </c>
      <c r="I454" t="str">
        <v/>
      </c>
    </row>
    <row r="455" spans="1:9" hidden="1" x14ac:dyDescent="0.25">
      <c r="A455" t="s">
        <v>505</v>
      </c>
      <c r="B455" t="s">
        <v>506</v>
      </c>
      <c r="C455">
        <v>4.5999999999999996</v>
      </c>
      <c r="D455">
        <v>10795</v>
      </c>
      <c r="E455">
        <v>21</v>
      </c>
      <c r="F455">
        <v>2012</v>
      </c>
      <c r="G455" t="s">
        <v>8</v>
      </c>
      <c r="I455" t="str">
        <v/>
      </c>
    </row>
    <row r="456" spans="1:9" hidden="1" x14ac:dyDescent="0.25">
      <c r="A456" t="s">
        <v>507</v>
      </c>
      <c r="B456" t="s">
        <v>235</v>
      </c>
      <c r="C456">
        <v>4.3</v>
      </c>
      <c r="D456">
        <v>10191</v>
      </c>
      <c r="E456">
        <v>18</v>
      </c>
      <c r="F456">
        <v>2018</v>
      </c>
      <c r="G456" t="s">
        <v>10</v>
      </c>
      <c r="I456" t="str">
        <v/>
      </c>
    </row>
    <row r="457" spans="1:9" hidden="1" x14ac:dyDescent="0.25">
      <c r="A457" t="s">
        <v>508</v>
      </c>
      <c r="B457" t="s">
        <v>375</v>
      </c>
      <c r="C457">
        <v>4.3</v>
      </c>
      <c r="D457">
        <v>14493</v>
      </c>
      <c r="E457">
        <v>18</v>
      </c>
      <c r="F457">
        <v>2012</v>
      </c>
      <c r="G457" t="s">
        <v>10</v>
      </c>
      <c r="I457" t="str">
        <v/>
      </c>
    </row>
    <row r="458" spans="1:9" hidden="1" x14ac:dyDescent="0.25">
      <c r="A458" t="s">
        <v>509</v>
      </c>
      <c r="B458" t="s">
        <v>331</v>
      </c>
      <c r="C458">
        <v>4.5999999999999996</v>
      </c>
      <c r="D458">
        <v>2186</v>
      </c>
      <c r="E458">
        <v>12</v>
      </c>
      <c r="F458">
        <v>2010</v>
      </c>
      <c r="G458" t="s">
        <v>10</v>
      </c>
      <c r="I458" t="str">
        <v/>
      </c>
    </row>
    <row r="459" spans="1:9" hidden="1" x14ac:dyDescent="0.25">
      <c r="A459" t="s">
        <v>510</v>
      </c>
      <c r="B459" t="s">
        <v>511</v>
      </c>
      <c r="C459">
        <v>4.5999999999999996</v>
      </c>
      <c r="D459">
        <v>1204</v>
      </c>
      <c r="E459">
        <v>14</v>
      </c>
      <c r="F459">
        <v>2010</v>
      </c>
      <c r="G459" t="s">
        <v>8</v>
      </c>
      <c r="I459" t="str">
        <v/>
      </c>
    </row>
    <row r="460" spans="1:9" hidden="1" x14ac:dyDescent="0.25">
      <c r="A460" t="s">
        <v>512</v>
      </c>
      <c r="B460" t="s">
        <v>331</v>
      </c>
      <c r="C460">
        <v>4.8</v>
      </c>
      <c r="D460">
        <v>2091</v>
      </c>
      <c r="E460">
        <v>12</v>
      </c>
      <c r="F460">
        <v>2012</v>
      </c>
      <c r="G460" t="s">
        <v>10</v>
      </c>
      <c r="I460" t="str">
        <v/>
      </c>
    </row>
    <row r="461" spans="1:9" hidden="1" x14ac:dyDescent="0.25">
      <c r="A461" t="s">
        <v>513</v>
      </c>
      <c r="B461" t="s">
        <v>514</v>
      </c>
      <c r="C461">
        <v>4.5999999999999996</v>
      </c>
      <c r="D461">
        <v>19720</v>
      </c>
      <c r="E461">
        <v>8</v>
      </c>
      <c r="F461">
        <v>2009</v>
      </c>
      <c r="G461" t="s">
        <v>10</v>
      </c>
      <c r="I461" t="str">
        <v/>
      </c>
    </row>
    <row r="462" spans="1:9" hidden="1" x14ac:dyDescent="0.25">
      <c r="A462" t="s">
        <v>513</v>
      </c>
      <c r="B462" t="s">
        <v>514</v>
      </c>
      <c r="C462">
        <v>4.5999999999999996</v>
      </c>
      <c r="D462">
        <v>19720</v>
      </c>
      <c r="E462">
        <v>8</v>
      </c>
      <c r="F462">
        <v>2017</v>
      </c>
      <c r="G462" t="s">
        <v>10</v>
      </c>
      <c r="I462" t="str">
        <v/>
      </c>
    </row>
    <row r="463" spans="1:9" hidden="1" x14ac:dyDescent="0.25">
      <c r="A463" t="s">
        <v>515</v>
      </c>
      <c r="B463" t="s">
        <v>73</v>
      </c>
      <c r="C463">
        <v>4.5999999999999996</v>
      </c>
      <c r="D463">
        <v>2122</v>
      </c>
      <c r="E463">
        <v>0</v>
      </c>
      <c r="F463">
        <v>2010</v>
      </c>
      <c r="G463" t="s">
        <v>10</v>
      </c>
      <c r="I463" t="str">
        <v/>
      </c>
    </row>
    <row r="464" spans="1:9" hidden="1" x14ac:dyDescent="0.25">
      <c r="A464" t="s">
        <v>516</v>
      </c>
      <c r="B464" t="s">
        <v>517</v>
      </c>
      <c r="C464">
        <v>4.5</v>
      </c>
      <c r="D464">
        <v>27536</v>
      </c>
      <c r="E464">
        <v>14</v>
      </c>
      <c r="F464">
        <v>2019</v>
      </c>
      <c r="G464" t="s">
        <v>10</v>
      </c>
      <c r="I464" t="str">
        <v/>
      </c>
    </row>
    <row r="465" spans="1:9" hidden="1" x14ac:dyDescent="0.25">
      <c r="A465" t="s">
        <v>518</v>
      </c>
      <c r="B465" t="s">
        <v>331</v>
      </c>
      <c r="C465">
        <v>4.8</v>
      </c>
      <c r="D465">
        <v>4290</v>
      </c>
      <c r="E465">
        <v>10</v>
      </c>
      <c r="F465">
        <v>2011</v>
      </c>
      <c r="G465" t="s">
        <v>10</v>
      </c>
      <c r="I465" t="str">
        <v/>
      </c>
    </row>
    <row r="466" spans="1:9" hidden="1" x14ac:dyDescent="0.25">
      <c r="A466" t="s">
        <v>519</v>
      </c>
      <c r="B466" t="s">
        <v>520</v>
      </c>
      <c r="C466">
        <v>4.5999999999999996</v>
      </c>
      <c r="D466">
        <v>26490</v>
      </c>
      <c r="E466">
        <v>15</v>
      </c>
      <c r="F466">
        <v>2017</v>
      </c>
      <c r="G466" t="s">
        <v>8</v>
      </c>
      <c r="I466" t="str">
        <v/>
      </c>
    </row>
    <row r="467" spans="1:9" hidden="1" x14ac:dyDescent="0.25">
      <c r="A467" t="s">
        <v>519</v>
      </c>
      <c r="B467" t="s">
        <v>520</v>
      </c>
      <c r="C467">
        <v>4.5999999999999996</v>
      </c>
      <c r="D467">
        <v>26490</v>
      </c>
      <c r="E467">
        <v>15</v>
      </c>
      <c r="F467">
        <v>2018</v>
      </c>
      <c r="G467" t="s">
        <v>8</v>
      </c>
      <c r="I467" t="str">
        <v/>
      </c>
    </row>
    <row r="468" spans="1:9" hidden="1" x14ac:dyDescent="0.25">
      <c r="A468" t="s">
        <v>519</v>
      </c>
      <c r="B468" t="s">
        <v>520</v>
      </c>
      <c r="C468">
        <v>4.5999999999999996</v>
      </c>
      <c r="D468">
        <v>26490</v>
      </c>
      <c r="E468">
        <v>15</v>
      </c>
      <c r="F468">
        <v>2019</v>
      </c>
      <c r="G468" t="s">
        <v>8</v>
      </c>
      <c r="I468" t="str">
        <v/>
      </c>
    </row>
    <row r="469" spans="1:9" hidden="1" x14ac:dyDescent="0.25">
      <c r="A469" t="s">
        <v>521</v>
      </c>
      <c r="B469" t="s">
        <v>299</v>
      </c>
      <c r="C469">
        <v>4.7</v>
      </c>
      <c r="D469">
        <v>5487</v>
      </c>
      <c r="E469">
        <v>9</v>
      </c>
      <c r="F469">
        <v>2017</v>
      </c>
      <c r="G469" t="s">
        <v>8</v>
      </c>
      <c r="I469" t="str">
        <v/>
      </c>
    </row>
    <row r="470" spans="1:9" hidden="1" x14ac:dyDescent="0.25">
      <c r="A470" t="s">
        <v>522</v>
      </c>
      <c r="B470" t="s">
        <v>78</v>
      </c>
      <c r="C470">
        <v>4.7</v>
      </c>
      <c r="D470">
        <v>6377</v>
      </c>
      <c r="E470">
        <v>7</v>
      </c>
      <c r="F470">
        <v>2012</v>
      </c>
      <c r="G470" t="s">
        <v>10</v>
      </c>
      <c r="I470" t="str">
        <v/>
      </c>
    </row>
    <row r="471" spans="1:9" hidden="1" x14ac:dyDescent="0.25">
      <c r="A471" t="s">
        <v>523</v>
      </c>
      <c r="B471" t="s">
        <v>331</v>
      </c>
      <c r="C471">
        <v>4.7</v>
      </c>
      <c r="D471">
        <v>1463</v>
      </c>
      <c r="E471">
        <v>10</v>
      </c>
      <c r="F471">
        <v>2011</v>
      </c>
      <c r="G471" t="s">
        <v>10</v>
      </c>
      <c r="I471" t="str">
        <v/>
      </c>
    </row>
    <row r="472" spans="1:9" hidden="1" x14ac:dyDescent="0.25">
      <c r="A472" t="s">
        <v>524</v>
      </c>
      <c r="B472" t="s">
        <v>525</v>
      </c>
      <c r="C472">
        <v>4.4000000000000004</v>
      </c>
      <c r="D472">
        <v>3759</v>
      </c>
      <c r="E472">
        <v>6</v>
      </c>
      <c r="F472">
        <v>2009</v>
      </c>
      <c r="G472" t="s">
        <v>10</v>
      </c>
      <c r="I472" t="str">
        <v/>
      </c>
    </row>
    <row r="473" spans="1:9" hidden="1" x14ac:dyDescent="0.25">
      <c r="A473" t="s">
        <v>526</v>
      </c>
      <c r="B473" t="s">
        <v>101</v>
      </c>
      <c r="C473">
        <v>4.4000000000000004</v>
      </c>
      <c r="D473">
        <v>3503</v>
      </c>
      <c r="E473">
        <v>9</v>
      </c>
      <c r="F473">
        <v>2009</v>
      </c>
      <c r="G473" t="s">
        <v>8</v>
      </c>
      <c r="I473" t="str">
        <v/>
      </c>
    </row>
    <row r="474" spans="1:9" hidden="1" x14ac:dyDescent="0.25">
      <c r="A474" t="s">
        <v>527</v>
      </c>
      <c r="B474" t="s">
        <v>528</v>
      </c>
      <c r="C474">
        <v>4.7</v>
      </c>
      <c r="D474">
        <v>11550</v>
      </c>
      <c r="E474">
        <v>10</v>
      </c>
      <c r="F474">
        <v>2019</v>
      </c>
      <c r="G474" t="s">
        <v>8</v>
      </c>
      <c r="I474" t="str">
        <v/>
      </c>
    </row>
    <row r="475" spans="1:9" hidden="1" x14ac:dyDescent="0.25">
      <c r="A475" t="s">
        <v>529</v>
      </c>
      <c r="B475" t="s">
        <v>73</v>
      </c>
      <c r="C475">
        <v>4.7</v>
      </c>
      <c r="D475">
        <v>3801</v>
      </c>
      <c r="E475">
        <v>82</v>
      </c>
      <c r="F475">
        <v>2009</v>
      </c>
      <c r="G475" t="s">
        <v>10</v>
      </c>
      <c r="I475" t="str">
        <v/>
      </c>
    </row>
    <row r="476" spans="1:9" hidden="1" x14ac:dyDescent="0.25">
      <c r="A476" t="s">
        <v>530</v>
      </c>
      <c r="B476" t="s">
        <v>78</v>
      </c>
      <c r="C476">
        <v>4.8</v>
      </c>
      <c r="D476">
        <v>3796</v>
      </c>
      <c r="E476">
        <v>12</v>
      </c>
      <c r="F476">
        <v>2010</v>
      </c>
      <c r="G476" t="s">
        <v>10</v>
      </c>
      <c r="I476" t="str">
        <v/>
      </c>
    </row>
    <row r="477" spans="1:9" hidden="1" x14ac:dyDescent="0.25">
      <c r="A477" t="s">
        <v>531</v>
      </c>
      <c r="B477" t="s">
        <v>532</v>
      </c>
      <c r="C477">
        <v>4.7</v>
      </c>
      <c r="D477">
        <v>9030</v>
      </c>
      <c r="E477">
        <v>10</v>
      </c>
      <c r="F477">
        <v>2019</v>
      </c>
      <c r="G477" t="s">
        <v>8</v>
      </c>
      <c r="I477" t="str">
        <v/>
      </c>
    </row>
    <row r="478" spans="1:9" hidden="1" x14ac:dyDescent="0.25">
      <c r="A478" t="s">
        <v>533</v>
      </c>
      <c r="B478" t="s">
        <v>534</v>
      </c>
      <c r="C478">
        <v>4.9000000000000004</v>
      </c>
      <c r="D478">
        <v>19546</v>
      </c>
      <c r="E478">
        <v>5</v>
      </c>
      <c r="F478">
        <v>2013</v>
      </c>
      <c r="G478" t="s">
        <v>10</v>
      </c>
      <c r="I478" t="str">
        <v/>
      </c>
    </row>
    <row r="479" spans="1:9" hidden="1" x14ac:dyDescent="0.25">
      <c r="A479" t="s">
        <v>533</v>
      </c>
      <c r="B479" t="s">
        <v>534</v>
      </c>
      <c r="C479">
        <v>4.9000000000000004</v>
      </c>
      <c r="D479">
        <v>19546</v>
      </c>
      <c r="E479">
        <v>5</v>
      </c>
      <c r="F479">
        <v>2014</v>
      </c>
      <c r="G479" t="s">
        <v>10</v>
      </c>
      <c r="I479" t="str">
        <v/>
      </c>
    </row>
    <row r="480" spans="1:9" hidden="1" x14ac:dyDescent="0.25">
      <c r="A480" t="s">
        <v>533</v>
      </c>
      <c r="B480" t="s">
        <v>534</v>
      </c>
      <c r="C480">
        <v>4.9000000000000004</v>
      </c>
      <c r="D480">
        <v>19546</v>
      </c>
      <c r="E480">
        <v>5</v>
      </c>
      <c r="F480">
        <v>2015</v>
      </c>
      <c r="G480" t="s">
        <v>10</v>
      </c>
      <c r="I480" t="str">
        <v/>
      </c>
    </row>
    <row r="481" spans="1:9" hidden="1" x14ac:dyDescent="0.25">
      <c r="A481" t="s">
        <v>533</v>
      </c>
      <c r="B481" t="s">
        <v>534</v>
      </c>
      <c r="C481">
        <v>4.9000000000000004</v>
      </c>
      <c r="D481">
        <v>19546</v>
      </c>
      <c r="E481">
        <v>5</v>
      </c>
      <c r="F481">
        <v>2016</v>
      </c>
      <c r="G481" t="s">
        <v>10</v>
      </c>
      <c r="I481" t="str">
        <v/>
      </c>
    </row>
    <row r="482" spans="1:9" hidden="1" x14ac:dyDescent="0.25">
      <c r="A482" t="s">
        <v>533</v>
      </c>
      <c r="B482" t="s">
        <v>534</v>
      </c>
      <c r="C482">
        <v>4.9000000000000004</v>
      </c>
      <c r="D482">
        <v>19546</v>
      </c>
      <c r="E482">
        <v>5</v>
      </c>
      <c r="F482">
        <v>2017</v>
      </c>
      <c r="G482" t="s">
        <v>10</v>
      </c>
      <c r="I482" t="str">
        <v/>
      </c>
    </row>
    <row r="483" spans="1:9" hidden="1" x14ac:dyDescent="0.25">
      <c r="A483" t="s">
        <v>533</v>
      </c>
      <c r="B483" t="s">
        <v>534</v>
      </c>
      <c r="C483">
        <v>4.9000000000000004</v>
      </c>
      <c r="D483">
        <v>19546</v>
      </c>
      <c r="E483">
        <v>5</v>
      </c>
      <c r="F483">
        <v>2018</v>
      </c>
      <c r="G483" t="s">
        <v>10</v>
      </c>
      <c r="I483" t="str">
        <v/>
      </c>
    </row>
    <row r="484" spans="1:9" hidden="1" x14ac:dyDescent="0.25">
      <c r="A484" t="s">
        <v>533</v>
      </c>
      <c r="B484" t="s">
        <v>534</v>
      </c>
      <c r="C484">
        <v>4.9000000000000004</v>
      </c>
      <c r="D484">
        <v>19546</v>
      </c>
      <c r="E484">
        <v>5</v>
      </c>
      <c r="F484">
        <v>2019</v>
      </c>
      <c r="G484" t="s">
        <v>10</v>
      </c>
      <c r="I484" t="str">
        <v/>
      </c>
    </row>
    <row r="485" spans="1:9" hidden="1" x14ac:dyDescent="0.25">
      <c r="A485" t="s">
        <v>535</v>
      </c>
      <c r="B485" t="s">
        <v>536</v>
      </c>
      <c r="C485">
        <v>4.5999999999999996</v>
      </c>
      <c r="D485">
        <v>7508</v>
      </c>
      <c r="E485">
        <v>16</v>
      </c>
      <c r="F485">
        <v>2015</v>
      </c>
      <c r="G485" t="s">
        <v>8</v>
      </c>
      <c r="I485" t="str">
        <v/>
      </c>
    </row>
    <row r="486" spans="1:9" hidden="1" x14ac:dyDescent="0.25">
      <c r="A486" t="s">
        <v>535</v>
      </c>
      <c r="B486" t="s">
        <v>536</v>
      </c>
      <c r="C486">
        <v>4.5999999999999996</v>
      </c>
      <c r="D486">
        <v>7508</v>
      </c>
      <c r="E486">
        <v>16</v>
      </c>
      <c r="F486">
        <v>2016</v>
      </c>
      <c r="G486" t="s">
        <v>8</v>
      </c>
      <c r="I486" t="str">
        <v/>
      </c>
    </row>
    <row r="487" spans="1:9" hidden="1" x14ac:dyDescent="0.25">
      <c r="A487" t="s">
        <v>535</v>
      </c>
      <c r="B487" t="s">
        <v>536</v>
      </c>
      <c r="C487">
        <v>4.5999999999999996</v>
      </c>
      <c r="D487">
        <v>7508</v>
      </c>
      <c r="E487">
        <v>16</v>
      </c>
      <c r="F487">
        <v>2017</v>
      </c>
      <c r="G487" t="s">
        <v>8</v>
      </c>
      <c r="I487" t="str">
        <v/>
      </c>
    </row>
    <row r="488" spans="1:9" hidden="1" x14ac:dyDescent="0.25">
      <c r="A488" t="s">
        <v>537</v>
      </c>
      <c r="B488" t="s">
        <v>538</v>
      </c>
      <c r="C488">
        <v>4.9000000000000004</v>
      </c>
      <c r="D488">
        <v>8842</v>
      </c>
      <c r="E488">
        <v>10</v>
      </c>
      <c r="F488">
        <v>2016</v>
      </c>
      <c r="G488" t="s">
        <v>10</v>
      </c>
      <c r="I488" t="str">
        <v/>
      </c>
    </row>
    <row r="489" spans="1:9" hidden="1" x14ac:dyDescent="0.25">
      <c r="A489" t="s">
        <v>537</v>
      </c>
      <c r="B489" t="s">
        <v>538</v>
      </c>
      <c r="C489">
        <v>4.9000000000000004</v>
      </c>
      <c r="D489">
        <v>8842</v>
      </c>
      <c r="E489">
        <v>10</v>
      </c>
      <c r="F489">
        <v>2017</v>
      </c>
      <c r="G489" t="s">
        <v>10</v>
      </c>
      <c r="I489" t="str">
        <v/>
      </c>
    </row>
    <row r="490" spans="1:9" hidden="1" x14ac:dyDescent="0.25">
      <c r="A490" t="s">
        <v>537</v>
      </c>
      <c r="B490" t="s">
        <v>538</v>
      </c>
      <c r="C490">
        <v>4.9000000000000004</v>
      </c>
      <c r="D490">
        <v>8842</v>
      </c>
      <c r="E490">
        <v>10</v>
      </c>
      <c r="F490">
        <v>2018</v>
      </c>
      <c r="G490" t="s">
        <v>10</v>
      </c>
      <c r="I490" t="str">
        <v/>
      </c>
    </row>
    <row r="491" spans="1:9" hidden="1" x14ac:dyDescent="0.25">
      <c r="A491" t="s">
        <v>537</v>
      </c>
      <c r="B491" t="s">
        <v>538</v>
      </c>
      <c r="C491">
        <v>4.9000000000000004</v>
      </c>
      <c r="D491">
        <v>8842</v>
      </c>
      <c r="E491">
        <v>10</v>
      </c>
      <c r="F491">
        <v>2019</v>
      </c>
      <c r="G491" t="s">
        <v>10</v>
      </c>
      <c r="I491" t="str">
        <v/>
      </c>
    </row>
    <row r="492" spans="1:9" hidden="1" x14ac:dyDescent="0.25">
      <c r="A492" t="s">
        <v>539</v>
      </c>
      <c r="B492" t="s">
        <v>540</v>
      </c>
      <c r="C492">
        <v>4.8</v>
      </c>
      <c r="D492">
        <v>30183</v>
      </c>
      <c r="E492">
        <v>4</v>
      </c>
      <c r="F492">
        <v>2018</v>
      </c>
      <c r="G492" t="s">
        <v>10</v>
      </c>
      <c r="I492" t="str">
        <v/>
      </c>
    </row>
    <row r="493" spans="1:9" hidden="1" x14ac:dyDescent="0.25">
      <c r="A493" t="s">
        <v>539</v>
      </c>
      <c r="B493" t="s">
        <v>540</v>
      </c>
      <c r="C493">
        <v>4.8</v>
      </c>
      <c r="D493">
        <v>30183</v>
      </c>
      <c r="E493">
        <v>4</v>
      </c>
      <c r="F493">
        <v>2019</v>
      </c>
      <c r="G493" t="s">
        <v>10</v>
      </c>
      <c r="I493" t="str">
        <v/>
      </c>
    </row>
    <row r="494" spans="1:9" hidden="1" x14ac:dyDescent="0.25">
      <c r="A494" t="s">
        <v>541</v>
      </c>
      <c r="B494" t="s">
        <v>542</v>
      </c>
      <c r="C494">
        <v>4.7</v>
      </c>
      <c r="D494">
        <v>6169</v>
      </c>
      <c r="E494">
        <v>16</v>
      </c>
      <c r="F494">
        <v>2015</v>
      </c>
      <c r="G494" t="s">
        <v>8</v>
      </c>
      <c r="I494" t="str">
        <v/>
      </c>
    </row>
    <row r="495" spans="1:9" hidden="1" x14ac:dyDescent="0.25">
      <c r="A495" t="s">
        <v>543</v>
      </c>
      <c r="B495" t="s">
        <v>544</v>
      </c>
      <c r="C495">
        <v>4.7</v>
      </c>
      <c r="D495">
        <v>7034</v>
      </c>
      <c r="E495">
        <v>15</v>
      </c>
      <c r="F495">
        <v>2013</v>
      </c>
      <c r="G495" t="s">
        <v>8</v>
      </c>
      <c r="I495" t="str">
        <v/>
      </c>
    </row>
    <row r="496" spans="1:9" hidden="1" x14ac:dyDescent="0.25">
      <c r="A496" t="s">
        <v>545</v>
      </c>
      <c r="B496" t="s">
        <v>546</v>
      </c>
      <c r="C496">
        <v>4.5999999999999996</v>
      </c>
      <c r="D496">
        <v>11034</v>
      </c>
      <c r="E496">
        <v>19</v>
      </c>
      <c r="F496">
        <v>2011</v>
      </c>
      <c r="G496" t="s">
        <v>8</v>
      </c>
      <c r="I496" t="str">
        <v/>
      </c>
    </row>
    <row r="497" spans="1:9" hidden="1" x14ac:dyDescent="0.25">
      <c r="A497" t="s">
        <v>545</v>
      </c>
      <c r="B497" t="s">
        <v>546</v>
      </c>
      <c r="C497">
        <v>4.5999999999999996</v>
      </c>
      <c r="D497">
        <v>11034</v>
      </c>
      <c r="E497">
        <v>19</v>
      </c>
      <c r="F497">
        <v>2012</v>
      </c>
      <c r="G497" t="s">
        <v>8</v>
      </c>
      <c r="I497" t="str">
        <v/>
      </c>
    </row>
    <row r="498" spans="1:9" hidden="1" x14ac:dyDescent="0.25">
      <c r="A498" t="s">
        <v>547</v>
      </c>
      <c r="B498" t="s">
        <v>548</v>
      </c>
      <c r="C498">
        <v>4.5</v>
      </c>
      <c r="D498">
        <v>7932</v>
      </c>
      <c r="E498">
        <v>9</v>
      </c>
      <c r="F498">
        <v>2017</v>
      </c>
      <c r="G498" t="s">
        <v>10</v>
      </c>
      <c r="I498" t="str">
        <v/>
      </c>
    </row>
    <row r="499" spans="1:9" hidden="1" x14ac:dyDescent="0.25">
      <c r="A499" t="s">
        <v>549</v>
      </c>
      <c r="B499" t="s">
        <v>550</v>
      </c>
      <c r="C499">
        <v>4.5</v>
      </c>
      <c r="D499">
        <v>1904</v>
      </c>
      <c r="E499">
        <v>23</v>
      </c>
      <c r="F499">
        <v>2012</v>
      </c>
      <c r="G499" t="s">
        <v>8</v>
      </c>
      <c r="I499" t="str">
        <v/>
      </c>
    </row>
    <row r="500" spans="1:9" hidden="1" x14ac:dyDescent="0.25">
      <c r="A500" t="s">
        <v>551</v>
      </c>
      <c r="B500" t="s">
        <v>552</v>
      </c>
      <c r="C500">
        <v>4.3</v>
      </c>
      <c r="D500">
        <v>3319</v>
      </c>
      <c r="E500">
        <v>11</v>
      </c>
      <c r="F500">
        <v>2009</v>
      </c>
      <c r="G500" t="s">
        <v>8</v>
      </c>
      <c r="I500" t="str">
        <v/>
      </c>
    </row>
    <row r="501" spans="1:9" hidden="1" x14ac:dyDescent="0.25">
      <c r="A501" t="s">
        <v>551</v>
      </c>
      <c r="B501" t="s">
        <v>552</v>
      </c>
      <c r="C501">
        <v>4.3</v>
      </c>
      <c r="D501">
        <v>3319</v>
      </c>
      <c r="E501">
        <v>11</v>
      </c>
      <c r="F501">
        <v>2010</v>
      </c>
      <c r="G501" t="s">
        <v>8</v>
      </c>
      <c r="I501" t="str">
        <v/>
      </c>
    </row>
    <row r="502" spans="1:9" hidden="1" x14ac:dyDescent="0.25">
      <c r="A502" t="s">
        <v>553</v>
      </c>
      <c r="B502" t="s">
        <v>554</v>
      </c>
      <c r="C502">
        <v>4.5999999999999996</v>
      </c>
      <c r="D502">
        <v>11128</v>
      </c>
      <c r="E502">
        <v>23</v>
      </c>
      <c r="F502">
        <v>2014</v>
      </c>
      <c r="G502" t="s">
        <v>8</v>
      </c>
      <c r="I502" t="str">
        <v/>
      </c>
    </row>
    <row r="503" spans="1:9" hidden="1" x14ac:dyDescent="0.25">
      <c r="A503" t="s">
        <v>553</v>
      </c>
      <c r="B503" t="s">
        <v>554</v>
      </c>
      <c r="C503">
        <v>4.5999999999999996</v>
      </c>
      <c r="D503">
        <v>11128</v>
      </c>
      <c r="E503">
        <v>23</v>
      </c>
      <c r="F503">
        <v>2015</v>
      </c>
      <c r="G503" t="s">
        <v>8</v>
      </c>
      <c r="I503" t="str">
        <v/>
      </c>
    </row>
    <row r="504" spans="1:9" hidden="1" x14ac:dyDescent="0.25">
      <c r="A504" t="s">
        <v>553</v>
      </c>
      <c r="B504" t="s">
        <v>554</v>
      </c>
      <c r="C504">
        <v>4.5999999999999996</v>
      </c>
      <c r="D504">
        <v>11128</v>
      </c>
      <c r="E504">
        <v>23</v>
      </c>
      <c r="F504">
        <v>2016</v>
      </c>
      <c r="G504" t="s">
        <v>8</v>
      </c>
      <c r="I504" t="str">
        <v/>
      </c>
    </row>
    <row r="505" spans="1:9" hidden="1" x14ac:dyDescent="0.25">
      <c r="A505" t="s">
        <v>553</v>
      </c>
      <c r="B505" t="s">
        <v>554</v>
      </c>
      <c r="C505">
        <v>4.5999999999999996</v>
      </c>
      <c r="D505">
        <v>11128</v>
      </c>
      <c r="E505">
        <v>23</v>
      </c>
      <c r="F505">
        <v>2017</v>
      </c>
      <c r="G505" t="s">
        <v>8</v>
      </c>
      <c r="I505" t="str">
        <v/>
      </c>
    </row>
    <row r="506" spans="1:9" hidden="1" x14ac:dyDescent="0.25">
      <c r="A506" t="s">
        <v>555</v>
      </c>
      <c r="B506" t="s">
        <v>556</v>
      </c>
      <c r="C506">
        <v>4.3</v>
      </c>
      <c r="D506">
        <v>5977</v>
      </c>
      <c r="E506">
        <v>12</v>
      </c>
      <c r="F506">
        <v>2011</v>
      </c>
      <c r="G506" t="s">
        <v>8</v>
      </c>
      <c r="I506" t="str">
        <v/>
      </c>
    </row>
    <row r="507" spans="1:9" hidden="1" x14ac:dyDescent="0.25">
      <c r="A507" t="s">
        <v>557</v>
      </c>
      <c r="B507" t="s">
        <v>182</v>
      </c>
      <c r="C507">
        <v>4.8</v>
      </c>
      <c r="D507">
        <v>26234</v>
      </c>
      <c r="E507">
        <v>0</v>
      </c>
      <c r="F507">
        <v>2013</v>
      </c>
      <c r="G507" t="s">
        <v>10</v>
      </c>
      <c r="I507" t="str">
        <v/>
      </c>
    </row>
    <row r="508" spans="1:9" hidden="1" x14ac:dyDescent="0.25">
      <c r="A508" t="s">
        <v>557</v>
      </c>
      <c r="B508" t="s">
        <v>182</v>
      </c>
      <c r="C508">
        <v>4.8</v>
      </c>
      <c r="D508">
        <v>26234</v>
      </c>
      <c r="E508">
        <v>0</v>
      </c>
      <c r="F508">
        <v>2014</v>
      </c>
      <c r="G508" t="s">
        <v>10</v>
      </c>
      <c r="I508" t="str">
        <v/>
      </c>
    </row>
    <row r="509" spans="1:9" hidden="1" x14ac:dyDescent="0.25">
      <c r="A509" t="s">
        <v>557</v>
      </c>
      <c r="B509" t="s">
        <v>182</v>
      </c>
      <c r="C509">
        <v>4.8</v>
      </c>
      <c r="D509">
        <v>26234</v>
      </c>
      <c r="E509">
        <v>0</v>
      </c>
      <c r="F509">
        <v>2015</v>
      </c>
      <c r="G509" t="s">
        <v>10</v>
      </c>
      <c r="I509" t="str">
        <v/>
      </c>
    </row>
    <row r="510" spans="1:9" hidden="1" x14ac:dyDescent="0.25">
      <c r="A510" t="s">
        <v>557</v>
      </c>
      <c r="B510" t="s">
        <v>182</v>
      </c>
      <c r="C510">
        <v>4.8</v>
      </c>
      <c r="D510">
        <v>26234</v>
      </c>
      <c r="E510">
        <v>0</v>
      </c>
      <c r="F510">
        <v>2016</v>
      </c>
      <c r="G510" t="s">
        <v>10</v>
      </c>
      <c r="I510" t="str">
        <v/>
      </c>
    </row>
    <row r="511" spans="1:9" hidden="1" x14ac:dyDescent="0.25">
      <c r="A511" t="s">
        <v>557</v>
      </c>
      <c r="B511" t="s">
        <v>182</v>
      </c>
      <c r="C511">
        <v>4.8</v>
      </c>
      <c r="D511">
        <v>26234</v>
      </c>
      <c r="E511">
        <v>7</v>
      </c>
      <c r="F511">
        <v>2019</v>
      </c>
      <c r="G511" t="s">
        <v>10</v>
      </c>
      <c r="I511" t="str">
        <v/>
      </c>
    </row>
    <row r="512" spans="1:9" hidden="1" x14ac:dyDescent="0.25">
      <c r="A512" t="s">
        <v>558</v>
      </c>
      <c r="B512" t="s">
        <v>381</v>
      </c>
      <c r="C512">
        <v>4.5999999999999996</v>
      </c>
      <c r="D512">
        <v>4360</v>
      </c>
      <c r="E512">
        <v>21</v>
      </c>
      <c r="F512">
        <v>2017</v>
      </c>
      <c r="G512" t="s">
        <v>8</v>
      </c>
      <c r="I512" t="str">
        <v/>
      </c>
    </row>
    <row r="513" spans="1:9" hidden="1" x14ac:dyDescent="0.25">
      <c r="A513" t="s">
        <v>559</v>
      </c>
      <c r="B513" t="s">
        <v>560</v>
      </c>
      <c r="C513">
        <v>4.8</v>
      </c>
      <c r="D513">
        <v>2282</v>
      </c>
      <c r="E513">
        <v>21</v>
      </c>
      <c r="F513">
        <v>2010</v>
      </c>
      <c r="G513" t="s">
        <v>10</v>
      </c>
      <c r="I513" t="str">
        <v/>
      </c>
    </row>
    <row r="514" spans="1:9" hidden="1" x14ac:dyDescent="0.25">
      <c r="A514" t="s">
        <v>561</v>
      </c>
      <c r="B514" t="s">
        <v>562</v>
      </c>
      <c r="C514">
        <v>4.5</v>
      </c>
      <c r="D514">
        <v>438</v>
      </c>
      <c r="E514">
        <v>15</v>
      </c>
      <c r="F514">
        <v>2009</v>
      </c>
      <c r="G514" t="s">
        <v>8</v>
      </c>
      <c r="I514" t="str">
        <v/>
      </c>
    </row>
    <row r="515" spans="1:9" hidden="1" x14ac:dyDescent="0.25">
      <c r="A515" t="s">
        <v>563</v>
      </c>
      <c r="B515" t="s">
        <v>73</v>
      </c>
      <c r="C515">
        <v>4.7</v>
      </c>
      <c r="D515">
        <v>11676</v>
      </c>
      <c r="E515">
        <v>9</v>
      </c>
      <c r="F515">
        <v>2009</v>
      </c>
      <c r="G515" t="s">
        <v>10</v>
      </c>
      <c r="I515" t="str">
        <v/>
      </c>
    </row>
    <row r="516" spans="1:9" hidden="1" x14ac:dyDescent="0.25">
      <c r="A516" t="s">
        <v>564</v>
      </c>
      <c r="B516" t="s">
        <v>58</v>
      </c>
      <c r="C516">
        <v>4.5</v>
      </c>
      <c r="D516">
        <v>2586</v>
      </c>
      <c r="E516">
        <v>5</v>
      </c>
      <c r="F516">
        <v>2014</v>
      </c>
      <c r="G516" t="s">
        <v>10</v>
      </c>
      <c r="I516" t="str">
        <v/>
      </c>
    </row>
    <row r="517" spans="1:9" hidden="1" x14ac:dyDescent="0.25">
      <c r="A517" t="s">
        <v>565</v>
      </c>
      <c r="B517" t="s">
        <v>566</v>
      </c>
      <c r="C517">
        <v>4.8</v>
      </c>
      <c r="D517">
        <v>29673</v>
      </c>
      <c r="E517">
        <v>16</v>
      </c>
      <c r="F517">
        <v>2010</v>
      </c>
      <c r="G517" t="s">
        <v>8</v>
      </c>
      <c r="I517" t="str">
        <v/>
      </c>
    </row>
    <row r="518" spans="1:9" hidden="1" x14ac:dyDescent="0.25">
      <c r="A518" t="s">
        <v>565</v>
      </c>
      <c r="B518" t="s">
        <v>566</v>
      </c>
      <c r="C518">
        <v>4.8</v>
      </c>
      <c r="D518">
        <v>29673</v>
      </c>
      <c r="E518">
        <v>16</v>
      </c>
      <c r="F518">
        <v>2011</v>
      </c>
      <c r="G518" t="s">
        <v>8</v>
      </c>
      <c r="I518" t="str">
        <v/>
      </c>
    </row>
    <row r="519" spans="1:9" hidden="1" x14ac:dyDescent="0.25">
      <c r="A519" t="s">
        <v>565</v>
      </c>
      <c r="B519" t="s">
        <v>566</v>
      </c>
      <c r="C519">
        <v>4.8</v>
      </c>
      <c r="D519">
        <v>29673</v>
      </c>
      <c r="E519">
        <v>16</v>
      </c>
      <c r="F519">
        <v>2012</v>
      </c>
      <c r="G519" t="s">
        <v>8</v>
      </c>
      <c r="I519" t="str">
        <v/>
      </c>
    </row>
    <row r="520" spans="1:9" hidden="1" x14ac:dyDescent="0.25">
      <c r="A520" t="s">
        <v>565</v>
      </c>
      <c r="B520" t="s">
        <v>566</v>
      </c>
      <c r="C520">
        <v>4.8</v>
      </c>
      <c r="D520">
        <v>29673</v>
      </c>
      <c r="E520">
        <v>13</v>
      </c>
      <c r="F520">
        <v>2014</v>
      </c>
      <c r="G520" t="s">
        <v>8</v>
      </c>
      <c r="I520" t="str">
        <v/>
      </c>
    </row>
    <row r="521" spans="1:9" hidden="1" x14ac:dyDescent="0.25">
      <c r="A521" t="s">
        <v>565</v>
      </c>
      <c r="B521" t="s">
        <v>566</v>
      </c>
      <c r="C521">
        <v>4.8</v>
      </c>
      <c r="D521">
        <v>29673</v>
      </c>
      <c r="E521">
        <v>16</v>
      </c>
      <c r="F521">
        <v>2014</v>
      </c>
      <c r="G521" t="s">
        <v>8</v>
      </c>
      <c r="I521" t="str">
        <v/>
      </c>
    </row>
    <row r="522" spans="1:9" hidden="1" x14ac:dyDescent="0.25">
      <c r="A522" t="s">
        <v>567</v>
      </c>
      <c r="B522" t="s">
        <v>9</v>
      </c>
      <c r="C522">
        <v>4.3</v>
      </c>
      <c r="D522">
        <v>6740</v>
      </c>
      <c r="E522">
        <v>20</v>
      </c>
      <c r="F522">
        <v>2009</v>
      </c>
      <c r="G522" t="s">
        <v>10</v>
      </c>
      <c r="I522" t="str">
        <v/>
      </c>
    </row>
    <row r="523" spans="1:9" hidden="1" x14ac:dyDescent="0.25">
      <c r="A523" t="s">
        <v>568</v>
      </c>
      <c r="B523" t="s">
        <v>277</v>
      </c>
      <c r="C523">
        <v>4.9000000000000004</v>
      </c>
      <c r="D523">
        <v>5956</v>
      </c>
      <c r="E523">
        <v>11</v>
      </c>
      <c r="F523">
        <v>2019</v>
      </c>
      <c r="G523" t="s">
        <v>8</v>
      </c>
      <c r="I523" t="str">
        <v/>
      </c>
    </row>
    <row r="524" spans="1:9" hidden="1" x14ac:dyDescent="0.25">
      <c r="A524" t="s">
        <v>569</v>
      </c>
      <c r="B524" t="s">
        <v>570</v>
      </c>
      <c r="C524">
        <v>4.8</v>
      </c>
      <c r="D524">
        <v>6108</v>
      </c>
      <c r="E524">
        <v>4</v>
      </c>
      <c r="F524">
        <v>2019</v>
      </c>
      <c r="G524" t="s">
        <v>8</v>
      </c>
      <c r="I524" t="str">
        <v/>
      </c>
    </row>
    <row r="525" spans="1:9" hidden="1" x14ac:dyDescent="0.25">
      <c r="A525" t="s">
        <v>571</v>
      </c>
      <c r="B525" t="s">
        <v>249</v>
      </c>
      <c r="C525">
        <v>4.7</v>
      </c>
      <c r="D525">
        <v>4585</v>
      </c>
      <c r="E525">
        <v>9</v>
      </c>
      <c r="F525">
        <v>2016</v>
      </c>
      <c r="G525" t="s">
        <v>8</v>
      </c>
      <c r="I525" t="str">
        <v/>
      </c>
    </row>
    <row r="526" spans="1:9" hidden="1" x14ac:dyDescent="0.25">
      <c r="A526" t="s">
        <v>572</v>
      </c>
      <c r="B526" t="s">
        <v>573</v>
      </c>
      <c r="C526">
        <v>4.8</v>
      </c>
      <c r="D526">
        <v>3829</v>
      </c>
      <c r="E526">
        <v>42</v>
      </c>
      <c r="F526">
        <v>2009</v>
      </c>
      <c r="G526" t="s">
        <v>10</v>
      </c>
      <c r="I526" t="str">
        <v/>
      </c>
    </row>
    <row r="527" spans="1:9" hidden="1" x14ac:dyDescent="0.25">
      <c r="A527" t="s">
        <v>574</v>
      </c>
      <c r="B527" t="s">
        <v>575</v>
      </c>
      <c r="C527">
        <v>4.5</v>
      </c>
      <c r="D527">
        <v>8958</v>
      </c>
      <c r="E527">
        <v>12</v>
      </c>
      <c r="F527">
        <v>2011</v>
      </c>
      <c r="G527" t="s">
        <v>10</v>
      </c>
      <c r="I527" t="str">
        <v/>
      </c>
    </row>
    <row r="528" spans="1:9" hidden="1" x14ac:dyDescent="0.25">
      <c r="A528" t="s">
        <v>576</v>
      </c>
      <c r="B528" t="s">
        <v>577</v>
      </c>
      <c r="C528">
        <v>4.5999999999999996</v>
      </c>
      <c r="D528">
        <v>5492</v>
      </c>
      <c r="E528">
        <v>18</v>
      </c>
      <c r="F528">
        <v>2017</v>
      </c>
      <c r="G528" t="s">
        <v>8</v>
      </c>
      <c r="I528" t="str">
        <v/>
      </c>
    </row>
    <row r="529" spans="1:9" hidden="1" x14ac:dyDescent="0.25">
      <c r="A529" t="s">
        <v>578</v>
      </c>
      <c r="B529" t="s">
        <v>579</v>
      </c>
      <c r="C529">
        <v>4.7</v>
      </c>
      <c r="D529">
        <v>9292</v>
      </c>
      <c r="E529">
        <v>17</v>
      </c>
      <c r="F529">
        <v>2014</v>
      </c>
      <c r="G529" t="s">
        <v>8</v>
      </c>
      <c r="I529" t="str">
        <v/>
      </c>
    </row>
    <row r="530" spans="1:9" hidden="1" x14ac:dyDescent="0.25">
      <c r="A530" t="s">
        <v>580</v>
      </c>
      <c r="B530" t="s">
        <v>317</v>
      </c>
      <c r="C530">
        <v>4.7</v>
      </c>
      <c r="D530">
        <v>1873</v>
      </c>
      <c r="E530">
        <v>14</v>
      </c>
      <c r="F530">
        <v>2015</v>
      </c>
      <c r="G530" t="s">
        <v>10</v>
      </c>
      <c r="I530" t="str">
        <v/>
      </c>
    </row>
    <row r="531" spans="1:9" hidden="1" x14ac:dyDescent="0.25">
      <c r="A531" t="s">
        <v>581</v>
      </c>
      <c r="B531" t="s">
        <v>582</v>
      </c>
      <c r="C531">
        <v>4.8</v>
      </c>
      <c r="D531">
        <v>8170</v>
      </c>
      <c r="E531">
        <v>13</v>
      </c>
      <c r="F531">
        <v>2019</v>
      </c>
      <c r="G531" t="s">
        <v>10</v>
      </c>
      <c r="I531" t="str">
        <v/>
      </c>
    </row>
    <row r="532" spans="1:9" hidden="1" x14ac:dyDescent="0.25">
      <c r="A532" t="s">
        <v>583</v>
      </c>
      <c r="B532" t="s">
        <v>584</v>
      </c>
      <c r="C532">
        <v>4.4000000000000004</v>
      </c>
      <c r="D532">
        <v>3341</v>
      </c>
      <c r="E532">
        <v>9</v>
      </c>
      <c r="F532">
        <v>2011</v>
      </c>
      <c r="G532" t="s">
        <v>8</v>
      </c>
      <c r="I532" t="str">
        <v/>
      </c>
    </row>
    <row r="533" spans="1:9" hidden="1" x14ac:dyDescent="0.25">
      <c r="A533" t="s">
        <v>585</v>
      </c>
      <c r="B533" t="s">
        <v>586</v>
      </c>
      <c r="C533">
        <v>4.4000000000000004</v>
      </c>
      <c r="D533">
        <v>7497</v>
      </c>
      <c r="E533">
        <v>6</v>
      </c>
      <c r="F533">
        <v>2012</v>
      </c>
      <c r="G533" t="s">
        <v>8</v>
      </c>
      <c r="I533" t="str">
        <v/>
      </c>
    </row>
    <row r="534" spans="1:9" hidden="1" x14ac:dyDescent="0.25">
      <c r="A534" t="s">
        <v>585</v>
      </c>
      <c r="B534" t="s">
        <v>586</v>
      </c>
      <c r="C534">
        <v>4.4000000000000004</v>
      </c>
      <c r="D534">
        <v>7497</v>
      </c>
      <c r="E534">
        <v>6</v>
      </c>
      <c r="F534">
        <v>2013</v>
      </c>
      <c r="G534" t="s">
        <v>8</v>
      </c>
      <c r="I534" t="str">
        <v/>
      </c>
    </row>
    <row r="535" spans="1:9" hidden="1" x14ac:dyDescent="0.25">
      <c r="A535" t="s">
        <v>587</v>
      </c>
      <c r="B535" t="s">
        <v>588</v>
      </c>
      <c r="C535">
        <v>4.8</v>
      </c>
      <c r="D535">
        <v>13779</v>
      </c>
      <c r="E535">
        <v>14</v>
      </c>
      <c r="F535">
        <v>2016</v>
      </c>
      <c r="G535" t="s">
        <v>8</v>
      </c>
      <c r="I535" t="str">
        <v/>
      </c>
    </row>
    <row r="536" spans="1:9" hidden="1" x14ac:dyDescent="0.25">
      <c r="A536" t="s">
        <v>589</v>
      </c>
      <c r="B536" t="s">
        <v>590</v>
      </c>
      <c r="C536">
        <v>4.8</v>
      </c>
      <c r="D536">
        <v>87841</v>
      </c>
      <c r="E536">
        <v>15</v>
      </c>
      <c r="F536">
        <v>2019</v>
      </c>
      <c r="G536" t="s">
        <v>10</v>
      </c>
      <c r="I536" t="str">
        <v/>
      </c>
    </row>
    <row r="537" spans="1:9" hidden="1" x14ac:dyDescent="0.25">
      <c r="A537" t="s">
        <v>591</v>
      </c>
      <c r="B537" t="s">
        <v>592</v>
      </c>
      <c r="C537">
        <v>4.8</v>
      </c>
      <c r="D537">
        <v>9967</v>
      </c>
      <c r="E537">
        <v>13</v>
      </c>
      <c r="F537">
        <v>2009</v>
      </c>
      <c r="G537" t="s">
        <v>10</v>
      </c>
      <c r="I537" t="str">
        <v/>
      </c>
    </row>
    <row r="538" spans="1:9" hidden="1" x14ac:dyDescent="0.25">
      <c r="A538" t="s">
        <v>593</v>
      </c>
      <c r="B538" t="s">
        <v>594</v>
      </c>
      <c r="C538">
        <v>4.5999999999999996</v>
      </c>
      <c r="D538">
        <v>6669</v>
      </c>
      <c r="E538">
        <v>12</v>
      </c>
      <c r="F538">
        <v>2018</v>
      </c>
      <c r="G538" t="s">
        <v>8</v>
      </c>
      <c r="I538" t="str">
        <v/>
      </c>
    </row>
    <row r="539" spans="1:9" hidden="1" x14ac:dyDescent="0.25">
      <c r="A539" t="s">
        <v>595</v>
      </c>
      <c r="B539" t="s">
        <v>596</v>
      </c>
      <c r="C539">
        <v>4.4000000000000004</v>
      </c>
      <c r="D539">
        <v>17044</v>
      </c>
      <c r="E539">
        <v>18</v>
      </c>
      <c r="F539">
        <v>2012</v>
      </c>
      <c r="G539" t="s">
        <v>8</v>
      </c>
      <c r="I539" t="str">
        <v/>
      </c>
    </row>
    <row r="540" spans="1:9" hidden="1" x14ac:dyDescent="0.25">
      <c r="A540" t="s">
        <v>597</v>
      </c>
      <c r="B540" t="s">
        <v>598</v>
      </c>
      <c r="C540">
        <v>4.5</v>
      </c>
      <c r="D540">
        <v>10760</v>
      </c>
      <c r="E540">
        <v>15</v>
      </c>
      <c r="F540">
        <v>2012</v>
      </c>
      <c r="G540" t="s">
        <v>10</v>
      </c>
      <c r="I540" t="str">
        <v/>
      </c>
    </row>
    <row r="541" spans="1:9" hidden="1" x14ac:dyDescent="0.25">
      <c r="A541" t="s">
        <v>599</v>
      </c>
      <c r="B541" t="s">
        <v>600</v>
      </c>
      <c r="C541">
        <v>4.2</v>
      </c>
      <c r="D541">
        <v>1302</v>
      </c>
      <c r="E541">
        <v>11</v>
      </c>
      <c r="F541">
        <v>2010</v>
      </c>
      <c r="G541" t="s">
        <v>8</v>
      </c>
      <c r="I541" t="str">
        <v/>
      </c>
    </row>
    <row r="542" spans="1:9" hidden="1" x14ac:dyDescent="0.25">
      <c r="A542" t="s">
        <v>601</v>
      </c>
      <c r="B542" t="s">
        <v>602</v>
      </c>
      <c r="C542">
        <v>4.8</v>
      </c>
      <c r="D542">
        <v>21625</v>
      </c>
      <c r="E542">
        <v>9</v>
      </c>
      <c r="F542">
        <v>2013</v>
      </c>
      <c r="G542" t="s">
        <v>10</v>
      </c>
      <c r="I542" t="str">
        <v/>
      </c>
    </row>
    <row r="543" spans="1:9" hidden="1" x14ac:dyDescent="0.25">
      <c r="A543" t="s">
        <v>601</v>
      </c>
      <c r="B543" t="s">
        <v>602</v>
      </c>
      <c r="C543">
        <v>4.8</v>
      </c>
      <c r="D543">
        <v>21625</v>
      </c>
      <c r="E543">
        <v>9</v>
      </c>
      <c r="F543">
        <v>2014</v>
      </c>
      <c r="G543" t="s">
        <v>10</v>
      </c>
      <c r="I543" t="str">
        <v/>
      </c>
    </row>
    <row r="544" spans="1:9" hidden="1" x14ac:dyDescent="0.25">
      <c r="A544" t="s">
        <v>601</v>
      </c>
      <c r="B544" t="s">
        <v>602</v>
      </c>
      <c r="C544">
        <v>4.8</v>
      </c>
      <c r="D544">
        <v>21625</v>
      </c>
      <c r="E544">
        <v>9</v>
      </c>
      <c r="F544">
        <v>2015</v>
      </c>
      <c r="G544" t="s">
        <v>10</v>
      </c>
      <c r="I544" t="str">
        <v/>
      </c>
    </row>
    <row r="545" spans="1:9" hidden="1" x14ac:dyDescent="0.25">
      <c r="A545" t="s">
        <v>601</v>
      </c>
      <c r="B545" t="s">
        <v>602</v>
      </c>
      <c r="C545">
        <v>4.8</v>
      </c>
      <c r="D545">
        <v>21625</v>
      </c>
      <c r="E545">
        <v>9</v>
      </c>
      <c r="F545">
        <v>2016</v>
      </c>
      <c r="G545" t="s">
        <v>10</v>
      </c>
      <c r="I545" t="str">
        <v/>
      </c>
    </row>
    <row r="546" spans="1:9" hidden="1" x14ac:dyDescent="0.25">
      <c r="A546" t="s">
        <v>601</v>
      </c>
      <c r="B546" t="s">
        <v>602</v>
      </c>
      <c r="C546">
        <v>4.8</v>
      </c>
      <c r="D546">
        <v>21625</v>
      </c>
      <c r="E546">
        <v>9</v>
      </c>
      <c r="F546">
        <v>2017</v>
      </c>
      <c r="G546" t="s">
        <v>10</v>
      </c>
      <c r="I546" t="str">
        <v/>
      </c>
    </row>
    <row r="547" spans="1:9" hidden="1" x14ac:dyDescent="0.25">
      <c r="A547" t="s">
        <v>603</v>
      </c>
      <c r="B547" t="s">
        <v>78</v>
      </c>
      <c r="C547">
        <v>4.9000000000000004</v>
      </c>
      <c r="D547">
        <v>9413</v>
      </c>
      <c r="E547">
        <v>8</v>
      </c>
      <c r="F547">
        <v>2019</v>
      </c>
      <c r="G547" t="s">
        <v>10</v>
      </c>
      <c r="I547" t="str">
        <v/>
      </c>
    </row>
    <row r="548" spans="1:9" hidden="1" x14ac:dyDescent="0.25">
      <c r="A548" t="s">
        <v>604</v>
      </c>
      <c r="B548" t="s">
        <v>605</v>
      </c>
      <c r="C548">
        <v>4.7</v>
      </c>
      <c r="D548">
        <v>14331</v>
      </c>
      <c r="E548">
        <v>8</v>
      </c>
      <c r="F548">
        <v>2016</v>
      </c>
      <c r="G548" t="s">
        <v>8</v>
      </c>
      <c r="I548" t="str">
        <v/>
      </c>
    </row>
    <row r="549" spans="1:9" hidden="1" x14ac:dyDescent="0.25">
      <c r="A549" t="s">
        <v>604</v>
      </c>
      <c r="B549" t="s">
        <v>605</v>
      </c>
      <c r="C549">
        <v>4.7</v>
      </c>
      <c r="D549">
        <v>14331</v>
      </c>
      <c r="E549">
        <v>8</v>
      </c>
      <c r="F549">
        <v>2017</v>
      </c>
      <c r="G549" t="s">
        <v>8</v>
      </c>
      <c r="I549" t="str">
        <v/>
      </c>
    </row>
    <row r="550" spans="1:9" hidden="1" x14ac:dyDescent="0.25">
      <c r="A550" t="s">
        <v>604</v>
      </c>
      <c r="B550" t="s">
        <v>605</v>
      </c>
      <c r="C550">
        <v>4.7</v>
      </c>
      <c r="D550">
        <v>14331</v>
      </c>
      <c r="E550">
        <v>8</v>
      </c>
      <c r="F550">
        <v>2018</v>
      </c>
      <c r="G550" t="s">
        <v>8</v>
      </c>
      <c r="I550" t="str">
        <v/>
      </c>
    </row>
    <row r="551" spans="1:9" hidden="1" x14ac:dyDescent="0.25">
      <c r="A551" t="s">
        <v>604</v>
      </c>
      <c r="B551" t="s">
        <v>605</v>
      </c>
      <c r="C551">
        <v>4.7</v>
      </c>
      <c r="D551">
        <v>14331</v>
      </c>
      <c r="E551">
        <v>8</v>
      </c>
      <c r="F551">
        <v>2019</v>
      </c>
      <c r="G551" t="s">
        <v>8</v>
      </c>
      <c r="I551" t="str">
        <v/>
      </c>
    </row>
    <row r="552" spans="1:9" x14ac:dyDescent="0.25">
      <c r="I552" s="4"/>
    </row>
  </sheetData>
  <autoFilter ref="A1:I551" xr:uid="{CB8094A2-D6C9-4045-9CCF-4F61B7217F47}">
    <filterColumn colId="8">
      <customFilters>
        <customFilter operator="notEqual" val=" "/>
      </customFilters>
    </filterColumn>
  </autoFilter>
  <conditionalFormatting sqref="D1:D551 D1186:D1048576">
    <cfRule type="cellIs" dxfId="13" priority="2" operator="lessThan">
      <formula>100</formula>
    </cfRule>
  </conditionalFormatting>
  <conditionalFormatting sqref="E2:E1048576">
    <cfRule type="cellIs" dxfId="12" priority="1" operator="notBetween">
      <formula>0</formula>
      <formula>54</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563"/>
  <sheetViews>
    <sheetView topLeftCell="B1" zoomScaleNormal="100" workbookViewId="0">
      <selection activeCell="E566" sqref="E566"/>
    </sheetView>
  </sheetViews>
  <sheetFormatPr defaultRowHeight="15" x14ac:dyDescent="0.25"/>
  <cols>
    <col min="1" max="1" width="29.7109375" customWidth="1"/>
    <col min="2" max="2" width="33.42578125" customWidth="1"/>
    <col min="4" max="4" width="10.7109375" bestFit="1" customWidth="1"/>
    <col min="7" max="7" width="11.140625" bestFit="1" customWidth="1"/>
    <col min="8" max="8" width="7.5703125" customWidth="1"/>
    <col min="9" max="9" width="69" customWidth="1"/>
  </cols>
  <sheetData>
    <row r="1" spans="1:9" x14ac:dyDescent="0.25">
      <c r="A1" t="s">
        <v>0</v>
      </c>
      <c r="B1" t="s">
        <v>610</v>
      </c>
      <c r="C1" t="s">
        <v>1</v>
      </c>
      <c r="D1" t="s">
        <v>2</v>
      </c>
      <c r="E1" t="s">
        <v>3</v>
      </c>
      <c r="F1" t="s">
        <v>4</v>
      </c>
      <c r="G1" t="s">
        <v>5</v>
      </c>
      <c r="H1" t="s">
        <v>629</v>
      </c>
      <c r="I1" s="4" t="s">
        <v>631</v>
      </c>
    </row>
    <row r="2" spans="1:9" hidden="1" x14ac:dyDescent="0.25">
      <c r="A2" t="s">
        <v>6</v>
      </c>
      <c r="B2" t="s">
        <v>7</v>
      </c>
      <c r="C2">
        <v>4.7</v>
      </c>
      <c r="D2">
        <v>17350</v>
      </c>
      <c r="E2">
        <v>8</v>
      </c>
      <c r="F2">
        <v>2016</v>
      </c>
      <c r="G2" t="s">
        <v>8</v>
      </c>
      <c r="H2">
        <f>MIN(E:E)</f>
        <v>0</v>
      </c>
    </row>
    <row r="3" spans="1:9" hidden="1" x14ac:dyDescent="0.25">
      <c r="A3" t="s">
        <v>606</v>
      </c>
      <c r="B3" t="s">
        <v>9</v>
      </c>
      <c r="C3">
        <v>4.5999999999999996</v>
      </c>
      <c r="D3">
        <v>2052</v>
      </c>
      <c r="E3">
        <v>22</v>
      </c>
      <c r="F3">
        <v>2011</v>
      </c>
      <c r="G3" t="s">
        <v>10</v>
      </c>
    </row>
    <row r="4" spans="1:9" hidden="1" x14ac:dyDescent="0.25">
      <c r="A4" t="s">
        <v>11</v>
      </c>
      <c r="B4" t="s">
        <v>12</v>
      </c>
      <c r="C4">
        <v>4.7</v>
      </c>
      <c r="D4">
        <v>18979</v>
      </c>
      <c r="E4">
        <v>15</v>
      </c>
      <c r="F4">
        <v>2018</v>
      </c>
      <c r="G4" t="s">
        <v>8</v>
      </c>
      <c r="I4" t="str" cm="1">
        <f t="array" ref="I4:I553">IF(E2:E551=H2,A2:A551,"")</f>
        <v/>
      </c>
    </row>
    <row r="5" spans="1:9" hidden="1" x14ac:dyDescent="0.25">
      <c r="A5" t="s">
        <v>13</v>
      </c>
      <c r="B5" t="s">
        <v>14</v>
      </c>
      <c r="C5">
        <v>4.7</v>
      </c>
      <c r="D5">
        <v>21424</v>
      </c>
      <c r="E5">
        <v>6</v>
      </c>
      <c r="F5">
        <v>2017</v>
      </c>
      <c r="G5" t="s">
        <v>10</v>
      </c>
      <c r="I5" t="str">
        <v/>
      </c>
    </row>
    <row r="6" spans="1:9" hidden="1" x14ac:dyDescent="0.25">
      <c r="A6" t="s">
        <v>15</v>
      </c>
      <c r="B6" t="s">
        <v>16</v>
      </c>
      <c r="C6">
        <v>4.8</v>
      </c>
      <c r="D6">
        <v>7665</v>
      </c>
      <c r="E6">
        <v>12</v>
      </c>
      <c r="F6">
        <v>2019</v>
      </c>
      <c r="G6" t="s">
        <v>8</v>
      </c>
      <c r="I6" t="str">
        <v/>
      </c>
    </row>
    <row r="7" spans="1:9" hidden="1" x14ac:dyDescent="0.25">
      <c r="A7" t="s">
        <v>17</v>
      </c>
      <c r="B7" t="s">
        <v>18</v>
      </c>
      <c r="C7">
        <v>4.4000000000000004</v>
      </c>
      <c r="D7">
        <v>12643</v>
      </c>
      <c r="E7">
        <v>11</v>
      </c>
      <c r="F7">
        <v>2011</v>
      </c>
      <c r="G7" t="s">
        <v>10</v>
      </c>
      <c r="I7" t="str">
        <v/>
      </c>
    </row>
    <row r="8" spans="1:9" hidden="1" x14ac:dyDescent="0.25">
      <c r="A8" t="s">
        <v>19</v>
      </c>
      <c r="B8" t="s">
        <v>18</v>
      </c>
      <c r="C8">
        <v>4.7</v>
      </c>
      <c r="D8">
        <v>19735</v>
      </c>
      <c r="E8">
        <v>30</v>
      </c>
      <c r="F8">
        <v>2014</v>
      </c>
      <c r="G8" t="s">
        <v>10</v>
      </c>
      <c r="I8" t="str">
        <v/>
      </c>
    </row>
    <row r="9" spans="1:9" hidden="1" x14ac:dyDescent="0.25">
      <c r="A9" t="s">
        <v>20</v>
      </c>
      <c r="B9" t="s">
        <v>21</v>
      </c>
      <c r="C9">
        <v>4.7</v>
      </c>
      <c r="D9">
        <v>19699</v>
      </c>
      <c r="E9">
        <v>15</v>
      </c>
      <c r="F9">
        <v>2017</v>
      </c>
      <c r="G9" t="s">
        <v>10</v>
      </c>
      <c r="I9" t="str">
        <v/>
      </c>
    </row>
    <row r="10" spans="1:9" hidden="1" x14ac:dyDescent="0.25">
      <c r="A10" t="s">
        <v>22</v>
      </c>
      <c r="B10" t="s">
        <v>23</v>
      </c>
      <c r="C10">
        <v>4.7</v>
      </c>
      <c r="D10">
        <v>5983</v>
      </c>
      <c r="E10">
        <v>3</v>
      </c>
      <c r="F10">
        <v>2018</v>
      </c>
      <c r="G10" t="s">
        <v>8</v>
      </c>
      <c r="I10" t="str">
        <v/>
      </c>
    </row>
    <row r="11" spans="1:9" hidden="1" x14ac:dyDescent="0.25">
      <c r="A11" t="s">
        <v>24</v>
      </c>
      <c r="B11" t="s">
        <v>25</v>
      </c>
      <c r="C11">
        <v>4.5999999999999996</v>
      </c>
      <c r="D11">
        <v>23848</v>
      </c>
      <c r="E11">
        <v>8</v>
      </c>
      <c r="F11">
        <v>2016</v>
      </c>
      <c r="G11" t="s">
        <v>10</v>
      </c>
      <c r="I11" t="str">
        <v/>
      </c>
    </row>
    <row r="12" spans="1:9" hidden="1" x14ac:dyDescent="0.25">
      <c r="A12" t="s">
        <v>24</v>
      </c>
      <c r="B12" t="s">
        <v>25</v>
      </c>
      <c r="C12">
        <v>4.5999999999999996</v>
      </c>
      <c r="D12">
        <v>23848</v>
      </c>
      <c r="E12">
        <v>8</v>
      </c>
      <c r="F12">
        <v>2017</v>
      </c>
      <c r="G12" t="s">
        <v>10</v>
      </c>
      <c r="I12" t="str">
        <v/>
      </c>
    </row>
    <row r="13" spans="1:9" hidden="1" x14ac:dyDescent="0.25">
      <c r="A13" t="s">
        <v>26</v>
      </c>
      <c r="B13" t="s">
        <v>27</v>
      </c>
      <c r="C13">
        <v>4.5999999999999996</v>
      </c>
      <c r="D13">
        <v>460</v>
      </c>
      <c r="E13">
        <v>2</v>
      </c>
      <c r="F13">
        <v>2010</v>
      </c>
      <c r="G13" t="s">
        <v>8</v>
      </c>
      <c r="I13" t="str">
        <v/>
      </c>
    </row>
    <row r="14" spans="1:9" hidden="1" x14ac:dyDescent="0.25">
      <c r="A14" t="s">
        <v>28</v>
      </c>
      <c r="B14" t="s">
        <v>29</v>
      </c>
      <c r="C14">
        <v>4.5999999999999996</v>
      </c>
      <c r="D14">
        <v>4149</v>
      </c>
      <c r="E14">
        <v>32</v>
      </c>
      <c r="F14">
        <v>2011</v>
      </c>
      <c r="G14" t="s">
        <v>8</v>
      </c>
      <c r="I14" t="str">
        <v/>
      </c>
    </row>
    <row r="15" spans="1:9" hidden="1" x14ac:dyDescent="0.25">
      <c r="A15" t="s">
        <v>30</v>
      </c>
      <c r="B15" t="s">
        <v>31</v>
      </c>
      <c r="C15">
        <v>4.5</v>
      </c>
      <c r="D15">
        <v>5153</v>
      </c>
      <c r="E15">
        <v>5</v>
      </c>
      <c r="F15">
        <v>2018</v>
      </c>
      <c r="G15" t="s">
        <v>10</v>
      </c>
      <c r="I15" t="str">
        <v/>
      </c>
    </row>
    <row r="16" spans="1:9" hidden="1" x14ac:dyDescent="0.25">
      <c r="A16" t="s">
        <v>32</v>
      </c>
      <c r="B16" t="s">
        <v>33</v>
      </c>
      <c r="C16">
        <v>4.5999999999999996</v>
      </c>
      <c r="D16">
        <v>5013</v>
      </c>
      <c r="E16">
        <v>17</v>
      </c>
      <c r="F16">
        <v>2009</v>
      </c>
      <c r="G16" t="s">
        <v>8</v>
      </c>
      <c r="I16" t="str">
        <v/>
      </c>
    </row>
    <row r="17" spans="1:9" hidden="1" x14ac:dyDescent="0.25">
      <c r="A17" t="s">
        <v>34</v>
      </c>
      <c r="B17" t="s">
        <v>35</v>
      </c>
      <c r="C17">
        <v>4.5</v>
      </c>
      <c r="D17">
        <v>2313</v>
      </c>
      <c r="E17">
        <v>4</v>
      </c>
      <c r="F17">
        <v>2016</v>
      </c>
      <c r="G17" t="s">
        <v>8</v>
      </c>
      <c r="I17" t="str">
        <v/>
      </c>
    </row>
    <row r="18" spans="1:9" hidden="1" x14ac:dyDescent="0.25">
      <c r="A18" t="s">
        <v>36</v>
      </c>
      <c r="B18" t="s">
        <v>37</v>
      </c>
      <c r="C18">
        <v>4.5999999999999996</v>
      </c>
      <c r="D18">
        <v>2925</v>
      </c>
      <c r="E18">
        <v>6</v>
      </c>
      <c r="F18">
        <v>2015</v>
      </c>
      <c r="G18" t="s">
        <v>8</v>
      </c>
      <c r="I18" t="str">
        <v/>
      </c>
    </row>
    <row r="19" spans="1:9" hidden="1" x14ac:dyDescent="0.25">
      <c r="A19" t="s">
        <v>38</v>
      </c>
      <c r="B19" t="s">
        <v>37</v>
      </c>
      <c r="C19">
        <v>4.4000000000000004</v>
      </c>
      <c r="D19">
        <v>2951</v>
      </c>
      <c r="E19">
        <v>6</v>
      </c>
      <c r="F19">
        <v>2015</v>
      </c>
      <c r="G19" t="s">
        <v>8</v>
      </c>
      <c r="I19" t="str">
        <v/>
      </c>
    </row>
    <row r="20" spans="1:9" hidden="1" x14ac:dyDescent="0.25">
      <c r="A20" t="s">
        <v>39</v>
      </c>
      <c r="B20" t="s">
        <v>40</v>
      </c>
      <c r="C20">
        <v>4.5</v>
      </c>
      <c r="D20">
        <v>2426</v>
      </c>
      <c r="E20">
        <v>8</v>
      </c>
      <c r="F20">
        <v>2015</v>
      </c>
      <c r="G20" t="s">
        <v>8</v>
      </c>
      <c r="I20" t="str">
        <v/>
      </c>
    </row>
    <row r="21" spans="1:9" hidden="1" x14ac:dyDescent="0.25">
      <c r="A21" t="s">
        <v>41</v>
      </c>
      <c r="B21" t="s">
        <v>42</v>
      </c>
      <c r="C21">
        <v>4.8</v>
      </c>
      <c r="D21">
        <v>9198</v>
      </c>
      <c r="E21">
        <v>13</v>
      </c>
      <c r="F21">
        <v>2016</v>
      </c>
      <c r="G21" t="s">
        <v>8</v>
      </c>
      <c r="I21" t="str">
        <v/>
      </c>
    </row>
    <row r="22" spans="1:9" hidden="1" x14ac:dyDescent="0.25">
      <c r="A22" t="s">
        <v>43</v>
      </c>
      <c r="B22" t="s">
        <v>44</v>
      </c>
      <c r="C22">
        <v>4.5999999999999996</v>
      </c>
      <c r="D22">
        <v>36348</v>
      </c>
      <c r="E22">
        <v>14</v>
      </c>
      <c r="F22">
        <v>2014</v>
      </c>
      <c r="G22" t="s">
        <v>10</v>
      </c>
      <c r="I22" t="str">
        <v/>
      </c>
    </row>
    <row r="23" spans="1:9" hidden="1" x14ac:dyDescent="0.25">
      <c r="A23" t="s">
        <v>43</v>
      </c>
      <c r="B23" t="s">
        <v>44</v>
      </c>
      <c r="C23">
        <v>4.5999999999999996</v>
      </c>
      <c r="D23">
        <v>36348</v>
      </c>
      <c r="E23">
        <v>14</v>
      </c>
      <c r="F23">
        <v>2015</v>
      </c>
      <c r="G23" t="s">
        <v>10</v>
      </c>
      <c r="I23" t="str">
        <v/>
      </c>
    </row>
    <row r="24" spans="1:9" hidden="1" x14ac:dyDescent="0.25">
      <c r="A24" t="s">
        <v>45</v>
      </c>
      <c r="B24" t="s">
        <v>46</v>
      </c>
      <c r="C24">
        <v>3.9</v>
      </c>
      <c r="D24">
        <v>6310</v>
      </c>
      <c r="E24">
        <v>13</v>
      </c>
      <c r="F24">
        <v>2013</v>
      </c>
      <c r="G24" t="s">
        <v>10</v>
      </c>
      <c r="I24" t="str">
        <v/>
      </c>
    </row>
    <row r="25" spans="1:9" hidden="1" x14ac:dyDescent="0.25">
      <c r="A25" t="s">
        <v>47</v>
      </c>
      <c r="B25" t="s">
        <v>48</v>
      </c>
      <c r="C25">
        <v>4.5999999999999996</v>
      </c>
      <c r="D25">
        <v>15921</v>
      </c>
      <c r="E25">
        <v>9</v>
      </c>
      <c r="F25">
        <v>2015</v>
      </c>
      <c r="G25" t="s">
        <v>8</v>
      </c>
      <c r="I25" t="str">
        <v/>
      </c>
    </row>
    <row r="26" spans="1:9" hidden="1" x14ac:dyDescent="0.25">
      <c r="A26" t="s">
        <v>49</v>
      </c>
      <c r="B26" t="s">
        <v>50</v>
      </c>
      <c r="C26">
        <v>4.3</v>
      </c>
      <c r="D26">
        <v>12159</v>
      </c>
      <c r="E26">
        <v>13</v>
      </c>
      <c r="F26">
        <v>2013</v>
      </c>
      <c r="G26" t="s">
        <v>10</v>
      </c>
      <c r="I26" t="str">
        <v/>
      </c>
    </row>
    <row r="27" spans="1:9" hidden="1" x14ac:dyDescent="0.25">
      <c r="A27" t="s">
        <v>51</v>
      </c>
      <c r="B27" t="s">
        <v>52</v>
      </c>
      <c r="C27">
        <v>4.5999999999999996</v>
      </c>
      <c r="D27">
        <v>798</v>
      </c>
      <c r="E27">
        <v>5</v>
      </c>
      <c r="F27">
        <v>2009</v>
      </c>
      <c r="G27" t="s">
        <v>8</v>
      </c>
      <c r="I27" t="str">
        <v/>
      </c>
    </row>
    <row r="28" spans="1:9" hidden="1" x14ac:dyDescent="0.25">
      <c r="A28" t="s">
        <v>53</v>
      </c>
      <c r="B28" t="s">
        <v>54</v>
      </c>
      <c r="C28">
        <v>4.7</v>
      </c>
      <c r="D28">
        <v>9374</v>
      </c>
      <c r="E28">
        <v>9</v>
      </c>
      <c r="F28">
        <v>2017</v>
      </c>
      <c r="G28" t="s">
        <v>8</v>
      </c>
      <c r="I28" t="str">
        <v/>
      </c>
    </row>
    <row r="29" spans="1:9" hidden="1" x14ac:dyDescent="0.25">
      <c r="A29" t="s">
        <v>55</v>
      </c>
      <c r="B29" t="s">
        <v>56</v>
      </c>
      <c r="C29">
        <v>4.2</v>
      </c>
      <c r="D29">
        <v>491</v>
      </c>
      <c r="E29">
        <v>14</v>
      </c>
      <c r="F29">
        <v>2010</v>
      </c>
      <c r="G29" t="s">
        <v>8</v>
      </c>
      <c r="I29" t="str">
        <v/>
      </c>
    </row>
    <row r="30" spans="1:9" hidden="1" x14ac:dyDescent="0.25">
      <c r="A30" t="s">
        <v>57</v>
      </c>
      <c r="B30" t="s">
        <v>58</v>
      </c>
      <c r="C30">
        <v>4.5999999999999996</v>
      </c>
      <c r="D30">
        <v>5360</v>
      </c>
      <c r="E30">
        <v>5</v>
      </c>
      <c r="F30">
        <v>2015</v>
      </c>
      <c r="G30" t="s">
        <v>8</v>
      </c>
      <c r="I30" t="str">
        <v/>
      </c>
    </row>
    <row r="31" spans="1:9" hidden="1" x14ac:dyDescent="0.25">
      <c r="A31" t="s">
        <v>59</v>
      </c>
      <c r="B31" t="s">
        <v>60</v>
      </c>
      <c r="C31">
        <v>4.5999999999999996</v>
      </c>
      <c r="D31">
        <v>1909</v>
      </c>
      <c r="E31">
        <v>11</v>
      </c>
      <c r="F31">
        <v>2015</v>
      </c>
      <c r="G31" t="s">
        <v>8</v>
      </c>
      <c r="I31" t="str">
        <v/>
      </c>
    </row>
    <row r="32" spans="1:9" hidden="1" x14ac:dyDescent="0.25">
      <c r="A32" t="s">
        <v>61</v>
      </c>
      <c r="B32" t="s">
        <v>62</v>
      </c>
      <c r="C32">
        <v>4.8</v>
      </c>
      <c r="D32">
        <v>1296</v>
      </c>
      <c r="E32">
        <v>24</v>
      </c>
      <c r="F32">
        <v>2012</v>
      </c>
      <c r="G32" t="s">
        <v>8</v>
      </c>
      <c r="I32" t="str">
        <v/>
      </c>
    </row>
    <row r="33" spans="1:9" hidden="1" x14ac:dyDescent="0.25">
      <c r="A33" t="s">
        <v>63</v>
      </c>
      <c r="B33" t="s">
        <v>62</v>
      </c>
      <c r="C33">
        <v>4.7</v>
      </c>
      <c r="D33">
        <v>615</v>
      </c>
      <c r="E33">
        <v>21</v>
      </c>
      <c r="F33">
        <v>2010</v>
      </c>
      <c r="G33" t="s">
        <v>8</v>
      </c>
      <c r="I33" t="str">
        <v/>
      </c>
    </row>
    <row r="34" spans="1:9" hidden="1" x14ac:dyDescent="0.25">
      <c r="A34" t="s">
        <v>64</v>
      </c>
      <c r="B34" t="s">
        <v>65</v>
      </c>
      <c r="C34">
        <v>4.8</v>
      </c>
      <c r="D34">
        <v>61133</v>
      </c>
      <c r="E34">
        <v>11</v>
      </c>
      <c r="F34">
        <v>2018</v>
      </c>
      <c r="G34" t="s">
        <v>8</v>
      </c>
      <c r="I34" t="str">
        <v/>
      </c>
    </row>
    <row r="35" spans="1:9" hidden="1" x14ac:dyDescent="0.25">
      <c r="A35" t="s">
        <v>64</v>
      </c>
      <c r="B35" t="s">
        <v>65</v>
      </c>
      <c r="C35">
        <v>4.8</v>
      </c>
      <c r="D35">
        <v>61133</v>
      </c>
      <c r="E35">
        <v>11</v>
      </c>
      <c r="F35">
        <v>2019</v>
      </c>
      <c r="G35" t="s">
        <v>8</v>
      </c>
      <c r="I35" t="str">
        <v/>
      </c>
    </row>
    <row r="36" spans="1:9" hidden="1" x14ac:dyDescent="0.25">
      <c r="A36" t="s">
        <v>66</v>
      </c>
      <c r="B36" t="s">
        <v>67</v>
      </c>
      <c r="C36">
        <v>4.8</v>
      </c>
      <c r="D36">
        <v>11113</v>
      </c>
      <c r="E36">
        <v>15</v>
      </c>
      <c r="F36">
        <v>2015</v>
      </c>
      <c r="G36" t="s">
        <v>8</v>
      </c>
      <c r="I36" t="str">
        <v/>
      </c>
    </row>
    <row r="37" spans="1:9" hidden="1" x14ac:dyDescent="0.25">
      <c r="A37" t="s">
        <v>68</v>
      </c>
      <c r="B37" t="s">
        <v>69</v>
      </c>
      <c r="C37">
        <v>4.7</v>
      </c>
      <c r="D37">
        <v>10070</v>
      </c>
      <c r="E37">
        <v>13</v>
      </c>
      <c r="F37">
        <v>2015</v>
      </c>
      <c r="G37" t="s">
        <v>8</v>
      </c>
      <c r="I37" t="str">
        <v/>
      </c>
    </row>
    <row r="38" spans="1:9" hidden="1" x14ac:dyDescent="0.25">
      <c r="A38" t="s">
        <v>68</v>
      </c>
      <c r="B38" t="s">
        <v>69</v>
      </c>
      <c r="C38">
        <v>4.7</v>
      </c>
      <c r="D38">
        <v>10070</v>
      </c>
      <c r="E38">
        <v>13</v>
      </c>
      <c r="F38">
        <v>2016</v>
      </c>
      <c r="G38" t="s">
        <v>8</v>
      </c>
      <c r="I38" t="str">
        <v/>
      </c>
    </row>
    <row r="39" spans="1:9" hidden="1" x14ac:dyDescent="0.25">
      <c r="A39" t="s">
        <v>70</v>
      </c>
      <c r="B39" t="s">
        <v>71</v>
      </c>
      <c r="C39">
        <v>4.7</v>
      </c>
      <c r="D39">
        <v>3729</v>
      </c>
      <c r="E39">
        <v>18</v>
      </c>
      <c r="F39">
        <v>2016</v>
      </c>
      <c r="G39" t="s">
        <v>8</v>
      </c>
      <c r="I39" t="str">
        <v/>
      </c>
    </row>
    <row r="40" spans="1:9" hidden="1" x14ac:dyDescent="0.25">
      <c r="A40" t="s">
        <v>72</v>
      </c>
      <c r="B40" t="s">
        <v>73</v>
      </c>
      <c r="C40">
        <v>4.5999999999999996</v>
      </c>
      <c r="D40">
        <v>9769</v>
      </c>
      <c r="E40">
        <v>13</v>
      </c>
      <c r="F40">
        <v>2009</v>
      </c>
      <c r="G40" t="s">
        <v>10</v>
      </c>
      <c r="I40" t="str">
        <v/>
      </c>
    </row>
    <row r="41" spans="1:9" hidden="1" x14ac:dyDescent="0.25">
      <c r="A41" t="s">
        <v>74</v>
      </c>
      <c r="B41" t="s">
        <v>52</v>
      </c>
      <c r="C41">
        <v>4.5</v>
      </c>
      <c r="D41">
        <v>471</v>
      </c>
      <c r="E41">
        <v>8</v>
      </c>
      <c r="F41">
        <v>2010</v>
      </c>
      <c r="G41" t="s">
        <v>8</v>
      </c>
      <c r="I41" t="str">
        <v/>
      </c>
    </row>
    <row r="42" spans="1:9" hidden="1" x14ac:dyDescent="0.25">
      <c r="A42" t="s">
        <v>75</v>
      </c>
      <c r="B42" t="s">
        <v>76</v>
      </c>
      <c r="C42">
        <v>4.9000000000000004</v>
      </c>
      <c r="D42">
        <v>14344</v>
      </c>
      <c r="E42">
        <v>5</v>
      </c>
      <c r="F42">
        <v>2017</v>
      </c>
      <c r="G42" t="s">
        <v>10</v>
      </c>
      <c r="I42" t="str">
        <v/>
      </c>
    </row>
    <row r="43" spans="1:9" hidden="1" x14ac:dyDescent="0.25">
      <c r="A43" t="s">
        <v>75</v>
      </c>
      <c r="B43" t="s">
        <v>76</v>
      </c>
      <c r="C43">
        <v>4.9000000000000004</v>
      </c>
      <c r="D43">
        <v>14344</v>
      </c>
      <c r="E43">
        <v>5</v>
      </c>
      <c r="F43">
        <v>2019</v>
      </c>
      <c r="G43" t="s">
        <v>10</v>
      </c>
      <c r="I43" t="str">
        <v/>
      </c>
    </row>
    <row r="44" spans="1:9" hidden="1" x14ac:dyDescent="0.25">
      <c r="A44" t="s">
        <v>77</v>
      </c>
      <c r="B44" t="s">
        <v>78</v>
      </c>
      <c r="C44">
        <v>4.8</v>
      </c>
      <c r="D44">
        <v>4505</v>
      </c>
      <c r="E44">
        <v>0</v>
      </c>
      <c r="F44">
        <v>2011</v>
      </c>
      <c r="G44" t="s">
        <v>10</v>
      </c>
      <c r="I44" t="str">
        <v/>
      </c>
    </row>
    <row r="45" spans="1:9" hidden="1" x14ac:dyDescent="0.25">
      <c r="A45" t="s">
        <v>79</v>
      </c>
      <c r="B45" t="s">
        <v>80</v>
      </c>
      <c r="C45">
        <v>4.5999999999999996</v>
      </c>
      <c r="D45">
        <v>10369</v>
      </c>
      <c r="E45">
        <v>4</v>
      </c>
      <c r="F45">
        <v>2016</v>
      </c>
      <c r="G45" t="s">
        <v>8</v>
      </c>
      <c r="I45" t="str">
        <v/>
      </c>
    </row>
    <row r="46" spans="1:9" x14ac:dyDescent="0.25">
      <c r="A46" t="s">
        <v>81</v>
      </c>
      <c r="B46" t="s">
        <v>82</v>
      </c>
      <c r="C46">
        <v>4.8</v>
      </c>
      <c r="D46">
        <v>16244</v>
      </c>
      <c r="E46">
        <v>18</v>
      </c>
      <c r="F46">
        <v>2019</v>
      </c>
      <c r="G46" t="s">
        <v>8</v>
      </c>
      <c r="H46">
        <v>0</v>
      </c>
      <c r="I46" s="4" t="str">
        <v>Cabin Fever (Diary of a Wimpy Kid, Book 6)</v>
      </c>
    </row>
    <row r="47" spans="1:9" hidden="1" x14ac:dyDescent="0.25">
      <c r="A47" t="s">
        <v>83</v>
      </c>
      <c r="B47" t="s">
        <v>84</v>
      </c>
      <c r="C47">
        <v>4.5</v>
      </c>
      <c r="D47">
        <v>2884</v>
      </c>
      <c r="E47">
        <v>28</v>
      </c>
      <c r="F47">
        <v>2014</v>
      </c>
      <c r="G47" t="s">
        <v>8</v>
      </c>
      <c r="I47" t="str">
        <v/>
      </c>
    </row>
    <row r="48" spans="1:9" hidden="1" x14ac:dyDescent="0.25">
      <c r="A48" t="s">
        <v>85</v>
      </c>
      <c r="B48" t="s">
        <v>86</v>
      </c>
      <c r="C48">
        <v>4.7</v>
      </c>
      <c r="D48">
        <v>22614</v>
      </c>
      <c r="E48">
        <v>11</v>
      </c>
      <c r="F48">
        <v>2010</v>
      </c>
      <c r="G48" t="s">
        <v>10</v>
      </c>
      <c r="I48" t="str">
        <v/>
      </c>
    </row>
    <row r="49" spans="1:9" hidden="1" x14ac:dyDescent="0.25">
      <c r="A49" t="s">
        <v>85</v>
      </c>
      <c r="B49" t="s">
        <v>86</v>
      </c>
      <c r="C49">
        <v>4.7</v>
      </c>
      <c r="D49">
        <v>22614</v>
      </c>
      <c r="E49">
        <v>11</v>
      </c>
      <c r="F49">
        <v>2011</v>
      </c>
      <c r="G49" t="s">
        <v>10</v>
      </c>
      <c r="I49" t="str">
        <v/>
      </c>
    </row>
    <row r="50" spans="1:9" hidden="1" x14ac:dyDescent="0.25">
      <c r="A50" t="s">
        <v>85</v>
      </c>
      <c r="B50" t="s">
        <v>86</v>
      </c>
      <c r="C50">
        <v>4.7</v>
      </c>
      <c r="D50">
        <v>22614</v>
      </c>
      <c r="E50">
        <v>11</v>
      </c>
      <c r="F50">
        <v>2012</v>
      </c>
      <c r="G50" t="s">
        <v>10</v>
      </c>
      <c r="I50" t="str">
        <v/>
      </c>
    </row>
    <row r="51" spans="1:9" hidden="1" x14ac:dyDescent="0.25">
      <c r="A51" t="s">
        <v>87</v>
      </c>
      <c r="B51" t="s">
        <v>88</v>
      </c>
      <c r="C51">
        <v>4.7</v>
      </c>
      <c r="D51">
        <v>4761</v>
      </c>
      <c r="E51">
        <v>16</v>
      </c>
      <c r="F51">
        <v>2016</v>
      </c>
      <c r="G51" t="s">
        <v>8</v>
      </c>
      <c r="I51" t="str">
        <v/>
      </c>
    </row>
    <row r="52" spans="1:9" hidden="1" x14ac:dyDescent="0.25">
      <c r="A52" t="s">
        <v>89</v>
      </c>
      <c r="B52" t="s">
        <v>90</v>
      </c>
      <c r="C52">
        <v>4.7</v>
      </c>
      <c r="D52">
        <v>1542</v>
      </c>
      <c r="E52">
        <v>14</v>
      </c>
      <c r="F52">
        <v>2009</v>
      </c>
      <c r="G52" t="s">
        <v>8</v>
      </c>
      <c r="I52" t="str">
        <v/>
      </c>
    </row>
    <row r="53" spans="1:9" hidden="1" x14ac:dyDescent="0.25">
      <c r="A53" t="s">
        <v>89</v>
      </c>
      <c r="B53" t="s">
        <v>90</v>
      </c>
      <c r="C53">
        <v>4.7</v>
      </c>
      <c r="D53">
        <v>1542</v>
      </c>
      <c r="E53">
        <v>14</v>
      </c>
      <c r="F53">
        <v>2010</v>
      </c>
      <c r="G53" t="s">
        <v>8</v>
      </c>
      <c r="I53" t="str">
        <v/>
      </c>
    </row>
    <row r="54" spans="1:9" hidden="1" x14ac:dyDescent="0.25">
      <c r="A54" t="s">
        <v>89</v>
      </c>
      <c r="B54" t="s">
        <v>90</v>
      </c>
      <c r="C54">
        <v>4.7</v>
      </c>
      <c r="D54">
        <v>1542</v>
      </c>
      <c r="E54">
        <v>14</v>
      </c>
      <c r="F54">
        <v>2011</v>
      </c>
      <c r="G54" t="s">
        <v>8</v>
      </c>
      <c r="I54" t="str">
        <v/>
      </c>
    </row>
    <row r="55" spans="1:9" hidden="1" x14ac:dyDescent="0.25">
      <c r="A55" t="s">
        <v>91</v>
      </c>
      <c r="B55" t="s">
        <v>92</v>
      </c>
      <c r="C55">
        <v>4.3</v>
      </c>
      <c r="D55">
        <v>6143</v>
      </c>
      <c r="E55">
        <v>8</v>
      </c>
      <c r="F55">
        <v>2018</v>
      </c>
      <c r="G55" t="s">
        <v>10</v>
      </c>
      <c r="I55" t="str">
        <v/>
      </c>
    </row>
    <row r="56" spans="1:9" hidden="1" x14ac:dyDescent="0.25">
      <c r="A56" t="s">
        <v>93</v>
      </c>
      <c r="B56" t="s">
        <v>94</v>
      </c>
      <c r="C56">
        <v>4.8</v>
      </c>
      <c r="D56">
        <v>4022</v>
      </c>
      <c r="E56">
        <v>4</v>
      </c>
      <c r="F56">
        <v>2015</v>
      </c>
      <c r="G56" t="s">
        <v>8</v>
      </c>
      <c r="I56" t="str">
        <v/>
      </c>
    </row>
    <row r="57" spans="1:9" hidden="1" x14ac:dyDescent="0.25">
      <c r="A57" t="s">
        <v>95</v>
      </c>
      <c r="B57" t="s">
        <v>94</v>
      </c>
      <c r="C57">
        <v>4.8</v>
      </c>
      <c r="D57">
        <v>3871</v>
      </c>
      <c r="E57">
        <v>5</v>
      </c>
      <c r="F57">
        <v>2015</v>
      </c>
      <c r="G57" t="s">
        <v>8</v>
      </c>
      <c r="I57" t="str">
        <v/>
      </c>
    </row>
    <row r="58" spans="1:9" hidden="1" x14ac:dyDescent="0.25">
      <c r="A58" t="s">
        <v>96</v>
      </c>
      <c r="B58" t="s">
        <v>97</v>
      </c>
      <c r="C58">
        <v>4.5999999999999996</v>
      </c>
      <c r="D58">
        <v>4866</v>
      </c>
      <c r="E58">
        <v>11</v>
      </c>
      <c r="F58">
        <v>2010</v>
      </c>
      <c r="G58" t="s">
        <v>10</v>
      </c>
      <c r="I58" t="str">
        <v/>
      </c>
    </row>
    <row r="59" spans="1:9" hidden="1" x14ac:dyDescent="0.25">
      <c r="A59" t="s">
        <v>96</v>
      </c>
      <c r="B59" t="s">
        <v>97</v>
      </c>
      <c r="C59">
        <v>4.5999999999999996</v>
      </c>
      <c r="D59">
        <v>4866</v>
      </c>
      <c r="E59">
        <v>11</v>
      </c>
      <c r="F59">
        <v>2011</v>
      </c>
      <c r="G59" t="s">
        <v>10</v>
      </c>
      <c r="I59" t="str">
        <v/>
      </c>
    </row>
    <row r="60" spans="1:9" hidden="1" x14ac:dyDescent="0.25">
      <c r="A60" t="s">
        <v>98</v>
      </c>
      <c r="B60" t="s">
        <v>99</v>
      </c>
      <c r="C60">
        <v>4.8</v>
      </c>
      <c r="D60">
        <v>1329</v>
      </c>
      <c r="E60">
        <v>10</v>
      </c>
      <c r="F60">
        <v>2013</v>
      </c>
      <c r="G60" t="s">
        <v>8</v>
      </c>
      <c r="I60" t="str">
        <v/>
      </c>
    </row>
    <row r="61" spans="1:9" hidden="1" x14ac:dyDescent="0.25">
      <c r="A61" t="s">
        <v>100</v>
      </c>
      <c r="B61" t="s">
        <v>101</v>
      </c>
      <c r="C61">
        <v>4.4000000000000004</v>
      </c>
      <c r="D61">
        <v>4642</v>
      </c>
      <c r="E61">
        <v>13</v>
      </c>
      <c r="F61">
        <v>2013</v>
      </c>
      <c r="G61" t="s">
        <v>8</v>
      </c>
      <c r="I61" t="str">
        <v/>
      </c>
    </row>
    <row r="62" spans="1:9" hidden="1" x14ac:dyDescent="0.25">
      <c r="A62" t="s">
        <v>102</v>
      </c>
      <c r="B62" t="s">
        <v>103</v>
      </c>
      <c r="C62">
        <v>4.5999999999999996</v>
      </c>
      <c r="D62">
        <v>1541</v>
      </c>
      <c r="E62">
        <v>4</v>
      </c>
      <c r="F62">
        <v>2009</v>
      </c>
      <c r="G62" t="s">
        <v>10</v>
      </c>
      <c r="I62" t="str">
        <v/>
      </c>
    </row>
    <row r="63" spans="1:9" hidden="1" x14ac:dyDescent="0.25">
      <c r="A63" t="s">
        <v>104</v>
      </c>
      <c r="B63" t="s">
        <v>103</v>
      </c>
      <c r="C63">
        <v>4.3</v>
      </c>
      <c r="D63">
        <v>1924</v>
      </c>
      <c r="E63">
        <v>8</v>
      </c>
      <c r="F63">
        <v>2010</v>
      </c>
      <c r="G63" t="s">
        <v>10</v>
      </c>
      <c r="I63" t="str">
        <v/>
      </c>
    </row>
    <row r="64" spans="1:9" hidden="1" x14ac:dyDescent="0.25">
      <c r="A64" t="s">
        <v>105</v>
      </c>
      <c r="B64" t="s">
        <v>103</v>
      </c>
      <c r="C64">
        <v>4.2</v>
      </c>
      <c r="D64">
        <v>2094</v>
      </c>
      <c r="E64">
        <v>4</v>
      </c>
      <c r="F64">
        <v>2011</v>
      </c>
      <c r="G64" t="s">
        <v>10</v>
      </c>
      <c r="I64" t="str">
        <v/>
      </c>
    </row>
    <row r="65" spans="1:9" hidden="1" x14ac:dyDescent="0.25">
      <c r="A65" t="s">
        <v>106</v>
      </c>
      <c r="B65" t="s">
        <v>107</v>
      </c>
      <c r="C65">
        <v>4.8</v>
      </c>
      <c r="D65">
        <v>10922</v>
      </c>
      <c r="E65">
        <v>5</v>
      </c>
      <c r="F65">
        <v>2015</v>
      </c>
      <c r="G65" t="s">
        <v>10</v>
      </c>
      <c r="I65" t="str">
        <v/>
      </c>
    </row>
    <row r="66" spans="1:9" hidden="1" x14ac:dyDescent="0.25">
      <c r="A66" t="s">
        <v>106</v>
      </c>
      <c r="B66" t="s">
        <v>107</v>
      </c>
      <c r="C66">
        <v>4.8</v>
      </c>
      <c r="D66">
        <v>10922</v>
      </c>
      <c r="E66">
        <v>5</v>
      </c>
      <c r="F66">
        <v>2016</v>
      </c>
      <c r="G66" t="s">
        <v>10</v>
      </c>
      <c r="I66" t="str">
        <v/>
      </c>
    </row>
    <row r="67" spans="1:9" hidden="1" x14ac:dyDescent="0.25">
      <c r="A67" t="s">
        <v>106</v>
      </c>
      <c r="B67" t="s">
        <v>107</v>
      </c>
      <c r="C67">
        <v>4.8</v>
      </c>
      <c r="D67">
        <v>10922</v>
      </c>
      <c r="E67">
        <v>5</v>
      </c>
      <c r="F67">
        <v>2017</v>
      </c>
      <c r="G67" t="s">
        <v>10</v>
      </c>
      <c r="I67" t="str">
        <v/>
      </c>
    </row>
    <row r="68" spans="1:9" hidden="1" x14ac:dyDescent="0.25">
      <c r="A68" t="s">
        <v>106</v>
      </c>
      <c r="B68" t="s">
        <v>107</v>
      </c>
      <c r="C68">
        <v>4.8</v>
      </c>
      <c r="D68">
        <v>10922</v>
      </c>
      <c r="E68">
        <v>5</v>
      </c>
      <c r="F68">
        <v>2018</v>
      </c>
      <c r="G68" t="s">
        <v>10</v>
      </c>
      <c r="I68" t="str">
        <v/>
      </c>
    </row>
    <row r="69" spans="1:9" hidden="1" x14ac:dyDescent="0.25">
      <c r="A69" t="s">
        <v>108</v>
      </c>
      <c r="B69" t="s">
        <v>109</v>
      </c>
      <c r="C69">
        <v>4.5999999999999996</v>
      </c>
      <c r="D69">
        <v>2137</v>
      </c>
      <c r="E69">
        <v>17</v>
      </c>
      <c r="F69">
        <v>2010</v>
      </c>
      <c r="G69" t="s">
        <v>8</v>
      </c>
      <c r="I69" t="str">
        <v/>
      </c>
    </row>
    <row r="70" spans="1:9" hidden="1" x14ac:dyDescent="0.25">
      <c r="A70" t="s">
        <v>110</v>
      </c>
      <c r="B70" t="s">
        <v>111</v>
      </c>
      <c r="C70">
        <v>4.5999999999999996</v>
      </c>
      <c r="D70">
        <v>1651</v>
      </c>
      <c r="E70">
        <v>15</v>
      </c>
      <c r="F70">
        <v>2010</v>
      </c>
      <c r="G70" t="s">
        <v>8</v>
      </c>
      <c r="I70" t="str">
        <v/>
      </c>
    </row>
    <row r="71" spans="1:9" hidden="1" x14ac:dyDescent="0.25">
      <c r="A71" t="s">
        <v>112</v>
      </c>
      <c r="B71" t="s">
        <v>113</v>
      </c>
      <c r="C71">
        <v>4.5</v>
      </c>
      <c r="D71">
        <v>6679</v>
      </c>
      <c r="E71">
        <v>105</v>
      </c>
      <c r="F71">
        <v>2013</v>
      </c>
      <c r="G71" t="s">
        <v>8</v>
      </c>
      <c r="I71" t="str">
        <v/>
      </c>
    </row>
    <row r="72" spans="1:9" hidden="1" x14ac:dyDescent="0.25">
      <c r="A72" t="s">
        <v>112</v>
      </c>
      <c r="B72" t="s">
        <v>113</v>
      </c>
      <c r="C72">
        <v>4.5</v>
      </c>
      <c r="D72">
        <v>6679</v>
      </c>
      <c r="E72">
        <v>105</v>
      </c>
      <c r="F72">
        <v>2014</v>
      </c>
      <c r="G72" t="s">
        <v>8</v>
      </c>
      <c r="I72" t="str">
        <v/>
      </c>
    </row>
    <row r="73" spans="1:9" hidden="1" x14ac:dyDescent="0.25">
      <c r="A73" t="s">
        <v>114</v>
      </c>
      <c r="B73" t="s">
        <v>78</v>
      </c>
      <c r="C73">
        <v>4.8</v>
      </c>
      <c r="D73">
        <v>6812</v>
      </c>
      <c r="E73">
        <v>0</v>
      </c>
      <c r="F73">
        <v>2013</v>
      </c>
      <c r="G73" t="s">
        <v>10</v>
      </c>
      <c r="I73" t="str">
        <v/>
      </c>
    </row>
    <row r="74" spans="1:9" hidden="1" x14ac:dyDescent="0.25">
      <c r="A74" t="s">
        <v>115</v>
      </c>
      <c r="B74" t="s">
        <v>78</v>
      </c>
      <c r="C74">
        <v>4.8</v>
      </c>
      <c r="D74">
        <v>3837</v>
      </c>
      <c r="E74">
        <v>15</v>
      </c>
      <c r="F74">
        <v>2009</v>
      </c>
      <c r="G74" t="s">
        <v>10</v>
      </c>
      <c r="I74" t="str">
        <v/>
      </c>
    </row>
    <row r="75" spans="1:9" x14ac:dyDescent="0.25">
      <c r="A75" t="s">
        <v>116</v>
      </c>
      <c r="B75" t="s">
        <v>78</v>
      </c>
      <c r="C75">
        <v>4.8</v>
      </c>
      <c r="D75">
        <v>6540</v>
      </c>
      <c r="E75">
        <v>22</v>
      </c>
      <c r="F75">
        <v>2014</v>
      </c>
      <c r="G75" t="s">
        <v>10</v>
      </c>
      <c r="I75" s="4" t="str">
        <v>Diary of a Wimpy Kid: Hard Luck, Book 8</v>
      </c>
    </row>
    <row r="76" spans="1:9" hidden="1" x14ac:dyDescent="0.25">
      <c r="A76" t="s">
        <v>117</v>
      </c>
      <c r="B76" t="s">
        <v>118</v>
      </c>
      <c r="C76">
        <v>4.5999999999999996</v>
      </c>
      <c r="D76">
        <v>7955</v>
      </c>
      <c r="E76">
        <v>5</v>
      </c>
      <c r="F76">
        <v>2019</v>
      </c>
      <c r="G76" t="s">
        <v>8</v>
      </c>
      <c r="I76" t="str">
        <v/>
      </c>
    </row>
    <row r="77" spans="1:9" hidden="1" x14ac:dyDescent="0.25">
      <c r="A77" t="s">
        <v>119</v>
      </c>
      <c r="B77" t="s">
        <v>46</v>
      </c>
      <c r="C77">
        <v>4.5999999999999996</v>
      </c>
      <c r="D77">
        <v>27098</v>
      </c>
      <c r="E77">
        <v>15</v>
      </c>
      <c r="F77">
        <v>2013</v>
      </c>
      <c r="G77" t="s">
        <v>10</v>
      </c>
      <c r="I77" t="str">
        <v/>
      </c>
    </row>
    <row r="78" spans="1:9" hidden="1" x14ac:dyDescent="0.25">
      <c r="A78" t="s">
        <v>119</v>
      </c>
      <c r="B78" t="s">
        <v>46</v>
      </c>
      <c r="C78">
        <v>4.5999999999999996</v>
      </c>
      <c r="D78">
        <v>27098</v>
      </c>
      <c r="E78">
        <v>15</v>
      </c>
      <c r="F78">
        <v>2014</v>
      </c>
      <c r="G78" t="s">
        <v>10</v>
      </c>
      <c r="I78" t="str">
        <v/>
      </c>
    </row>
    <row r="79" spans="1:9" hidden="1" x14ac:dyDescent="0.25">
      <c r="A79" t="s">
        <v>120</v>
      </c>
      <c r="B79" t="s">
        <v>46</v>
      </c>
      <c r="C79">
        <v>4.5</v>
      </c>
      <c r="D79">
        <v>17684</v>
      </c>
      <c r="E79">
        <v>6</v>
      </c>
      <c r="F79">
        <v>2014</v>
      </c>
      <c r="G79" t="s">
        <v>10</v>
      </c>
      <c r="I79" t="str">
        <v/>
      </c>
    </row>
    <row r="80" spans="1:9" hidden="1" x14ac:dyDescent="0.25">
      <c r="A80" t="s">
        <v>121</v>
      </c>
      <c r="B80" t="s">
        <v>122</v>
      </c>
      <c r="C80">
        <v>4.5999999999999996</v>
      </c>
      <c r="D80">
        <v>37</v>
      </c>
      <c r="E80">
        <v>6</v>
      </c>
      <c r="F80">
        <v>2009</v>
      </c>
      <c r="G80" t="s">
        <v>8</v>
      </c>
      <c r="I80" t="str">
        <v/>
      </c>
    </row>
    <row r="81" spans="1:9" hidden="1" x14ac:dyDescent="0.25">
      <c r="A81" t="s">
        <v>123</v>
      </c>
      <c r="B81" t="s">
        <v>9</v>
      </c>
      <c r="C81">
        <v>4.7</v>
      </c>
      <c r="D81">
        <v>15845</v>
      </c>
      <c r="E81">
        <v>13</v>
      </c>
      <c r="F81">
        <v>2013</v>
      </c>
      <c r="G81" t="s">
        <v>10</v>
      </c>
      <c r="I81" t="str">
        <v/>
      </c>
    </row>
    <row r="82" spans="1:9" hidden="1" x14ac:dyDescent="0.25">
      <c r="A82" t="s">
        <v>124</v>
      </c>
      <c r="B82" t="s">
        <v>78</v>
      </c>
      <c r="C82">
        <v>4.8</v>
      </c>
      <c r="D82">
        <v>3181</v>
      </c>
      <c r="E82">
        <v>12</v>
      </c>
      <c r="F82">
        <v>2009</v>
      </c>
      <c r="G82" t="s">
        <v>10</v>
      </c>
      <c r="I82" t="str">
        <v/>
      </c>
    </row>
    <row r="83" spans="1:9" hidden="1" x14ac:dyDescent="0.25">
      <c r="A83" t="s">
        <v>125</v>
      </c>
      <c r="B83" t="s">
        <v>126</v>
      </c>
      <c r="C83">
        <v>4.9000000000000004</v>
      </c>
      <c r="D83">
        <v>5062</v>
      </c>
      <c r="E83">
        <v>6</v>
      </c>
      <c r="F83">
        <v>2018</v>
      </c>
      <c r="G83" t="s">
        <v>10</v>
      </c>
      <c r="I83" t="str">
        <v/>
      </c>
    </row>
    <row r="84" spans="1:9" hidden="1" x14ac:dyDescent="0.25">
      <c r="A84" t="s">
        <v>127</v>
      </c>
      <c r="B84" t="s">
        <v>126</v>
      </c>
      <c r="C84">
        <v>4.9000000000000004</v>
      </c>
      <c r="D84">
        <v>4786</v>
      </c>
      <c r="E84">
        <v>8</v>
      </c>
      <c r="F84">
        <v>2017</v>
      </c>
      <c r="G84" t="s">
        <v>10</v>
      </c>
      <c r="I84" t="str">
        <v/>
      </c>
    </row>
    <row r="85" spans="1:9" hidden="1" x14ac:dyDescent="0.25">
      <c r="A85" t="s">
        <v>128</v>
      </c>
      <c r="B85" t="s">
        <v>126</v>
      </c>
      <c r="C85">
        <v>4.9000000000000004</v>
      </c>
      <c r="D85">
        <v>7235</v>
      </c>
      <c r="E85">
        <v>4</v>
      </c>
      <c r="F85">
        <v>2018</v>
      </c>
      <c r="G85" t="s">
        <v>10</v>
      </c>
      <c r="I85" t="str">
        <v/>
      </c>
    </row>
    <row r="86" spans="1:9" hidden="1" x14ac:dyDescent="0.25">
      <c r="A86" t="s">
        <v>128</v>
      </c>
      <c r="B86" t="s">
        <v>126</v>
      </c>
      <c r="C86">
        <v>4.9000000000000004</v>
      </c>
      <c r="D86">
        <v>7235</v>
      </c>
      <c r="E86">
        <v>4</v>
      </c>
      <c r="F86">
        <v>2019</v>
      </c>
      <c r="G86" t="s">
        <v>10</v>
      </c>
      <c r="I86" t="str">
        <v/>
      </c>
    </row>
    <row r="87" spans="1:9" hidden="1" x14ac:dyDescent="0.25">
      <c r="A87" t="s">
        <v>129</v>
      </c>
      <c r="B87" t="s">
        <v>126</v>
      </c>
      <c r="C87">
        <v>4.9000000000000004</v>
      </c>
      <c r="D87">
        <v>12619</v>
      </c>
      <c r="E87">
        <v>8</v>
      </c>
      <c r="F87">
        <v>2019</v>
      </c>
      <c r="G87" t="s">
        <v>10</v>
      </c>
      <c r="I87" t="str">
        <v/>
      </c>
    </row>
    <row r="88" spans="1:9" hidden="1" x14ac:dyDescent="0.25">
      <c r="A88" t="s">
        <v>130</v>
      </c>
      <c r="B88" t="s">
        <v>126</v>
      </c>
      <c r="C88">
        <v>4.9000000000000004</v>
      </c>
      <c r="D88">
        <v>9089</v>
      </c>
      <c r="E88">
        <v>8</v>
      </c>
      <c r="F88">
        <v>2019</v>
      </c>
      <c r="G88" t="s">
        <v>10</v>
      </c>
      <c r="I88" t="str">
        <v/>
      </c>
    </row>
    <row r="89" spans="1:9" hidden="1" x14ac:dyDescent="0.25">
      <c r="A89" t="s">
        <v>131</v>
      </c>
      <c r="B89" t="s">
        <v>126</v>
      </c>
      <c r="C89">
        <v>4.9000000000000004</v>
      </c>
      <c r="D89">
        <v>5470</v>
      </c>
      <c r="E89">
        <v>6</v>
      </c>
      <c r="F89">
        <v>2018</v>
      </c>
      <c r="G89" t="s">
        <v>10</v>
      </c>
      <c r="I89" t="str">
        <v/>
      </c>
    </row>
    <row r="90" spans="1:9" hidden="1" x14ac:dyDescent="0.25">
      <c r="A90" t="s">
        <v>132</v>
      </c>
      <c r="B90" t="s">
        <v>78</v>
      </c>
      <c r="C90">
        <v>4.8</v>
      </c>
      <c r="D90">
        <v>5118</v>
      </c>
      <c r="E90">
        <v>20</v>
      </c>
      <c r="F90">
        <v>2016</v>
      </c>
      <c r="G90" t="s">
        <v>10</v>
      </c>
      <c r="I90" t="str">
        <v/>
      </c>
    </row>
    <row r="91" spans="1:9" hidden="1" x14ac:dyDescent="0.25">
      <c r="A91" t="s">
        <v>133</v>
      </c>
      <c r="B91" t="s">
        <v>134</v>
      </c>
      <c r="C91">
        <v>4.5999999999999996</v>
      </c>
      <c r="D91">
        <v>2134</v>
      </c>
      <c r="E91">
        <v>5</v>
      </c>
      <c r="F91">
        <v>2015</v>
      </c>
      <c r="G91" t="s">
        <v>8</v>
      </c>
      <c r="I91" t="str">
        <v/>
      </c>
    </row>
    <row r="92" spans="1:9" hidden="1" x14ac:dyDescent="0.25">
      <c r="A92" t="s">
        <v>135</v>
      </c>
      <c r="B92" t="s">
        <v>136</v>
      </c>
      <c r="C92">
        <v>4.5</v>
      </c>
      <c r="D92">
        <v>2525</v>
      </c>
      <c r="E92">
        <v>16</v>
      </c>
      <c r="F92">
        <v>2010</v>
      </c>
      <c r="G92" t="s">
        <v>8</v>
      </c>
      <c r="I92" t="str">
        <v/>
      </c>
    </row>
    <row r="93" spans="1:9" hidden="1" x14ac:dyDescent="0.25">
      <c r="A93" t="s">
        <v>137</v>
      </c>
      <c r="B93" t="s">
        <v>138</v>
      </c>
      <c r="C93">
        <v>4.5</v>
      </c>
      <c r="D93">
        <v>720</v>
      </c>
      <c r="E93">
        <v>1</v>
      </c>
      <c r="F93">
        <v>2009</v>
      </c>
      <c r="G93" t="s">
        <v>8</v>
      </c>
      <c r="I93" t="str">
        <v/>
      </c>
    </row>
    <row r="94" spans="1:9" hidden="1" x14ac:dyDescent="0.25">
      <c r="A94" t="s">
        <v>139</v>
      </c>
      <c r="B94" t="s">
        <v>138</v>
      </c>
      <c r="C94">
        <v>4.3</v>
      </c>
      <c r="D94">
        <v>956</v>
      </c>
      <c r="E94">
        <v>14</v>
      </c>
      <c r="F94">
        <v>2009</v>
      </c>
      <c r="G94" t="s">
        <v>8</v>
      </c>
      <c r="I94" t="str">
        <v/>
      </c>
    </row>
    <row r="95" spans="1:9" hidden="1" x14ac:dyDescent="0.25">
      <c r="A95" t="s">
        <v>140</v>
      </c>
      <c r="B95" t="s">
        <v>141</v>
      </c>
      <c r="C95">
        <v>4.5</v>
      </c>
      <c r="D95">
        <v>6346</v>
      </c>
      <c r="E95">
        <v>9</v>
      </c>
      <c r="F95">
        <v>2011</v>
      </c>
      <c r="G95" t="s">
        <v>8</v>
      </c>
      <c r="I95" t="str">
        <v/>
      </c>
    </row>
    <row r="96" spans="1:9" hidden="1" x14ac:dyDescent="0.25">
      <c r="A96" t="s">
        <v>140</v>
      </c>
      <c r="B96" t="s">
        <v>141</v>
      </c>
      <c r="C96">
        <v>4.5</v>
      </c>
      <c r="D96">
        <v>6346</v>
      </c>
      <c r="E96">
        <v>9</v>
      </c>
      <c r="F96">
        <v>2012</v>
      </c>
      <c r="G96" t="s">
        <v>8</v>
      </c>
      <c r="I96" t="str">
        <v/>
      </c>
    </row>
    <row r="97" spans="1:9" hidden="1" x14ac:dyDescent="0.25">
      <c r="A97" t="s">
        <v>142</v>
      </c>
      <c r="B97" t="s">
        <v>73</v>
      </c>
      <c r="C97">
        <v>4.7</v>
      </c>
      <c r="D97">
        <v>5505</v>
      </c>
      <c r="E97">
        <v>7</v>
      </c>
      <c r="F97">
        <v>2009</v>
      </c>
      <c r="G97" t="s">
        <v>10</v>
      </c>
      <c r="I97" t="str">
        <v/>
      </c>
    </row>
    <row r="98" spans="1:9" hidden="1" x14ac:dyDescent="0.25">
      <c r="A98" t="s">
        <v>143</v>
      </c>
      <c r="B98" t="s">
        <v>73</v>
      </c>
      <c r="C98">
        <v>4.7</v>
      </c>
      <c r="D98">
        <v>5505</v>
      </c>
      <c r="E98">
        <v>18</v>
      </c>
      <c r="F98">
        <v>2009</v>
      </c>
      <c r="G98" t="s">
        <v>10</v>
      </c>
      <c r="I98" t="str">
        <v/>
      </c>
    </row>
    <row r="99" spans="1:9" hidden="1" x14ac:dyDescent="0.25">
      <c r="A99" t="s">
        <v>144</v>
      </c>
      <c r="B99" t="s">
        <v>145</v>
      </c>
      <c r="C99">
        <v>4.7</v>
      </c>
      <c r="D99">
        <v>28729</v>
      </c>
      <c r="E99">
        <v>15</v>
      </c>
      <c r="F99">
        <v>2018</v>
      </c>
      <c r="G99" t="s">
        <v>8</v>
      </c>
      <c r="I99" t="str">
        <v/>
      </c>
    </row>
    <row r="100" spans="1:9" hidden="1" x14ac:dyDescent="0.25">
      <c r="A100" t="s">
        <v>144</v>
      </c>
      <c r="B100" t="s">
        <v>145</v>
      </c>
      <c r="C100">
        <v>4.7</v>
      </c>
      <c r="D100">
        <v>28729</v>
      </c>
      <c r="E100">
        <v>15</v>
      </c>
      <c r="F100">
        <v>2019</v>
      </c>
      <c r="G100" t="s">
        <v>8</v>
      </c>
      <c r="I100" t="str">
        <v/>
      </c>
    </row>
    <row r="101" spans="1:9" hidden="1" x14ac:dyDescent="0.25">
      <c r="A101" t="s">
        <v>146</v>
      </c>
      <c r="B101" t="s">
        <v>147</v>
      </c>
      <c r="C101">
        <v>4.7</v>
      </c>
      <c r="D101">
        <v>5413</v>
      </c>
      <c r="E101">
        <v>9</v>
      </c>
      <c r="F101">
        <v>2015</v>
      </c>
      <c r="G101" t="s">
        <v>8</v>
      </c>
      <c r="I101" t="str">
        <v/>
      </c>
    </row>
    <row r="102" spans="1:9" hidden="1" x14ac:dyDescent="0.25">
      <c r="A102" t="s">
        <v>148</v>
      </c>
      <c r="B102" t="s">
        <v>149</v>
      </c>
      <c r="C102">
        <v>4.5999999999999996</v>
      </c>
      <c r="D102">
        <v>10721</v>
      </c>
      <c r="E102">
        <v>8</v>
      </c>
      <c r="F102">
        <v>2016</v>
      </c>
      <c r="G102" t="s">
        <v>10</v>
      </c>
      <c r="I102" t="str">
        <v/>
      </c>
    </row>
    <row r="103" spans="1:9" hidden="1" x14ac:dyDescent="0.25">
      <c r="A103" t="s">
        <v>148</v>
      </c>
      <c r="B103" t="s">
        <v>149</v>
      </c>
      <c r="C103">
        <v>4.5999999999999996</v>
      </c>
      <c r="D103">
        <v>10721</v>
      </c>
      <c r="E103">
        <v>8</v>
      </c>
      <c r="F103">
        <v>2018</v>
      </c>
      <c r="G103" t="s">
        <v>10</v>
      </c>
      <c r="I103" t="str">
        <v/>
      </c>
    </row>
    <row r="104" spans="1:9" hidden="1" x14ac:dyDescent="0.25">
      <c r="A104" t="s">
        <v>150</v>
      </c>
      <c r="B104" t="s">
        <v>151</v>
      </c>
      <c r="C104">
        <v>4.7</v>
      </c>
      <c r="D104">
        <v>4370</v>
      </c>
      <c r="E104">
        <v>15</v>
      </c>
      <c r="F104">
        <v>2016</v>
      </c>
      <c r="G104" t="s">
        <v>10</v>
      </c>
      <c r="I104" t="str">
        <v/>
      </c>
    </row>
    <row r="105" spans="1:9" hidden="1" x14ac:dyDescent="0.25">
      <c r="A105" t="s">
        <v>152</v>
      </c>
      <c r="B105" t="s">
        <v>153</v>
      </c>
      <c r="C105">
        <v>4.4000000000000004</v>
      </c>
      <c r="D105">
        <v>6042</v>
      </c>
      <c r="E105">
        <v>2</v>
      </c>
      <c r="F105">
        <v>2018</v>
      </c>
      <c r="G105" t="s">
        <v>8</v>
      </c>
      <c r="I105" t="str">
        <v/>
      </c>
    </row>
    <row r="106" spans="1:9" hidden="1" x14ac:dyDescent="0.25">
      <c r="A106" t="s">
        <v>154</v>
      </c>
      <c r="B106" t="s">
        <v>155</v>
      </c>
      <c r="C106">
        <v>4.4000000000000004</v>
      </c>
      <c r="D106">
        <v>23631</v>
      </c>
      <c r="E106">
        <v>7</v>
      </c>
      <c r="F106">
        <v>2012</v>
      </c>
      <c r="G106" t="s">
        <v>10</v>
      </c>
      <c r="I106" t="str">
        <v/>
      </c>
    </row>
    <row r="107" spans="1:9" hidden="1" x14ac:dyDescent="0.25">
      <c r="A107" t="s">
        <v>156</v>
      </c>
      <c r="B107" t="s">
        <v>155</v>
      </c>
      <c r="C107">
        <v>4.5</v>
      </c>
      <c r="D107">
        <v>20262</v>
      </c>
      <c r="E107">
        <v>11</v>
      </c>
      <c r="F107">
        <v>2012</v>
      </c>
      <c r="G107" t="s">
        <v>10</v>
      </c>
      <c r="I107" t="str">
        <v/>
      </c>
    </row>
    <row r="108" spans="1:9" hidden="1" x14ac:dyDescent="0.25">
      <c r="A108" t="s">
        <v>157</v>
      </c>
      <c r="B108" t="s">
        <v>155</v>
      </c>
      <c r="C108">
        <v>3.8</v>
      </c>
      <c r="D108">
        <v>47265</v>
      </c>
      <c r="E108">
        <v>14</v>
      </c>
      <c r="F108">
        <v>2012</v>
      </c>
      <c r="G108" t="s">
        <v>10</v>
      </c>
      <c r="I108" t="str">
        <v/>
      </c>
    </row>
    <row r="109" spans="1:9" hidden="1" x14ac:dyDescent="0.25">
      <c r="A109" t="s">
        <v>157</v>
      </c>
      <c r="B109" t="s">
        <v>155</v>
      </c>
      <c r="C109">
        <v>3.8</v>
      </c>
      <c r="D109">
        <v>47265</v>
      </c>
      <c r="E109">
        <v>14</v>
      </c>
      <c r="F109">
        <v>2013</v>
      </c>
      <c r="G109" t="s">
        <v>10</v>
      </c>
      <c r="I109" t="str">
        <v/>
      </c>
    </row>
    <row r="110" spans="1:9" hidden="1" x14ac:dyDescent="0.25">
      <c r="A110" t="s">
        <v>158</v>
      </c>
      <c r="B110" t="s">
        <v>155</v>
      </c>
      <c r="C110">
        <v>4.5</v>
      </c>
      <c r="D110">
        <v>13964</v>
      </c>
      <c r="E110">
        <v>32</v>
      </c>
      <c r="F110">
        <v>2012</v>
      </c>
      <c r="G110" t="s">
        <v>10</v>
      </c>
      <c r="I110" t="str">
        <v/>
      </c>
    </row>
    <row r="111" spans="1:9" hidden="1" x14ac:dyDescent="0.25">
      <c r="A111" t="s">
        <v>159</v>
      </c>
      <c r="B111" t="s">
        <v>160</v>
      </c>
      <c r="C111">
        <v>4.2</v>
      </c>
      <c r="D111">
        <v>13677</v>
      </c>
      <c r="E111">
        <v>6</v>
      </c>
      <c r="F111">
        <v>2018</v>
      </c>
      <c r="G111" t="s">
        <v>8</v>
      </c>
      <c r="I111" t="str">
        <v/>
      </c>
    </row>
    <row r="112" spans="1:9" hidden="1" x14ac:dyDescent="0.25">
      <c r="A112" t="s">
        <v>161</v>
      </c>
      <c r="B112" t="s">
        <v>162</v>
      </c>
      <c r="C112">
        <v>4.7</v>
      </c>
      <c r="D112">
        <v>17323</v>
      </c>
      <c r="E112">
        <v>4</v>
      </c>
      <c r="F112">
        <v>2014</v>
      </c>
      <c r="G112" t="s">
        <v>8</v>
      </c>
      <c r="I112" t="str">
        <v/>
      </c>
    </row>
    <row r="113" spans="1:9" hidden="1" x14ac:dyDescent="0.25">
      <c r="A113" t="s">
        <v>161</v>
      </c>
      <c r="B113" t="s">
        <v>162</v>
      </c>
      <c r="C113">
        <v>4.7</v>
      </c>
      <c r="D113">
        <v>17323</v>
      </c>
      <c r="E113">
        <v>4</v>
      </c>
      <c r="F113">
        <v>2015</v>
      </c>
      <c r="G113" t="s">
        <v>8</v>
      </c>
      <c r="I113" t="str">
        <v/>
      </c>
    </row>
    <row r="114" spans="1:9" hidden="1" x14ac:dyDescent="0.25">
      <c r="A114" t="s">
        <v>161</v>
      </c>
      <c r="B114" t="s">
        <v>162</v>
      </c>
      <c r="C114">
        <v>4.7</v>
      </c>
      <c r="D114">
        <v>17323</v>
      </c>
      <c r="E114">
        <v>4</v>
      </c>
      <c r="F114">
        <v>2016</v>
      </c>
      <c r="G114" t="s">
        <v>8</v>
      </c>
      <c r="I114" t="str">
        <v/>
      </c>
    </row>
    <row r="115" spans="1:9" hidden="1" x14ac:dyDescent="0.25">
      <c r="A115" t="s">
        <v>161</v>
      </c>
      <c r="B115" t="s">
        <v>162</v>
      </c>
      <c r="C115">
        <v>4.7</v>
      </c>
      <c r="D115">
        <v>17323</v>
      </c>
      <c r="E115">
        <v>4</v>
      </c>
      <c r="F115">
        <v>2017</v>
      </c>
      <c r="G115" t="s">
        <v>8</v>
      </c>
      <c r="I115" t="str">
        <v/>
      </c>
    </row>
    <row r="116" spans="1:9" hidden="1" x14ac:dyDescent="0.25">
      <c r="A116" t="s">
        <v>161</v>
      </c>
      <c r="B116" t="s">
        <v>162</v>
      </c>
      <c r="C116">
        <v>4.7</v>
      </c>
      <c r="D116">
        <v>17323</v>
      </c>
      <c r="E116">
        <v>4</v>
      </c>
      <c r="F116">
        <v>2018</v>
      </c>
      <c r="G116" t="s">
        <v>8</v>
      </c>
      <c r="I116" t="str">
        <v/>
      </c>
    </row>
    <row r="117" spans="1:9" hidden="1" x14ac:dyDescent="0.25">
      <c r="A117" t="s">
        <v>163</v>
      </c>
      <c r="B117" t="s">
        <v>164</v>
      </c>
      <c r="C117">
        <v>4.4000000000000004</v>
      </c>
      <c r="D117">
        <v>1555</v>
      </c>
      <c r="E117">
        <v>9</v>
      </c>
      <c r="F117">
        <v>2010</v>
      </c>
      <c r="G117" t="s">
        <v>8</v>
      </c>
      <c r="I117" t="str">
        <v/>
      </c>
    </row>
    <row r="118" spans="1:9" hidden="1" x14ac:dyDescent="0.25">
      <c r="A118" t="s">
        <v>165</v>
      </c>
      <c r="B118" t="s">
        <v>166</v>
      </c>
      <c r="C118">
        <v>4.7</v>
      </c>
      <c r="D118">
        <v>3642</v>
      </c>
      <c r="E118">
        <v>0</v>
      </c>
      <c r="F118">
        <v>2014</v>
      </c>
      <c r="G118" t="s">
        <v>10</v>
      </c>
      <c r="I118" t="str">
        <v/>
      </c>
    </row>
    <row r="119" spans="1:9" hidden="1" x14ac:dyDescent="0.25">
      <c r="A119" t="s">
        <v>167</v>
      </c>
      <c r="B119" t="s">
        <v>168</v>
      </c>
      <c r="C119">
        <v>4.4000000000000004</v>
      </c>
      <c r="D119">
        <v>1215</v>
      </c>
      <c r="E119">
        <v>9</v>
      </c>
      <c r="F119">
        <v>2010</v>
      </c>
      <c r="G119" t="s">
        <v>8</v>
      </c>
      <c r="I119" t="str">
        <v/>
      </c>
    </row>
    <row r="120" spans="1:9" x14ac:dyDescent="0.25">
      <c r="A120" t="s">
        <v>169</v>
      </c>
      <c r="B120" t="s">
        <v>170</v>
      </c>
      <c r="C120">
        <v>4.5999999999999996</v>
      </c>
      <c r="D120">
        <v>5594</v>
      </c>
      <c r="E120">
        <v>5</v>
      </c>
      <c r="F120">
        <v>2011</v>
      </c>
      <c r="G120" t="s">
        <v>10</v>
      </c>
      <c r="I120" s="4" t="str">
        <v>Frozen (Little Golden Book)</v>
      </c>
    </row>
    <row r="121" spans="1:9" hidden="1" x14ac:dyDescent="0.25">
      <c r="A121" t="s">
        <v>169</v>
      </c>
      <c r="B121" t="s">
        <v>170</v>
      </c>
      <c r="C121">
        <v>4.5999999999999996</v>
      </c>
      <c r="D121">
        <v>5594</v>
      </c>
      <c r="E121">
        <v>5</v>
      </c>
      <c r="F121">
        <v>2012</v>
      </c>
      <c r="G121" t="s">
        <v>10</v>
      </c>
      <c r="I121" t="str">
        <v/>
      </c>
    </row>
    <row r="122" spans="1:9" hidden="1" x14ac:dyDescent="0.25">
      <c r="A122" t="s">
        <v>169</v>
      </c>
      <c r="B122" t="s">
        <v>170</v>
      </c>
      <c r="C122">
        <v>4.5999999999999996</v>
      </c>
      <c r="D122">
        <v>5594</v>
      </c>
      <c r="E122">
        <v>5</v>
      </c>
      <c r="F122">
        <v>2013</v>
      </c>
      <c r="G122" t="s">
        <v>10</v>
      </c>
      <c r="I122" t="str">
        <v/>
      </c>
    </row>
    <row r="123" spans="1:9" hidden="1" x14ac:dyDescent="0.25">
      <c r="A123" t="s">
        <v>171</v>
      </c>
      <c r="B123" t="s">
        <v>172</v>
      </c>
      <c r="C123">
        <v>4.5</v>
      </c>
      <c r="D123">
        <v>408</v>
      </c>
      <c r="E123">
        <v>20</v>
      </c>
      <c r="F123">
        <v>2010</v>
      </c>
      <c r="G123" t="s">
        <v>8</v>
      </c>
      <c r="I123" t="str">
        <v/>
      </c>
    </row>
    <row r="124" spans="1:9" hidden="1" x14ac:dyDescent="0.25">
      <c r="A124" t="s">
        <v>173</v>
      </c>
      <c r="B124" t="s">
        <v>174</v>
      </c>
      <c r="C124">
        <v>4.5999999999999996</v>
      </c>
      <c r="D124">
        <v>4799</v>
      </c>
      <c r="E124">
        <v>16</v>
      </c>
      <c r="F124">
        <v>2013</v>
      </c>
      <c r="G124" t="s">
        <v>8</v>
      </c>
      <c r="I124" t="str">
        <v/>
      </c>
    </row>
    <row r="125" spans="1:9" hidden="1" x14ac:dyDescent="0.25">
      <c r="A125" t="s">
        <v>175</v>
      </c>
      <c r="B125" t="s">
        <v>176</v>
      </c>
      <c r="C125">
        <v>4.8</v>
      </c>
      <c r="D125">
        <v>14038</v>
      </c>
      <c r="E125">
        <v>4</v>
      </c>
      <c r="F125">
        <v>2015</v>
      </c>
      <c r="G125" t="s">
        <v>10</v>
      </c>
      <c r="I125" t="str">
        <v/>
      </c>
    </row>
    <row r="126" spans="1:9" hidden="1" x14ac:dyDescent="0.25">
      <c r="A126" t="s">
        <v>175</v>
      </c>
      <c r="B126" t="s">
        <v>176</v>
      </c>
      <c r="C126">
        <v>4.8</v>
      </c>
      <c r="D126">
        <v>14038</v>
      </c>
      <c r="E126">
        <v>4</v>
      </c>
      <c r="F126">
        <v>2016</v>
      </c>
      <c r="G126" t="s">
        <v>10</v>
      </c>
      <c r="I126" t="str">
        <v/>
      </c>
    </row>
    <row r="127" spans="1:9" hidden="1" x14ac:dyDescent="0.25">
      <c r="A127" t="s">
        <v>175</v>
      </c>
      <c r="B127" t="s">
        <v>176</v>
      </c>
      <c r="C127">
        <v>4.8</v>
      </c>
      <c r="D127">
        <v>14038</v>
      </c>
      <c r="E127">
        <v>4</v>
      </c>
      <c r="F127">
        <v>2017</v>
      </c>
      <c r="G127" t="s">
        <v>10</v>
      </c>
      <c r="I127" t="str">
        <v/>
      </c>
    </row>
    <row r="128" spans="1:9" hidden="1" x14ac:dyDescent="0.25">
      <c r="A128" t="s">
        <v>175</v>
      </c>
      <c r="B128" t="s">
        <v>176</v>
      </c>
      <c r="C128">
        <v>4.8</v>
      </c>
      <c r="D128">
        <v>14038</v>
      </c>
      <c r="E128">
        <v>4</v>
      </c>
      <c r="F128">
        <v>2018</v>
      </c>
      <c r="G128" t="s">
        <v>10</v>
      </c>
      <c r="I128" t="str">
        <v/>
      </c>
    </row>
    <row r="129" spans="1:9" hidden="1" x14ac:dyDescent="0.25">
      <c r="A129" t="s">
        <v>175</v>
      </c>
      <c r="B129" t="s">
        <v>176</v>
      </c>
      <c r="C129">
        <v>4.8</v>
      </c>
      <c r="D129">
        <v>14038</v>
      </c>
      <c r="E129">
        <v>4</v>
      </c>
      <c r="F129">
        <v>2019</v>
      </c>
      <c r="G129" t="s">
        <v>10</v>
      </c>
      <c r="I129" t="str">
        <v/>
      </c>
    </row>
    <row r="130" spans="1:9" hidden="1" x14ac:dyDescent="0.25">
      <c r="A130" t="s">
        <v>177</v>
      </c>
      <c r="B130" t="s">
        <v>178</v>
      </c>
      <c r="C130">
        <v>4.5999999999999996</v>
      </c>
      <c r="D130">
        <v>7660</v>
      </c>
      <c r="E130">
        <v>12</v>
      </c>
      <c r="F130">
        <v>2019</v>
      </c>
      <c r="G130" t="s">
        <v>8</v>
      </c>
      <c r="I130" t="str">
        <v/>
      </c>
    </row>
    <row r="131" spans="1:9" hidden="1" x14ac:dyDescent="0.25">
      <c r="A131" t="s">
        <v>179</v>
      </c>
      <c r="B131" t="s">
        <v>178</v>
      </c>
      <c r="C131">
        <v>4.5999999999999996</v>
      </c>
      <c r="D131">
        <v>22288</v>
      </c>
      <c r="E131">
        <v>12</v>
      </c>
      <c r="F131">
        <v>2018</v>
      </c>
      <c r="G131" t="s">
        <v>8</v>
      </c>
      <c r="I131" t="str">
        <v/>
      </c>
    </row>
    <row r="132" spans="1:9" hidden="1" x14ac:dyDescent="0.25">
      <c r="A132" t="s">
        <v>179</v>
      </c>
      <c r="B132" t="s">
        <v>178</v>
      </c>
      <c r="C132">
        <v>4.5999999999999996</v>
      </c>
      <c r="D132">
        <v>22288</v>
      </c>
      <c r="E132">
        <v>12</v>
      </c>
      <c r="F132">
        <v>2019</v>
      </c>
      <c r="G132" t="s">
        <v>8</v>
      </c>
      <c r="I132" t="str">
        <v/>
      </c>
    </row>
    <row r="133" spans="1:9" hidden="1" x14ac:dyDescent="0.25">
      <c r="A133" t="s">
        <v>180</v>
      </c>
      <c r="B133" t="s">
        <v>52</v>
      </c>
      <c r="C133">
        <v>4.5999999999999996</v>
      </c>
      <c r="D133">
        <v>1365</v>
      </c>
      <c r="E133">
        <v>11</v>
      </c>
      <c r="F133">
        <v>2009</v>
      </c>
      <c r="G133" t="s">
        <v>8</v>
      </c>
      <c r="I133" t="str">
        <v/>
      </c>
    </row>
    <row r="134" spans="1:9" hidden="1" x14ac:dyDescent="0.25">
      <c r="A134" t="s">
        <v>181</v>
      </c>
      <c r="B134" t="s">
        <v>182</v>
      </c>
      <c r="C134">
        <v>3.6</v>
      </c>
      <c r="D134">
        <v>14982</v>
      </c>
      <c r="E134">
        <v>19</v>
      </c>
      <c r="F134">
        <v>2015</v>
      </c>
      <c r="G134" t="s">
        <v>10</v>
      </c>
      <c r="I134" t="str">
        <v/>
      </c>
    </row>
    <row r="135" spans="1:9" hidden="1" x14ac:dyDescent="0.25">
      <c r="A135" t="s">
        <v>183</v>
      </c>
      <c r="B135" t="s">
        <v>184</v>
      </c>
      <c r="C135">
        <v>4.8</v>
      </c>
      <c r="D135">
        <v>9568</v>
      </c>
      <c r="E135">
        <v>9</v>
      </c>
      <c r="F135">
        <v>2011</v>
      </c>
      <c r="G135" t="s">
        <v>10</v>
      </c>
      <c r="I135" t="str">
        <v/>
      </c>
    </row>
    <row r="136" spans="1:9" hidden="1" x14ac:dyDescent="0.25">
      <c r="A136" t="s">
        <v>185</v>
      </c>
      <c r="B136" t="s">
        <v>186</v>
      </c>
      <c r="C136">
        <v>4.5999999999999996</v>
      </c>
      <c r="D136">
        <v>1636</v>
      </c>
      <c r="E136">
        <v>6</v>
      </c>
      <c r="F136">
        <v>2009</v>
      </c>
      <c r="G136" t="s">
        <v>8</v>
      </c>
      <c r="I136" t="str">
        <v/>
      </c>
    </row>
    <row r="137" spans="1:9" hidden="1" x14ac:dyDescent="0.25">
      <c r="A137" t="s">
        <v>187</v>
      </c>
      <c r="B137" t="s">
        <v>188</v>
      </c>
      <c r="C137">
        <v>4</v>
      </c>
      <c r="D137">
        <v>57271</v>
      </c>
      <c r="E137">
        <v>10</v>
      </c>
      <c r="F137">
        <v>2012</v>
      </c>
      <c r="G137" t="s">
        <v>10</v>
      </c>
      <c r="I137" t="str">
        <v/>
      </c>
    </row>
    <row r="138" spans="1:9" hidden="1" x14ac:dyDescent="0.25">
      <c r="A138" t="s">
        <v>187</v>
      </c>
      <c r="B138" t="s">
        <v>188</v>
      </c>
      <c r="C138">
        <v>4</v>
      </c>
      <c r="D138">
        <v>57271</v>
      </c>
      <c r="E138">
        <v>10</v>
      </c>
      <c r="F138">
        <v>2013</v>
      </c>
      <c r="G138" t="s">
        <v>10</v>
      </c>
      <c r="I138" t="str">
        <v/>
      </c>
    </row>
    <row r="139" spans="1:9" hidden="1" x14ac:dyDescent="0.25">
      <c r="A139" t="s">
        <v>187</v>
      </c>
      <c r="B139" t="s">
        <v>188</v>
      </c>
      <c r="C139">
        <v>4</v>
      </c>
      <c r="D139">
        <v>57271</v>
      </c>
      <c r="E139">
        <v>9</v>
      </c>
      <c r="F139">
        <v>2014</v>
      </c>
      <c r="G139" t="s">
        <v>10</v>
      </c>
      <c r="I139" t="str">
        <v/>
      </c>
    </row>
    <row r="140" spans="1:9" hidden="1" x14ac:dyDescent="0.25">
      <c r="A140" t="s">
        <v>189</v>
      </c>
      <c r="B140" t="s">
        <v>190</v>
      </c>
      <c r="C140">
        <v>4.5999999999999996</v>
      </c>
      <c r="D140">
        <v>10141</v>
      </c>
      <c r="E140">
        <v>6</v>
      </c>
      <c r="F140">
        <v>2019</v>
      </c>
      <c r="G140" t="s">
        <v>8</v>
      </c>
      <c r="I140" t="str">
        <v/>
      </c>
    </row>
    <row r="141" spans="1:9" hidden="1" x14ac:dyDescent="0.25">
      <c r="A141" t="s">
        <v>191</v>
      </c>
      <c r="B141" t="s">
        <v>192</v>
      </c>
      <c r="C141">
        <v>4.5</v>
      </c>
      <c r="D141">
        <v>3457</v>
      </c>
      <c r="E141">
        <v>14</v>
      </c>
      <c r="F141">
        <v>2009</v>
      </c>
      <c r="G141" t="s">
        <v>8</v>
      </c>
      <c r="I141" t="str">
        <v/>
      </c>
    </row>
    <row r="142" spans="1:9" hidden="1" x14ac:dyDescent="0.25">
      <c r="A142" t="s">
        <v>191</v>
      </c>
      <c r="B142" t="s">
        <v>192</v>
      </c>
      <c r="C142">
        <v>4.5</v>
      </c>
      <c r="D142">
        <v>3457</v>
      </c>
      <c r="E142">
        <v>14</v>
      </c>
      <c r="F142">
        <v>2010</v>
      </c>
      <c r="G142" t="s">
        <v>8</v>
      </c>
      <c r="I142" t="str">
        <v/>
      </c>
    </row>
    <row r="143" spans="1:9" hidden="1" x14ac:dyDescent="0.25">
      <c r="A143" t="s">
        <v>191</v>
      </c>
      <c r="B143" t="s">
        <v>192</v>
      </c>
      <c r="C143">
        <v>4.5</v>
      </c>
      <c r="D143">
        <v>3457</v>
      </c>
      <c r="E143">
        <v>14</v>
      </c>
      <c r="F143">
        <v>2011</v>
      </c>
      <c r="G143" t="s">
        <v>8</v>
      </c>
      <c r="I143" t="str">
        <v/>
      </c>
    </row>
    <row r="144" spans="1:9" hidden="1" x14ac:dyDescent="0.25">
      <c r="A144" t="s">
        <v>191</v>
      </c>
      <c r="B144" t="s">
        <v>192</v>
      </c>
      <c r="C144">
        <v>4.5</v>
      </c>
      <c r="D144">
        <v>3457</v>
      </c>
      <c r="E144">
        <v>14</v>
      </c>
      <c r="F144">
        <v>2012</v>
      </c>
      <c r="G144" t="s">
        <v>8</v>
      </c>
      <c r="I144" t="str">
        <v/>
      </c>
    </row>
    <row r="145" spans="1:9" hidden="1" x14ac:dyDescent="0.25">
      <c r="A145" t="s">
        <v>193</v>
      </c>
      <c r="B145" t="s">
        <v>194</v>
      </c>
      <c r="C145">
        <v>4.8</v>
      </c>
      <c r="D145">
        <v>8837</v>
      </c>
      <c r="E145">
        <v>5</v>
      </c>
      <c r="F145">
        <v>2017</v>
      </c>
      <c r="G145" t="s">
        <v>10</v>
      </c>
      <c r="I145" t="str">
        <v/>
      </c>
    </row>
    <row r="146" spans="1:9" hidden="1" x14ac:dyDescent="0.25">
      <c r="A146" t="s">
        <v>193</v>
      </c>
      <c r="B146" t="s">
        <v>194</v>
      </c>
      <c r="C146">
        <v>4.8</v>
      </c>
      <c r="D146">
        <v>8837</v>
      </c>
      <c r="E146">
        <v>5</v>
      </c>
      <c r="F146">
        <v>2018</v>
      </c>
      <c r="G146" t="s">
        <v>10</v>
      </c>
      <c r="I146" t="str">
        <v/>
      </c>
    </row>
    <row r="147" spans="1:9" hidden="1" x14ac:dyDescent="0.25">
      <c r="A147" t="s">
        <v>193</v>
      </c>
      <c r="B147" t="s">
        <v>194</v>
      </c>
      <c r="C147">
        <v>4.8</v>
      </c>
      <c r="D147">
        <v>8837</v>
      </c>
      <c r="E147">
        <v>5</v>
      </c>
      <c r="F147">
        <v>2019</v>
      </c>
      <c r="G147" t="s">
        <v>10</v>
      </c>
      <c r="I147" t="str">
        <v/>
      </c>
    </row>
    <row r="148" spans="1:9" hidden="1" x14ac:dyDescent="0.25">
      <c r="A148" t="s">
        <v>195</v>
      </c>
      <c r="B148" t="s">
        <v>196</v>
      </c>
      <c r="C148">
        <v>4.9000000000000004</v>
      </c>
      <c r="D148">
        <v>7038</v>
      </c>
      <c r="E148">
        <v>7</v>
      </c>
      <c r="F148">
        <v>2012</v>
      </c>
      <c r="G148" t="s">
        <v>10</v>
      </c>
      <c r="I148" t="str">
        <v/>
      </c>
    </row>
    <row r="149" spans="1:9" hidden="1" x14ac:dyDescent="0.25">
      <c r="A149" t="s">
        <v>195</v>
      </c>
      <c r="B149" t="s">
        <v>196</v>
      </c>
      <c r="C149">
        <v>4.9000000000000004</v>
      </c>
      <c r="D149">
        <v>7038</v>
      </c>
      <c r="E149">
        <v>7</v>
      </c>
      <c r="F149">
        <v>2013</v>
      </c>
      <c r="G149" t="s">
        <v>10</v>
      </c>
      <c r="I149" t="str">
        <v/>
      </c>
    </row>
    <row r="150" spans="1:9" hidden="1" x14ac:dyDescent="0.25">
      <c r="A150" t="s">
        <v>197</v>
      </c>
      <c r="B150" t="s">
        <v>198</v>
      </c>
      <c r="C150">
        <v>4.5999999999999996</v>
      </c>
      <c r="D150">
        <v>5972</v>
      </c>
      <c r="E150">
        <v>10</v>
      </c>
      <c r="F150">
        <v>2014</v>
      </c>
      <c r="G150" t="s">
        <v>8</v>
      </c>
      <c r="I150" t="str">
        <v/>
      </c>
    </row>
    <row r="151" spans="1:9" hidden="1" x14ac:dyDescent="0.25">
      <c r="A151" t="s">
        <v>199</v>
      </c>
      <c r="B151" t="s">
        <v>155</v>
      </c>
      <c r="C151">
        <v>4.4000000000000004</v>
      </c>
      <c r="D151">
        <v>25624</v>
      </c>
      <c r="E151">
        <v>14</v>
      </c>
      <c r="F151">
        <v>2015</v>
      </c>
      <c r="G151" t="s">
        <v>10</v>
      </c>
      <c r="I151" t="str">
        <v/>
      </c>
    </row>
    <row r="152" spans="1:9" hidden="1" x14ac:dyDescent="0.25">
      <c r="A152" t="s">
        <v>200</v>
      </c>
      <c r="B152" t="s">
        <v>201</v>
      </c>
      <c r="C152">
        <v>4.8</v>
      </c>
      <c r="D152">
        <v>5476</v>
      </c>
      <c r="E152">
        <v>7</v>
      </c>
      <c r="F152">
        <v>2019</v>
      </c>
      <c r="G152" t="s">
        <v>8</v>
      </c>
      <c r="I152" t="str">
        <v/>
      </c>
    </row>
    <row r="153" spans="1:9" hidden="1" x14ac:dyDescent="0.25">
      <c r="A153" t="s">
        <v>202</v>
      </c>
      <c r="B153" t="s">
        <v>203</v>
      </c>
      <c r="C153">
        <v>4.9000000000000004</v>
      </c>
      <c r="D153">
        <v>5867</v>
      </c>
      <c r="E153">
        <v>54</v>
      </c>
      <c r="F153">
        <v>2016</v>
      </c>
      <c r="G153" t="s">
        <v>8</v>
      </c>
      <c r="I153" t="str">
        <v/>
      </c>
    </row>
    <row r="154" spans="1:9" hidden="1" x14ac:dyDescent="0.25">
      <c r="A154" t="s">
        <v>204</v>
      </c>
      <c r="B154" t="s">
        <v>205</v>
      </c>
      <c r="C154">
        <v>4.8</v>
      </c>
      <c r="D154">
        <v>4148</v>
      </c>
      <c r="E154">
        <v>11</v>
      </c>
      <c r="F154">
        <v>2013</v>
      </c>
      <c r="G154" t="s">
        <v>8</v>
      </c>
      <c r="I154" t="str">
        <v/>
      </c>
    </row>
    <row r="155" spans="1:9" hidden="1" x14ac:dyDescent="0.25">
      <c r="A155" t="s">
        <v>206</v>
      </c>
      <c r="B155" t="s">
        <v>151</v>
      </c>
      <c r="C155">
        <v>4.9000000000000004</v>
      </c>
      <c r="D155">
        <v>19622</v>
      </c>
      <c r="E155">
        <v>30</v>
      </c>
      <c r="F155">
        <v>2016</v>
      </c>
      <c r="G155" t="s">
        <v>10</v>
      </c>
      <c r="I155" t="str">
        <v/>
      </c>
    </row>
    <row r="156" spans="1:9" hidden="1" x14ac:dyDescent="0.25">
      <c r="A156" t="s">
        <v>207</v>
      </c>
      <c r="B156" t="s">
        <v>151</v>
      </c>
      <c r="C156">
        <v>4</v>
      </c>
      <c r="D156">
        <v>23973</v>
      </c>
      <c r="E156">
        <v>12</v>
      </c>
      <c r="F156">
        <v>2016</v>
      </c>
      <c r="G156" t="s">
        <v>10</v>
      </c>
      <c r="I156" t="str">
        <v/>
      </c>
    </row>
    <row r="157" spans="1:9" hidden="1" x14ac:dyDescent="0.25">
      <c r="A157" t="s">
        <v>208</v>
      </c>
      <c r="B157" t="s">
        <v>209</v>
      </c>
      <c r="C157">
        <v>4.9000000000000004</v>
      </c>
      <c r="D157">
        <v>7758</v>
      </c>
      <c r="E157">
        <v>18</v>
      </c>
      <c r="F157">
        <v>2019</v>
      </c>
      <c r="G157" t="s">
        <v>10</v>
      </c>
      <c r="I157" t="str">
        <v/>
      </c>
    </row>
    <row r="158" spans="1:9" hidden="1" x14ac:dyDescent="0.25">
      <c r="A158" t="s">
        <v>210</v>
      </c>
      <c r="B158" t="s">
        <v>151</v>
      </c>
      <c r="C158">
        <v>4.9000000000000004</v>
      </c>
      <c r="D158">
        <v>3146</v>
      </c>
      <c r="E158">
        <v>30</v>
      </c>
      <c r="F158">
        <v>2017</v>
      </c>
      <c r="G158" t="s">
        <v>10</v>
      </c>
      <c r="I158" t="str">
        <v/>
      </c>
    </row>
    <row r="159" spans="1:9" hidden="1" x14ac:dyDescent="0.25">
      <c r="A159" t="s">
        <v>211</v>
      </c>
      <c r="B159" t="s">
        <v>151</v>
      </c>
      <c r="C159">
        <v>4.9000000000000004</v>
      </c>
      <c r="D159">
        <v>10052</v>
      </c>
      <c r="E159">
        <v>22</v>
      </c>
      <c r="F159">
        <v>2016</v>
      </c>
      <c r="G159" t="s">
        <v>10</v>
      </c>
      <c r="I159" t="str">
        <v/>
      </c>
    </row>
    <row r="160" spans="1:9" hidden="1" x14ac:dyDescent="0.25">
      <c r="A160" t="s">
        <v>212</v>
      </c>
      <c r="B160" t="s">
        <v>213</v>
      </c>
      <c r="C160">
        <v>4.7</v>
      </c>
      <c r="D160">
        <v>3564</v>
      </c>
      <c r="E160">
        <v>9</v>
      </c>
      <c r="F160">
        <v>2015</v>
      </c>
      <c r="G160" t="s">
        <v>8</v>
      </c>
      <c r="I160" t="str">
        <v/>
      </c>
    </row>
    <row r="161" spans="1:9" hidden="1" x14ac:dyDescent="0.25">
      <c r="A161" t="s">
        <v>214</v>
      </c>
      <c r="B161" t="s">
        <v>209</v>
      </c>
      <c r="C161">
        <v>4.8</v>
      </c>
      <c r="D161">
        <v>13471</v>
      </c>
      <c r="E161">
        <v>52</v>
      </c>
      <c r="F161">
        <v>2016</v>
      </c>
      <c r="G161" t="s">
        <v>10</v>
      </c>
      <c r="I161" t="str">
        <v/>
      </c>
    </row>
    <row r="162" spans="1:9" hidden="1" x14ac:dyDescent="0.25">
      <c r="A162" t="s">
        <v>215</v>
      </c>
      <c r="B162" t="s">
        <v>216</v>
      </c>
      <c r="C162">
        <v>4.8</v>
      </c>
      <c r="D162">
        <v>1930</v>
      </c>
      <c r="E162">
        <v>4</v>
      </c>
      <c r="F162">
        <v>2009</v>
      </c>
      <c r="G162" t="s">
        <v>8</v>
      </c>
      <c r="I162" t="str">
        <v/>
      </c>
    </row>
    <row r="163" spans="1:9" hidden="1" x14ac:dyDescent="0.25">
      <c r="A163" t="s">
        <v>217</v>
      </c>
      <c r="B163" t="s">
        <v>218</v>
      </c>
      <c r="C163">
        <v>4.7</v>
      </c>
      <c r="D163">
        <v>15779</v>
      </c>
      <c r="E163">
        <v>10</v>
      </c>
      <c r="F163">
        <v>2011</v>
      </c>
      <c r="G163" t="s">
        <v>8</v>
      </c>
      <c r="I163" t="str">
        <v/>
      </c>
    </row>
    <row r="164" spans="1:9" hidden="1" x14ac:dyDescent="0.25">
      <c r="A164" t="s">
        <v>217</v>
      </c>
      <c r="B164" t="s">
        <v>218</v>
      </c>
      <c r="C164">
        <v>4.7</v>
      </c>
      <c r="D164">
        <v>15779</v>
      </c>
      <c r="E164">
        <v>10</v>
      </c>
      <c r="F164">
        <v>2012</v>
      </c>
      <c r="G164" t="s">
        <v>8</v>
      </c>
      <c r="I164" t="str">
        <v/>
      </c>
    </row>
    <row r="165" spans="1:9" hidden="1" x14ac:dyDescent="0.25">
      <c r="A165" t="s">
        <v>219</v>
      </c>
      <c r="B165" t="s">
        <v>220</v>
      </c>
      <c r="C165">
        <v>4.4000000000000004</v>
      </c>
      <c r="D165">
        <v>15526</v>
      </c>
      <c r="E165">
        <v>14</v>
      </c>
      <c r="F165">
        <v>2016</v>
      </c>
      <c r="G165" t="s">
        <v>8</v>
      </c>
      <c r="I165" t="str">
        <v/>
      </c>
    </row>
    <row r="166" spans="1:9" hidden="1" x14ac:dyDescent="0.25">
      <c r="A166" t="s">
        <v>219</v>
      </c>
      <c r="B166" t="s">
        <v>220</v>
      </c>
      <c r="C166">
        <v>4.4000000000000004</v>
      </c>
      <c r="D166">
        <v>15526</v>
      </c>
      <c r="E166">
        <v>14</v>
      </c>
      <c r="F166">
        <v>2017</v>
      </c>
      <c r="G166" t="s">
        <v>8</v>
      </c>
      <c r="I166" t="str">
        <v/>
      </c>
    </row>
    <row r="167" spans="1:9" hidden="1" x14ac:dyDescent="0.25">
      <c r="A167" t="s">
        <v>221</v>
      </c>
      <c r="B167" t="s">
        <v>222</v>
      </c>
      <c r="C167">
        <v>4.8</v>
      </c>
      <c r="D167">
        <v>3776</v>
      </c>
      <c r="E167">
        <v>22</v>
      </c>
      <c r="F167">
        <v>2018</v>
      </c>
      <c r="G167" t="s">
        <v>8</v>
      </c>
      <c r="I167" t="str">
        <v/>
      </c>
    </row>
    <row r="168" spans="1:9" hidden="1" x14ac:dyDescent="0.25">
      <c r="A168" t="s">
        <v>223</v>
      </c>
      <c r="B168" t="s">
        <v>224</v>
      </c>
      <c r="C168">
        <v>4.7</v>
      </c>
      <c r="D168">
        <v>25001</v>
      </c>
      <c r="E168">
        <v>11</v>
      </c>
      <c r="F168">
        <v>2014</v>
      </c>
      <c r="G168" t="s">
        <v>8</v>
      </c>
      <c r="I168" t="str">
        <v/>
      </c>
    </row>
    <row r="169" spans="1:9" hidden="1" x14ac:dyDescent="0.25">
      <c r="A169" t="s">
        <v>223</v>
      </c>
      <c r="B169" t="s">
        <v>224</v>
      </c>
      <c r="C169">
        <v>4.7</v>
      </c>
      <c r="D169">
        <v>25001</v>
      </c>
      <c r="E169">
        <v>11</v>
      </c>
      <c r="F169">
        <v>2015</v>
      </c>
      <c r="G169" t="s">
        <v>8</v>
      </c>
      <c r="I169" t="str">
        <v/>
      </c>
    </row>
    <row r="170" spans="1:9" hidden="1" x14ac:dyDescent="0.25">
      <c r="A170" t="s">
        <v>223</v>
      </c>
      <c r="B170" t="s">
        <v>224</v>
      </c>
      <c r="C170">
        <v>4.7</v>
      </c>
      <c r="D170">
        <v>25001</v>
      </c>
      <c r="E170">
        <v>11</v>
      </c>
      <c r="F170">
        <v>2016</v>
      </c>
      <c r="G170" t="s">
        <v>8</v>
      </c>
      <c r="I170" t="str">
        <v/>
      </c>
    </row>
    <row r="171" spans="1:9" hidden="1" x14ac:dyDescent="0.25">
      <c r="A171" t="s">
        <v>223</v>
      </c>
      <c r="B171" t="s">
        <v>224</v>
      </c>
      <c r="C171">
        <v>4.7</v>
      </c>
      <c r="D171">
        <v>25001</v>
      </c>
      <c r="E171">
        <v>11</v>
      </c>
      <c r="F171">
        <v>2017</v>
      </c>
      <c r="G171" t="s">
        <v>8</v>
      </c>
      <c r="I171" t="str">
        <v/>
      </c>
    </row>
    <row r="172" spans="1:9" hidden="1" x14ac:dyDescent="0.25">
      <c r="A172" t="s">
        <v>223</v>
      </c>
      <c r="B172" t="s">
        <v>224</v>
      </c>
      <c r="C172">
        <v>4.7</v>
      </c>
      <c r="D172">
        <v>25001</v>
      </c>
      <c r="E172">
        <v>11</v>
      </c>
      <c r="F172">
        <v>2018</v>
      </c>
      <c r="G172" t="s">
        <v>8</v>
      </c>
      <c r="I172" t="str">
        <v/>
      </c>
    </row>
    <row r="173" spans="1:9" hidden="1" x14ac:dyDescent="0.25">
      <c r="A173" t="s">
        <v>225</v>
      </c>
      <c r="B173" t="s">
        <v>226</v>
      </c>
      <c r="C173">
        <v>4.3</v>
      </c>
      <c r="D173">
        <v>5272</v>
      </c>
      <c r="E173">
        <v>16</v>
      </c>
      <c r="F173">
        <v>2019</v>
      </c>
      <c r="G173" t="s">
        <v>8</v>
      </c>
      <c r="I173" t="str">
        <v/>
      </c>
    </row>
    <row r="174" spans="1:9" hidden="1" x14ac:dyDescent="0.25">
      <c r="A174" t="s">
        <v>227</v>
      </c>
      <c r="B174" t="s">
        <v>228</v>
      </c>
      <c r="C174">
        <v>4.8</v>
      </c>
      <c r="D174">
        <v>3490</v>
      </c>
      <c r="E174">
        <v>15</v>
      </c>
      <c r="F174">
        <v>2013</v>
      </c>
      <c r="G174" t="s">
        <v>8</v>
      </c>
      <c r="I174" t="str">
        <v/>
      </c>
    </row>
    <row r="175" spans="1:9" hidden="1" x14ac:dyDescent="0.25">
      <c r="A175" t="s">
        <v>227</v>
      </c>
      <c r="B175" t="s">
        <v>228</v>
      </c>
      <c r="C175">
        <v>4.8</v>
      </c>
      <c r="D175">
        <v>3490</v>
      </c>
      <c r="E175">
        <v>15</v>
      </c>
      <c r="F175">
        <v>2014</v>
      </c>
      <c r="G175" t="s">
        <v>8</v>
      </c>
      <c r="I175" t="str">
        <v/>
      </c>
    </row>
    <row r="176" spans="1:9" hidden="1" x14ac:dyDescent="0.25">
      <c r="A176" t="s">
        <v>229</v>
      </c>
      <c r="B176" t="s">
        <v>228</v>
      </c>
      <c r="C176">
        <v>4.9000000000000004</v>
      </c>
      <c r="D176">
        <v>2812</v>
      </c>
      <c r="E176">
        <v>17</v>
      </c>
      <c r="F176">
        <v>2015</v>
      </c>
      <c r="G176" t="s">
        <v>8</v>
      </c>
      <c r="I176" t="str">
        <v/>
      </c>
    </row>
    <row r="177" spans="1:9" hidden="1" x14ac:dyDescent="0.25">
      <c r="A177" t="s">
        <v>230</v>
      </c>
      <c r="B177" t="s">
        <v>231</v>
      </c>
      <c r="C177">
        <v>4.7</v>
      </c>
      <c r="D177">
        <v>4896</v>
      </c>
      <c r="E177">
        <v>17</v>
      </c>
      <c r="F177">
        <v>2013</v>
      </c>
      <c r="G177" t="s">
        <v>8</v>
      </c>
      <c r="I177" t="str">
        <v/>
      </c>
    </row>
    <row r="178" spans="1:9" hidden="1" x14ac:dyDescent="0.25">
      <c r="A178" t="s">
        <v>232</v>
      </c>
      <c r="B178" t="s">
        <v>233</v>
      </c>
      <c r="C178">
        <v>4.8</v>
      </c>
      <c r="D178">
        <v>9737</v>
      </c>
      <c r="E178">
        <v>7</v>
      </c>
      <c r="F178">
        <v>2019</v>
      </c>
      <c r="G178" t="s">
        <v>8</v>
      </c>
      <c r="I178" t="str">
        <v/>
      </c>
    </row>
    <row r="179" spans="1:9" hidden="1" x14ac:dyDescent="0.25">
      <c r="A179" t="s">
        <v>234</v>
      </c>
      <c r="B179" t="s">
        <v>235</v>
      </c>
      <c r="C179">
        <v>4.5999999999999996</v>
      </c>
      <c r="D179">
        <v>1320</v>
      </c>
      <c r="E179">
        <v>7</v>
      </c>
      <c r="F179">
        <v>2009</v>
      </c>
      <c r="G179" t="s">
        <v>10</v>
      </c>
      <c r="I179" t="str">
        <v/>
      </c>
    </row>
    <row r="180" spans="1:9" hidden="1" x14ac:dyDescent="0.25">
      <c r="A180" t="s">
        <v>236</v>
      </c>
      <c r="B180" t="s">
        <v>237</v>
      </c>
      <c r="C180">
        <v>4.8</v>
      </c>
      <c r="D180">
        <v>16643</v>
      </c>
      <c r="E180">
        <v>4</v>
      </c>
      <c r="F180">
        <v>2017</v>
      </c>
      <c r="G180" t="s">
        <v>10</v>
      </c>
      <c r="I180" t="str">
        <v/>
      </c>
    </row>
    <row r="181" spans="1:9" hidden="1" x14ac:dyDescent="0.25">
      <c r="A181" t="s">
        <v>236</v>
      </c>
      <c r="B181" t="s">
        <v>237</v>
      </c>
      <c r="C181">
        <v>4.8</v>
      </c>
      <c r="D181">
        <v>16643</v>
      </c>
      <c r="E181">
        <v>4</v>
      </c>
      <c r="F181">
        <v>2019</v>
      </c>
      <c r="G181" t="s">
        <v>10</v>
      </c>
      <c r="I181" t="str">
        <v/>
      </c>
    </row>
    <row r="182" spans="1:9" hidden="1" x14ac:dyDescent="0.25">
      <c r="A182" t="s">
        <v>238</v>
      </c>
      <c r="B182" t="s">
        <v>239</v>
      </c>
      <c r="C182">
        <v>4.3</v>
      </c>
      <c r="D182">
        <v>7153</v>
      </c>
      <c r="E182">
        <v>9</v>
      </c>
      <c r="F182">
        <v>2014</v>
      </c>
      <c r="G182" t="s">
        <v>10</v>
      </c>
      <c r="I182" t="str">
        <v/>
      </c>
    </row>
    <row r="183" spans="1:9" hidden="1" x14ac:dyDescent="0.25">
      <c r="A183" t="s">
        <v>240</v>
      </c>
      <c r="B183" t="s">
        <v>241</v>
      </c>
      <c r="C183">
        <v>4.4000000000000004</v>
      </c>
      <c r="D183">
        <v>4571</v>
      </c>
      <c r="E183">
        <v>21</v>
      </c>
      <c r="F183">
        <v>2011</v>
      </c>
      <c r="G183" t="s">
        <v>8</v>
      </c>
      <c r="I183" t="str">
        <v/>
      </c>
    </row>
    <row r="184" spans="1:9" hidden="1" x14ac:dyDescent="0.25">
      <c r="A184" t="s">
        <v>242</v>
      </c>
      <c r="B184" t="s">
        <v>243</v>
      </c>
      <c r="C184">
        <v>4.0999999999999996</v>
      </c>
      <c r="D184">
        <v>29651</v>
      </c>
      <c r="E184">
        <v>14</v>
      </c>
      <c r="F184">
        <v>2013</v>
      </c>
      <c r="G184" t="s">
        <v>10</v>
      </c>
      <c r="I184" t="str">
        <v/>
      </c>
    </row>
    <row r="185" spans="1:9" hidden="1" x14ac:dyDescent="0.25">
      <c r="A185" t="s">
        <v>244</v>
      </c>
      <c r="B185" t="s">
        <v>245</v>
      </c>
      <c r="C185">
        <v>4.5999999999999996</v>
      </c>
      <c r="D185">
        <v>5299</v>
      </c>
      <c r="E185">
        <v>20</v>
      </c>
      <c r="F185">
        <v>2011</v>
      </c>
      <c r="G185" t="s">
        <v>10</v>
      </c>
      <c r="I185" t="str">
        <v/>
      </c>
    </row>
    <row r="186" spans="1:9" hidden="1" x14ac:dyDescent="0.25">
      <c r="A186" t="s">
        <v>246</v>
      </c>
      <c r="B186" t="s">
        <v>247</v>
      </c>
      <c r="C186">
        <v>4.4000000000000004</v>
      </c>
      <c r="D186">
        <v>7396</v>
      </c>
      <c r="E186">
        <v>13</v>
      </c>
      <c r="F186">
        <v>2019</v>
      </c>
      <c r="G186" t="s">
        <v>8</v>
      </c>
      <c r="I186" t="str">
        <v/>
      </c>
    </row>
    <row r="187" spans="1:9" hidden="1" x14ac:dyDescent="0.25">
      <c r="A187" t="s">
        <v>246</v>
      </c>
      <c r="B187" t="s">
        <v>247</v>
      </c>
      <c r="C187">
        <v>4.4000000000000004</v>
      </c>
      <c r="D187">
        <v>7396</v>
      </c>
      <c r="E187">
        <v>13</v>
      </c>
      <c r="F187">
        <v>2018</v>
      </c>
      <c r="G187" t="s">
        <v>8</v>
      </c>
      <c r="I187" t="str">
        <v/>
      </c>
    </row>
    <row r="188" spans="1:9" hidden="1" x14ac:dyDescent="0.25">
      <c r="A188" t="s">
        <v>248</v>
      </c>
      <c r="B188" t="s">
        <v>249</v>
      </c>
      <c r="C188">
        <v>4.8</v>
      </c>
      <c r="D188">
        <v>7062</v>
      </c>
      <c r="E188">
        <v>12</v>
      </c>
      <c r="F188">
        <v>2019</v>
      </c>
      <c r="G188" t="s">
        <v>8</v>
      </c>
      <c r="I188" t="str">
        <v/>
      </c>
    </row>
    <row r="189" spans="1:9" hidden="1" x14ac:dyDescent="0.25">
      <c r="A189" t="s">
        <v>250</v>
      </c>
      <c r="B189" t="s">
        <v>251</v>
      </c>
      <c r="C189">
        <v>4.9000000000000004</v>
      </c>
      <c r="D189">
        <v>19576</v>
      </c>
      <c r="E189">
        <v>8</v>
      </c>
      <c r="F189">
        <v>2011</v>
      </c>
      <c r="G189" t="s">
        <v>8</v>
      </c>
      <c r="I189" t="str">
        <v/>
      </c>
    </row>
    <row r="190" spans="1:9" hidden="1" x14ac:dyDescent="0.25">
      <c r="A190" t="s">
        <v>250</v>
      </c>
      <c r="B190" t="s">
        <v>251</v>
      </c>
      <c r="C190">
        <v>4.9000000000000004</v>
      </c>
      <c r="D190">
        <v>19576</v>
      </c>
      <c r="E190">
        <v>8</v>
      </c>
      <c r="F190">
        <v>2012</v>
      </c>
      <c r="G190" t="s">
        <v>8</v>
      </c>
      <c r="I190" t="str">
        <v/>
      </c>
    </row>
    <row r="191" spans="1:9" hidden="1" x14ac:dyDescent="0.25">
      <c r="A191" t="s">
        <v>250</v>
      </c>
      <c r="B191" t="s">
        <v>251</v>
      </c>
      <c r="C191">
        <v>4.9000000000000004</v>
      </c>
      <c r="D191">
        <v>19576</v>
      </c>
      <c r="E191">
        <v>8</v>
      </c>
      <c r="F191">
        <v>2013</v>
      </c>
      <c r="G191" t="s">
        <v>8</v>
      </c>
      <c r="I191" t="str">
        <v/>
      </c>
    </row>
    <row r="192" spans="1:9" hidden="1" x14ac:dyDescent="0.25">
      <c r="A192" t="s">
        <v>250</v>
      </c>
      <c r="B192" t="s">
        <v>251</v>
      </c>
      <c r="C192">
        <v>4.9000000000000004</v>
      </c>
      <c r="D192">
        <v>19576</v>
      </c>
      <c r="E192">
        <v>8</v>
      </c>
      <c r="F192">
        <v>2014</v>
      </c>
      <c r="G192" t="s">
        <v>8</v>
      </c>
      <c r="I192" t="str">
        <v/>
      </c>
    </row>
    <row r="193" spans="1:9" hidden="1" x14ac:dyDescent="0.25">
      <c r="A193" t="s">
        <v>250</v>
      </c>
      <c r="B193" t="s">
        <v>251</v>
      </c>
      <c r="C193">
        <v>4.9000000000000004</v>
      </c>
      <c r="D193">
        <v>19576</v>
      </c>
      <c r="E193">
        <v>8</v>
      </c>
      <c r="F193">
        <v>2015</v>
      </c>
      <c r="G193" t="s">
        <v>8</v>
      </c>
      <c r="I193" t="str">
        <v/>
      </c>
    </row>
    <row r="194" spans="1:9" hidden="1" x14ac:dyDescent="0.25">
      <c r="A194" t="s">
        <v>250</v>
      </c>
      <c r="B194" t="s">
        <v>251</v>
      </c>
      <c r="C194">
        <v>4.9000000000000004</v>
      </c>
      <c r="D194">
        <v>19576</v>
      </c>
      <c r="E194">
        <v>8</v>
      </c>
      <c r="F194">
        <v>2016</v>
      </c>
      <c r="G194" t="s">
        <v>8</v>
      </c>
      <c r="I194" t="str">
        <v/>
      </c>
    </row>
    <row r="195" spans="1:9" hidden="1" x14ac:dyDescent="0.25">
      <c r="A195" t="s">
        <v>252</v>
      </c>
      <c r="B195" t="s">
        <v>166</v>
      </c>
      <c r="C195">
        <v>4.5999999999999996</v>
      </c>
      <c r="D195">
        <v>978</v>
      </c>
      <c r="E195">
        <v>0</v>
      </c>
      <c r="F195">
        <v>2014</v>
      </c>
      <c r="G195" t="s">
        <v>10</v>
      </c>
      <c r="I195" t="str">
        <v/>
      </c>
    </row>
    <row r="196" spans="1:9" hidden="1" x14ac:dyDescent="0.25">
      <c r="A196" t="s">
        <v>253</v>
      </c>
      <c r="B196" t="s">
        <v>9</v>
      </c>
      <c r="C196">
        <v>4.5</v>
      </c>
      <c r="D196">
        <v>4748</v>
      </c>
      <c r="E196">
        <v>12</v>
      </c>
      <c r="F196">
        <v>2013</v>
      </c>
      <c r="G196" t="s">
        <v>10</v>
      </c>
      <c r="I196" t="str">
        <v/>
      </c>
    </row>
    <row r="197" spans="1:9" x14ac:dyDescent="0.25">
      <c r="A197" t="s">
        <v>254</v>
      </c>
      <c r="B197" t="s">
        <v>255</v>
      </c>
      <c r="C197">
        <v>4.5999999999999996</v>
      </c>
      <c r="D197">
        <v>8393</v>
      </c>
      <c r="E197">
        <v>17</v>
      </c>
      <c r="F197">
        <v>2017</v>
      </c>
      <c r="G197" t="s">
        <v>8</v>
      </c>
      <c r="I197" s="4" t="str">
        <v>JOURNEY TO THE ICE P</v>
      </c>
    </row>
    <row r="198" spans="1:9" hidden="1" x14ac:dyDescent="0.25">
      <c r="A198" t="s">
        <v>256</v>
      </c>
      <c r="B198" t="s">
        <v>257</v>
      </c>
      <c r="C198">
        <v>4.5</v>
      </c>
      <c r="D198">
        <v>11391</v>
      </c>
      <c r="E198">
        <v>12</v>
      </c>
      <c r="F198">
        <v>2013</v>
      </c>
      <c r="G198" t="s">
        <v>8</v>
      </c>
      <c r="I198" t="str">
        <v/>
      </c>
    </row>
    <row r="199" spans="1:9" hidden="1" x14ac:dyDescent="0.25">
      <c r="A199" t="s">
        <v>258</v>
      </c>
      <c r="B199" t="s">
        <v>257</v>
      </c>
      <c r="C199">
        <v>4.5999999999999996</v>
      </c>
      <c r="D199">
        <v>8634</v>
      </c>
      <c r="E199">
        <v>25</v>
      </c>
      <c r="F199">
        <v>2012</v>
      </c>
      <c r="G199" t="s">
        <v>8</v>
      </c>
      <c r="I199" t="str">
        <v/>
      </c>
    </row>
    <row r="200" spans="1:9" hidden="1" x14ac:dyDescent="0.25">
      <c r="A200" t="s">
        <v>259</v>
      </c>
      <c r="B200" t="s">
        <v>257</v>
      </c>
      <c r="C200">
        <v>4.7</v>
      </c>
      <c r="D200">
        <v>9342</v>
      </c>
      <c r="E200">
        <v>10</v>
      </c>
      <c r="F200">
        <v>2011</v>
      </c>
      <c r="G200" t="s">
        <v>8</v>
      </c>
      <c r="I200" t="str">
        <v/>
      </c>
    </row>
    <row r="201" spans="1:9" hidden="1" x14ac:dyDescent="0.25">
      <c r="A201" t="s">
        <v>259</v>
      </c>
      <c r="B201" t="s">
        <v>257</v>
      </c>
      <c r="C201">
        <v>4.7</v>
      </c>
      <c r="D201">
        <v>9342</v>
      </c>
      <c r="E201">
        <v>10</v>
      </c>
      <c r="F201">
        <v>2012</v>
      </c>
      <c r="G201" t="s">
        <v>8</v>
      </c>
      <c r="I201" t="str">
        <v/>
      </c>
    </row>
    <row r="202" spans="1:9" hidden="1" x14ac:dyDescent="0.25">
      <c r="A202" t="s">
        <v>260</v>
      </c>
      <c r="B202" t="s">
        <v>257</v>
      </c>
      <c r="C202">
        <v>4.5999999999999996</v>
      </c>
      <c r="D202">
        <v>10927</v>
      </c>
      <c r="E202">
        <v>6</v>
      </c>
      <c r="F202">
        <v>2014</v>
      </c>
      <c r="G202" t="s">
        <v>8</v>
      </c>
      <c r="I202" t="str">
        <v/>
      </c>
    </row>
    <row r="203" spans="1:9" hidden="1" x14ac:dyDescent="0.25">
      <c r="A203" t="s">
        <v>261</v>
      </c>
      <c r="B203" t="s">
        <v>257</v>
      </c>
      <c r="C203">
        <v>4.5999999999999996</v>
      </c>
      <c r="D203">
        <v>5235</v>
      </c>
      <c r="E203">
        <v>5</v>
      </c>
      <c r="F203">
        <v>2015</v>
      </c>
      <c r="G203" t="s">
        <v>8</v>
      </c>
      <c r="I203" t="str">
        <v/>
      </c>
    </row>
    <row r="204" spans="1:9" hidden="1" x14ac:dyDescent="0.25">
      <c r="A204" t="s">
        <v>262</v>
      </c>
      <c r="B204" t="s">
        <v>257</v>
      </c>
      <c r="C204">
        <v>4.8</v>
      </c>
      <c r="D204">
        <v>8916</v>
      </c>
      <c r="E204">
        <v>6</v>
      </c>
      <c r="F204">
        <v>2016</v>
      </c>
      <c r="G204" t="s">
        <v>8</v>
      </c>
      <c r="I204" t="str">
        <v/>
      </c>
    </row>
    <row r="205" spans="1:9" hidden="1" x14ac:dyDescent="0.25">
      <c r="A205" t="s">
        <v>263</v>
      </c>
      <c r="B205" t="s">
        <v>264</v>
      </c>
      <c r="C205">
        <v>4.8</v>
      </c>
      <c r="D205">
        <v>2507</v>
      </c>
      <c r="E205">
        <v>8</v>
      </c>
      <c r="F205">
        <v>2018</v>
      </c>
      <c r="G205" t="s">
        <v>8</v>
      </c>
      <c r="I205" t="str">
        <v/>
      </c>
    </row>
    <row r="206" spans="1:9" hidden="1" x14ac:dyDescent="0.25">
      <c r="A206" t="s">
        <v>265</v>
      </c>
      <c r="B206" t="s">
        <v>266</v>
      </c>
      <c r="C206">
        <v>4.5</v>
      </c>
      <c r="D206">
        <v>3673</v>
      </c>
      <c r="E206">
        <v>4</v>
      </c>
      <c r="F206">
        <v>2013</v>
      </c>
      <c r="G206" t="s">
        <v>8</v>
      </c>
      <c r="I206" t="str">
        <v/>
      </c>
    </row>
    <row r="207" spans="1:9" hidden="1" x14ac:dyDescent="0.25">
      <c r="A207" t="s">
        <v>265</v>
      </c>
      <c r="B207" t="s">
        <v>266</v>
      </c>
      <c r="C207">
        <v>4.5</v>
      </c>
      <c r="D207">
        <v>3673</v>
      </c>
      <c r="E207">
        <v>4</v>
      </c>
      <c r="F207">
        <v>2014</v>
      </c>
      <c r="G207" t="s">
        <v>8</v>
      </c>
      <c r="I207" t="str">
        <v/>
      </c>
    </row>
    <row r="208" spans="1:9" hidden="1" x14ac:dyDescent="0.25">
      <c r="A208" t="s">
        <v>265</v>
      </c>
      <c r="B208" t="s">
        <v>266</v>
      </c>
      <c r="C208">
        <v>4.5</v>
      </c>
      <c r="D208">
        <v>3673</v>
      </c>
      <c r="E208">
        <v>4</v>
      </c>
      <c r="F208">
        <v>2015</v>
      </c>
      <c r="G208" t="s">
        <v>8</v>
      </c>
      <c r="I208" t="str">
        <v/>
      </c>
    </row>
    <row r="209" spans="1:9" hidden="1" x14ac:dyDescent="0.25">
      <c r="A209" t="s">
        <v>267</v>
      </c>
      <c r="B209" t="s">
        <v>268</v>
      </c>
      <c r="C209">
        <v>4.9000000000000004</v>
      </c>
      <c r="D209">
        <v>11881</v>
      </c>
      <c r="E209">
        <v>13</v>
      </c>
      <c r="F209">
        <v>2018</v>
      </c>
      <c r="G209" t="s">
        <v>10</v>
      </c>
      <c r="I209" t="str">
        <v/>
      </c>
    </row>
    <row r="210" spans="1:9" hidden="1" x14ac:dyDescent="0.25">
      <c r="A210" t="s">
        <v>269</v>
      </c>
      <c r="B210" t="s">
        <v>266</v>
      </c>
      <c r="C210">
        <v>4.5999999999999996</v>
      </c>
      <c r="D210">
        <v>6990</v>
      </c>
      <c r="E210">
        <v>4</v>
      </c>
      <c r="F210">
        <v>2013</v>
      </c>
      <c r="G210" t="s">
        <v>8</v>
      </c>
      <c r="I210" t="str">
        <v/>
      </c>
    </row>
    <row r="211" spans="1:9" hidden="1" x14ac:dyDescent="0.25">
      <c r="A211" t="s">
        <v>269</v>
      </c>
      <c r="B211" t="s">
        <v>266</v>
      </c>
      <c r="C211">
        <v>4.5999999999999996</v>
      </c>
      <c r="D211">
        <v>6990</v>
      </c>
      <c r="E211">
        <v>4</v>
      </c>
      <c r="F211">
        <v>2014</v>
      </c>
      <c r="G211" t="s">
        <v>8</v>
      </c>
      <c r="I211" t="str">
        <v/>
      </c>
    </row>
    <row r="212" spans="1:9" hidden="1" x14ac:dyDescent="0.25">
      <c r="A212" t="s">
        <v>269</v>
      </c>
      <c r="B212" t="s">
        <v>266</v>
      </c>
      <c r="C212">
        <v>4.5999999999999996</v>
      </c>
      <c r="D212">
        <v>6990</v>
      </c>
      <c r="E212">
        <v>4</v>
      </c>
      <c r="F212">
        <v>2015</v>
      </c>
      <c r="G212" t="s">
        <v>8</v>
      </c>
      <c r="I212" t="str">
        <v/>
      </c>
    </row>
    <row r="213" spans="1:9" hidden="1" x14ac:dyDescent="0.25">
      <c r="A213" t="s">
        <v>269</v>
      </c>
      <c r="B213" t="s">
        <v>266</v>
      </c>
      <c r="C213">
        <v>4.5999999999999996</v>
      </c>
      <c r="D213">
        <v>6990</v>
      </c>
      <c r="E213">
        <v>4</v>
      </c>
      <c r="F213">
        <v>2016</v>
      </c>
      <c r="G213" t="s">
        <v>8</v>
      </c>
      <c r="I213" t="str">
        <v/>
      </c>
    </row>
    <row r="214" spans="1:9" hidden="1" x14ac:dyDescent="0.25">
      <c r="A214" t="s">
        <v>269</v>
      </c>
      <c r="B214" t="s">
        <v>266</v>
      </c>
      <c r="C214">
        <v>4.5999999999999996</v>
      </c>
      <c r="D214">
        <v>6990</v>
      </c>
      <c r="E214">
        <v>4</v>
      </c>
      <c r="F214">
        <v>2017</v>
      </c>
      <c r="G214" t="s">
        <v>8</v>
      </c>
      <c r="I214" t="str">
        <v/>
      </c>
    </row>
    <row r="215" spans="1:9" hidden="1" x14ac:dyDescent="0.25">
      <c r="A215" t="s">
        <v>270</v>
      </c>
      <c r="B215" t="s">
        <v>271</v>
      </c>
      <c r="C215">
        <v>4.5</v>
      </c>
      <c r="D215">
        <v>6132</v>
      </c>
      <c r="E215">
        <v>13</v>
      </c>
      <c r="F215">
        <v>2013</v>
      </c>
      <c r="G215" t="s">
        <v>8</v>
      </c>
      <c r="I215" t="str">
        <v/>
      </c>
    </row>
    <row r="216" spans="1:9" hidden="1" x14ac:dyDescent="0.25">
      <c r="A216" t="s">
        <v>272</v>
      </c>
      <c r="B216" t="s">
        <v>273</v>
      </c>
      <c r="C216">
        <v>4.5</v>
      </c>
      <c r="D216">
        <v>3014</v>
      </c>
      <c r="E216">
        <v>21</v>
      </c>
      <c r="F216">
        <v>2017</v>
      </c>
      <c r="G216" t="s">
        <v>8</v>
      </c>
      <c r="I216" t="str">
        <v/>
      </c>
    </row>
    <row r="217" spans="1:9" hidden="1" x14ac:dyDescent="0.25">
      <c r="A217" t="s">
        <v>274</v>
      </c>
      <c r="B217" t="s">
        <v>275</v>
      </c>
      <c r="C217">
        <v>4.4000000000000004</v>
      </c>
      <c r="D217">
        <v>7550</v>
      </c>
      <c r="E217">
        <v>6</v>
      </c>
      <c r="F217">
        <v>2018</v>
      </c>
      <c r="G217" t="s">
        <v>8</v>
      </c>
      <c r="I217" t="str">
        <v/>
      </c>
    </row>
    <row r="218" spans="1:9" hidden="1" x14ac:dyDescent="0.25">
      <c r="A218" t="s">
        <v>276</v>
      </c>
      <c r="B218" t="s">
        <v>277</v>
      </c>
      <c r="C218">
        <v>4.8</v>
      </c>
      <c r="D218">
        <v>3828</v>
      </c>
      <c r="E218">
        <v>15</v>
      </c>
      <c r="F218">
        <v>2009</v>
      </c>
      <c r="G218" t="s">
        <v>8</v>
      </c>
      <c r="I218" t="str">
        <v/>
      </c>
    </row>
    <row r="219" spans="1:9" hidden="1" x14ac:dyDescent="0.25">
      <c r="A219" t="s">
        <v>278</v>
      </c>
      <c r="B219" t="s">
        <v>279</v>
      </c>
      <c r="C219">
        <v>4.5</v>
      </c>
      <c r="D219">
        <v>2752</v>
      </c>
      <c r="E219">
        <v>18</v>
      </c>
      <c r="F219">
        <v>2010</v>
      </c>
      <c r="G219" t="s">
        <v>8</v>
      </c>
      <c r="I219" t="str">
        <v/>
      </c>
    </row>
    <row r="220" spans="1:9" hidden="1" x14ac:dyDescent="0.25">
      <c r="A220" t="s">
        <v>280</v>
      </c>
      <c r="B220" t="s">
        <v>281</v>
      </c>
      <c r="C220">
        <v>4.0999999999999996</v>
      </c>
      <c r="D220">
        <v>1467</v>
      </c>
      <c r="E220">
        <v>10</v>
      </c>
      <c r="F220">
        <v>2010</v>
      </c>
      <c r="G220" t="s">
        <v>10</v>
      </c>
      <c r="I220" t="str">
        <v/>
      </c>
    </row>
    <row r="221" spans="1:9" hidden="1" x14ac:dyDescent="0.25">
      <c r="A221" t="s">
        <v>282</v>
      </c>
      <c r="B221" t="s">
        <v>283</v>
      </c>
      <c r="C221">
        <v>4.9000000000000004</v>
      </c>
      <c r="D221">
        <v>1884</v>
      </c>
      <c r="E221">
        <v>0</v>
      </c>
      <c r="F221">
        <v>2014</v>
      </c>
      <c r="G221" t="s">
        <v>10</v>
      </c>
      <c r="I221" t="str">
        <v/>
      </c>
    </row>
    <row r="222" spans="1:9" hidden="1" x14ac:dyDescent="0.25">
      <c r="A222" t="s">
        <v>284</v>
      </c>
      <c r="B222" t="s">
        <v>285</v>
      </c>
      <c r="C222">
        <v>4.5</v>
      </c>
      <c r="D222">
        <v>25706</v>
      </c>
      <c r="E222">
        <v>12</v>
      </c>
      <c r="F222">
        <v>2018</v>
      </c>
      <c r="G222" t="s">
        <v>10</v>
      </c>
      <c r="I222" t="str">
        <v/>
      </c>
    </row>
    <row r="223" spans="1:9" x14ac:dyDescent="0.25">
      <c r="A223" t="s">
        <v>286</v>
      </c>
      <c r="B223" t="s">
        <v>287</v>
      </c>
      <c r="C223">
        <v>4.5</v>
      </c>
      <c r="D223">
        <v>8491</v>
      </c>
      <c r="E223">
        <v>7</v>
      </c>
      <c r="F223">
        <v>2014</v>
      </c>
      <c r="G223" t="s">
        <v>10</v>
      </c>
      <c r="I223" s="4" t="str">
        <v>Little Blue Truck</v>
      </c>
    </row>
    <row r="224" spans="1:9" hidden="1" x14ac:dyDescent="0.25">
      <c r="A224" t="s">
        <v>288</v>
      </c>
      <c r="B224" t="s">
        <v>289</v>
      </c>
      <c r="C224">
        <v>4.2</v>
      </c>
      <c r="D224">
        <v>1649</v>
      </c>
      <c r="E224">
        <v>13</v>
      </c>
      <c r="F224">
        <v>2011</v>
      </c>
      <c r="G224" t="s">
        <v>8</v>
      </c>
      <c r="I224" t="str">
        <v/>
      </c>
    </row>
    <row r="225" spans="1:9" hidden="1" x14ac:dyDescent="0.25">
      <c r="A225" t="s">
        <v>290</v>
      </c>
      <c r="B225" t="s">
        <v>291</v>
      </c>
      <c r="C225">
        <v>4.8</v>
      </c>
      <c r="D225">
        <v>18613</v>
      </c>
      <c r="E225">
        <v>5</v>
      </c>
      <c r="F225">
        <v>2014</v>
      </c>
      <c r="G225" t="s">
        <v>10</v>
      </c>
      <c r="I225" t="str">
        <v/>
      </c>
    </row>
    <row r="226" spans="1:9" hidden="1" x14ac:dyDescent="0.25">
      <c r="A226" t="s">
        <v>290</v>
      </c>
      <c r="B226" t="s">
        <v>291</v>
      </c>
      <c r="C226">
        <v>4.8</v>
      </c>
      <c r="D226">
        <v>18613</v>
      </c>
      <c r="E226">
        <v>5</v>
      </c>
      <c r="F226">
        <v>2015</v>
      </c>
      <c r="G226" t="s">
        <v>10</v>
      </c>
      <c r="I226" t="str">
        <v/>
      </c>
    </row>
    <row r="227" spans="1:9" hidden="1" x14ac:dyDescent="0.25">
      <c r="A227" t="s">
        <v>292</v>
      </c>
      <c r="B227" t="s">
        <v>222</v>
      </c>
      <c r="C227">
        <v>4.8</v>
      </c>
      <c r="D227">
        <v>9867</v>
      </c>
      <c r="E227">
        <v>16</v>
      </c>
      <c r="F227">
        <v>2018</v>
      </c>
      <c r="G227" t="s">
        <v>8</v>
      </c>
      <c r="I227" t="str">
        <v/>
      </c>
    </row>
    <row r="228" spans="1:9" hidden="1" x14ac:dyDescent="0.25">
      <c r="A228" t="s">
        <v>293</v>
      </c>
      <c r="B228" t="s">
        <v>62</v>
      </c>
      <c r="C228">
        <v>4.5</v>
      </c>
      <c r="D228">
        <v>1386</v>
      </c>
      <c r="E228">
        <v>20</v>
      </c>
      <c r="F228">
        <v>2014</v>
      </c>
      <c r="G228" t="s">
        <v>8</v>
      </c>
      <c r="I228" t="str">
        <v/>
      </c>
    </row>
    <row r="229" spans="1:9" hidden="1" x14ac:dyDescent="0.25">
      <c r="A229" t="s">
        <v>294</v>
      </c>
      <c r="B229" t="s">
        <v>295</v>
      </c>
      <c r="C229">
        <v>4.7</v>
      </c>
      <c r="D229">
        <v>10199</v>
      </c>
      <c r="E229">
        <v>11</v>
      </c>
      <c r="F229">
        <v>2017</v>
      </c>
      <c r="G229" t="s">
        <v>8</v>
      </c>
      <c r="I229" t="str">
        <v/>
      </c>
    </row>
    <row r="230" spans="1:9" hidden="1" x14ac:dyDescent="0.25">
      <c r="A230" t="s">
        <v>296</v>
      </c>
      <c r="B230" t="s">
        <v>297</v>
      </c>
      <c r="C230">
        <v>4.8</v>
      </c>
      <c r="D230">
        <v>2926</v>
      </c>
      <c r="E230">
        <v>27</v>
      </c>
      <c r="F230">
        <v>2009</v>
      </c>
      <c r="G230" t="s">
        <v>8</v>
      </c>
      <c r="I230" t="str">
        <v/>
      </c>
    </row>
    <row r="231" spans="1:9" hidden="1" x14ac:dyDescent="0.25">
      <c r="A231" t="s">
        <v>298</v>
      </c>
      <c r="B231" t="s">
        <v>299</v>
      </c>
      <c r="C231">
        <v>4.7</v>
      </c>
      <c r="D231">
        <v>17739</v>
      </c>
      <c r="E231">
        <v>8</v>
      </c>
      <c r="F231">
        <v>2016</v>
      </c>
      <c r="G231" t="s">
        <v>8</v>
      </c>
      <c r="I231" t="str">
        <v/>
      </c>
    </row>
    <row r="232" spans="1:9" hidden="1" x14ac:dyDescent="0.25">
      <c r="A232" t="s">
        <v>298</v>
      </c>
      <c r="B232" t="s">
        <v>299</v>
      </c>
      <c r="C232">
        <v>4.7</v>
      </c>
      <c r="D232">
        <v>17739</v>
      </c>
      <c r="E232">
        <v>8</v>
      </c>
      <c r="F232">
        <v>2017</v>
      </c>
      <c r="G232" t="s">
        <v>8</v>
      </c>
      <c r="I232" t="str">
        <v/>
      </c>
    </row>
    <row r="233" spans="1:9" hidden="1" x14ac:dyDescent="0.25">
      <c r="A233" t="s">
        <v>298</v>
      </c>
      <c r="B233" t="s">
        <v>299</v>
      </c>
      <c r="C233">
        <v>4.7</v>
      </c>
      <c r="D233">
        <v>17739</v>
      </c>
      <c r="E233">
        <v>8</v>
      </c>
      <c r="F233">
        <v>2018</v>
      </c>
      <c r="G233" t="s">
        <v>8</v>
      </c>
      <c r="I233" t="str">
        <v/>
      </c>
    </row>
    <row r="234" spans="1:9" hidden="1" x14ac:dyDescent="0.25">
      <c r="A234" t="s">
        <v>300</v>
      </c>
      <c r="B234" t="s">
        <v>301</v>
      </c>
      <c r="C234">
        <v>4.4000000000000004</v>
      </c>
      <c r="D234">
        <v>3113</v>
      </c>
      <c r="E234">
        <v>6</v>
      </c>
      <c r="F234">
        <v>2017</v>
      </c>
      <c r="G234" t="s">
        <v>8</v>
      </c>
      <c r="I234" t="str">
        <v/>
      </c>
    </row>
    <row r="235" spans="1:9" hidden="1" x14ac:dyDescent="0.25">
      <c r="A235" t="s">
        <v>302</v>
      </c>
      <c r="B235" t="s">
        <v>303</v>
      </c>
      <c r="C235">
        <v>4.5999999999999996</v>
      </c>
      <c r="D235">
        <v>5542</v>
      </c>
      <c r="E235">
        <v>10</v>
      </c>
      <c r="F235">
        <v>2014</v>
      </c>
      <c r="G235" t="s">
        <v>8</v>
      </c>
      <c r="I235" t="str">
        <v/>
      </c>
    </row>
    <row r="236" spans="1:9" hidden="1" x14ac:dyDescent="0.25">
      <c r="A236" t="s">
        <v>302</v>
      </c>
      <c r="B236" t="s">
        <v>303</v>
      </c>
      <c r="C236">
        <v>4.5999999999999996</v>
      </c>
      <c r="D236">
        <v>5542</v>
      </c>
      <c r="E236">
        <v>10</v>
      </c>
      <c r="F236">
        <v>2015</v>
      </c>
      <c r="G236" t="s">
        <v>8</v>
      </c>
      <c r="I236" t="str">
        <v/>
      </c>
    </row>
    <row r="237" spans="1:9" hidden="1" x14ac:dyDescent="0.25">
      <c r="A237" t="s">
        <v>302</v>
      </c>
      <c r="B237" t="s">
        <v>303</v>
      </c>
      <c r="C237">
        <v>4.5999999999999996</v>
      </c>
      <c r="D237">
        <v>5542</v>
      </c>
      <c r="E237">
        <v>10</v>
      </c>
      <c r="F237">
        <v>2016</v>
      </c>
      <c r="G237" t="s">
        <v>8</v>
      </c>
      <c r="I237" t="str">
        <v/>
      </c>
    </row>
    <row r="238" spans="1:9" hidden="1" x14ac:dyDescent="0.25">
      <c r="A238" t="s">
        <v>304</v>
      </c>
      <c r="B238" t="s">
        <v>86</v>
      </c>
      <c r="C238">
        <v>4.5</v>
      </c>
      <c r="D238">
        <v>26741</v>
      </c>
      <c r="E238">
        <v>8</v>
      </c>
      <c r="F238">
        <v>2010</v>
      </c>
      <c r="G238" t="s">
        <v>10</v>
      </c>
      <c r="I238" t="str">
        <v/>
      </c>
    </row>
    <row r="239" spans="1:9" hidden="1" x14ac:dyDescent="0.25">
      <c r="A239" t="s">
        <v>304</v>
      </c>
      <c r="B239" t="s">
        <v>86</v>
      </c>
      <c r="C239">
        <v>4.5</v>
      </c>
      <c r="D239">
        <v>26741</v>
      </c>
      <c r="E239">
        <v>8</v>
      </c>
      <c r="F239">
        <v>2011</v>
      </c>
      <c r="G239" t="s">
        <v>10</v>
      </c>
      <c r="I239" t="str">
        <v/>
      </c>
    </row>
    <row r="240" spans="1:9" hidden="1" x14ac:dyDescent="0.25">
      <c r="A240" t="s">
        <v>304</v>
      </c>
      <c r="B240" t="s">
        <v>86</v>
      </c>
      <c r="C240">
        <v>4.5</v>
      </c>
      <c r="D240">
        <v>26741</v>
      </c>
      <c r="E240">
        <v>8</v>
      </c>
      <c r="F240">
        <v>2012</v>
      </c>
      <c r="G240" t="s">
        <v>10</v>
      </c>
      <c r="I240" t="str">
        <v/>
      </c>
    </row>
    <row r="241" spans="1:9" hidden="1" x14ac:dyDescent="0.25">
      <c r="A241" t="s">
        <v>305</v>
      </c>
      <c r="B241" t="s">
        <v>306</v>
      </c>
      <c r="C241">
        <v>4.8</v>
      </c>
      <c r="D241">
        <v>5347</v>
      </c>
      <c r="E241">
        <v>16</v>
      </c>
      <c r="F241">
        <v>2019</v>
      </c>
      <c r="G241" t="s">
        <v>8</v>
      </c>
      <c r="I241" t="str">
        <v/>
      </c>
    </row>
    <row r="242" spans="1:9" hidden="1" x14ac:dyDescent="0.25">
      <c r="A242" t="s">
        <v>307</v>
      </c>
      <c r="B242" t="s">
        <v>308</v>
      </c>
      <c r="C242">
        <v>4.8</v>
      </c>
      <c r="D242">
        <v>7866</v>
      </c>
      <c r="E242">
        <v>11</v>
      </c>
      <c r="F242">
        <v>2019</v>
      </c>
      <c r="G242" t="s">
        <v>8</v>
      </c>
      <c r="I242" t="str">
        <v/>
      </c>
    </row>
    <row r="243" spans="1:9" hidden="1" x14ac:dyDescent="0.25">
      <c r="A243" t="s">
        <v>309</v>
      </c>
      <c r="B243" t="s">
        <v>73</v>
      </c>
      <c r="C243">
        <v>4.5999999999999996</v>
      </c>
      <c r="D243">
        <v>5680</v>
      </c>
      <c r="E243">
        <v>10</v>
      </c>
      <c r="F243">
        <v>2009</v>
      </c>
      <c r="G243" t="s">
        <v>10</v>
      </c>
      <c r="I243" t="str">
        <v/>
      </c>
    </row>
    <row r="244" spans="1:9" hidden="1" x14ac:dyDescent="0.25">
      <c r="A244" t="s">
        <v>310</v>
      </c>
      <c r="B244" t="s">
        <v>311</v>
      </c>
      <c r="C244">
        <v>4.7</v>
      </c>
      <c r="D244">
        <v>5178</v>
      </c>
      <c r="E244">
        <v>9</v>
      </c>
      <c r="F244">
        <v>2016</v>
      </c>
      <c r="G244" t="s">
        <v>8</v>
      </c>
      <c r="I244" t="str">
        <v/>
      </c>
    </row>
    <row r="245" spans="1:9" hidden="1" x14ac:dyDescent="0.25">
      <c r="A245" t="s">
        <v>312</v>
      </c>
      <c r="B245" t="s">
        <v>313</v>
      </c>
      <c r="C245">
        <v>4.5999999999999996</v>
      </c>
      <c r="D245">
        <v>8093</v>
      </c>
      <c r="E245">
        <v>14</v>
      </c>
      <c r="F245">
        <v>2012</v>
      </c>
      <c r="G245" t="s">
        <v>8</v>
      </c>
      <c r="I245" t="str">
        <v/>
      </c>
    </row>
    <row r="246" spans="1:9" hidden="1" x14ac:dyDescent="0.25">
      <c r="A246" t="s">
        <v>314</v>
      </c>
      <c r="B246" t="s">
        <v>315</v>
      </c>
      <c r="C246">
        <v>4.9000000000000004</v>
      </c>
      <c r="D246">
        <v>3192</v>
      </c>
      <c r="E246">
        <v>22</v>
      </c>
      <c r="F246">
        <v>2017</v>
      </c>
      <c r="G246" t="s">
        <v>8</v>
      </c>
      <c r="I246" t="str">
        <v/>
      </c>
    </row>
    <row r="247" spans="1:9" hidden="1" x14ac:dyDescent="0.25">
      <c r="A247" t="s">
        <v>316</v>
      </c>
      <c r="B247" t="s">
        <v>317</v>
      </c>
      <c r="C247">
        <v>4.9000000000000004</v>
      </c>
      <c r="D247">
        <v>21834</v>
      </c>
      <c r="E247">
        <v>8</v>
      </c>
      <c r="F247">
        <v>2012</v>
      </c>
      <c r="G247" t="s">
        <v>10</v>
      </c>
      <c r="I247" t="str">
        <v/>
      </c>
    </row>
    <row r="248" spans="1:9" hidden="1" x14ac:dyDescent="0.25">
      <c r="A248" t="s">
        <v>316</v>
      </c>
      <c r="B248" t="s">
        <v>317</v>
      </c>
      <c r="C248">
        <v>4.9000000000000004</v>
      </c>
      <c r="D248">
        <v>21834</v>
      </c>
      <c r="E248">
        <v>8</v>
      </c>
      <c r="F248">
        <v>2013</v>
      </c>
      <c r="G248" t="s">
        <v>10</v>
      </c>
      <c r="I248" t="str">
        <v/>
      </c>
    </row>
    <row r="249" spans="1:9" hidden="1" x14ac:dyDescent="0.25">
      <c r="A249" t="s">
        <v>316</v>
      </c>
      <c r="B249" t="s">
        <v>317</v>
      </c>
      <c r="C249">
        <v>4.9000000000000004</v>
      </c>
      <c r="D249">
        <v>21834</v>
      </c>
      <c r="E249">
        <v>8</v>
      </c>
      <c r="F249">
        <v>2014</v>
      </c>
      <c r="G249" t="s">
        <v>10</v>
      </c>
      <c r="I249" t="str">
        <v/>
      </c>
    </row>
    <row r="250" spans="1:9" hidden="1" x14ac:dyDescent="0.25">
      <c r="A250" t="s">
        <v>316</v>
      </c>
      <c r="B250" t="s">
        <v>317</v>
      </c>
      <c r="C250">
        <v>4.9000000000000004</v>
      </c>
      <c r="D250">
        <v>21834</v>
      </c>
      <c r="E250">
        <v>8</v>
      </c>
      <c r="F250">
        <v>2015</v>
      </c>
      <c r="G250" t="s">
        <v>10</v>
      </c>
      <c r="I250" t="str">
        <v/>
      </c>
    </row>
    <row r="251" spans="1:9" hidden="1" x14ac:dyDescent="0.25">
      <c r="A251" t="s">
        <v>316</v>
      </c>
      <c r="B251" t="s">
        <v>317</v>
      </c>
      <c r="C251">
        <v>4.9000000000000004</v>
      </c>
      <c r="D251">
        <v>21834</v>
      </c>
      <c r="E251">
        <v>8</v>
      </c>
      <c r="F251">
        <v>2016</v>
      </c>
      <c r="G251" t="s">
        <v>10</v>
      </c>
      <c r="I251" t="str">
        <v/>
      </c>
    </row>
    <row r="252" spans="1:9" hidden="1" x14ac:dyDescent="0.25">
      <c r="A252" t="s">
        <v>316</v>
      </c>
      <c r="B252" t="s">
        <v>317</v>
      </c>
      <c r="C252">
        <v>4.9000000000000004</v>
      </c>
      <c r="D252">
        <v>21834</v>
      </c>
      <c r="E252">
        <v>8</v>
      </c>
      <c r="F252">
        <v>2017</v>
      </c>
      <c r="G252" t="s">
        <v>10</v>
      </c>
      <c r="I252" t="str">
        <v/>
      </c>
    </row>
    <row r="253" spans="1:9" hidden="1" x14ac:dyDescent="0.25">
      <c r="A253" t="s">
        <v>316</v>
      </c>
      <c r="B253" t="s">
        <v>317</v>
      </c>
      <c r="C253">
        <v>4.9000000000000004</v>
      </c>
      <c r="D253">
        <v>21834</v>
      </c>
      <c r="E253">
        <v>8</v>
      </c>
      <c r="F253">
        <v>2018</v>
      </c>
      <c r="G253" t="s">
        <v>10</v>
      </c>
      <c r="I253" t="str">
        <v/>
      </c>
    </row>
    <row r="254" spans="1:9" hidden="1" x14ac:dyDescent="0.25">
      <c r="A254" t="s">
        <v>316</v>
      </c>
      <c r="B254" t="s">
        <v>317</v>
      </c>
      <c r="C254">
        <v>4.9000000000000004</v>
      </c>
      <c r="D254">
        <v>21834</v>
      </c>
      <c r="E254">
        <v>8</v>
      </c>
      <c r="F254">
        <v>2019</v>
      </c>
      <c r="G254" t="s">
        <v>10</v>
      </c>
      <c r="I254" t="str">
        <v/>
      </c>
    </row>
    <row r="255" spans="1:9" hidden="1" x14ac:dyDescent="0.25">
      <c r="A255" t="s">
        <v>318</v>
      </c>
      <c r="B255" t="s">
        <v>78</v>
      </c>
      <c r="C255">
        <v>4.8</v>
      </c>
      <c r="D255">
        <v>6169</v>
      </c>
      <c r="E255">
        <v>7</v>
      </c>
      <c r="F255">
        <v>2015</v>
      </c>
      <c r="G255" t="s">
        <v>10</v>
      </c>
      <c r="I255" t="str">
        <v/>
      </c>
    </row>
    <row r="256" spans="1:9" hidden="1" x14ac:dyDescent="0.25">
      <c r="A256" t="s">
        <v>319</v>
      </c>
      <c r="B256" t="s">
        <v>320</v>
      </c>
      <c r="C256">
        <v>4.2</v>
      </c>
      <c r="D256">
        <v>4519</v>
      </c>
      <c r="E256">
        <v>12</v>
      </c>
      <c r="F256">
        <v>2009</v>
      </c>
      <c r="G256" t="s">
        <v>10</v>
      </c>
      <c r="I256" t="str">
        <v/>
      </c>
    </row>
    <row r="257" spans="1:9" hidden="1" x14ac:dyDescent="0.25">
      <c r="A257" t="s">
        <v>321</v>
      </c>
      <c r="B257" t="s">
        <v>322</v>
      </c>
      <c r="C257">
        <v>4.5999999999999996</v>
      </c>
      <c r="D257">
        <v>3163</v>
      </c>
      <c r="E257">
        <v>13</v>
      </c>
      <c r="F257">
        <v>2011</v>
      </c>
      <c r="G257" t="s">
        <v>8</v>
      </c>
      <c r="I257" t="str">
        <v/>
      </c>
    </row>
    <row r="258" spans="1:9" hidden="1" x14ac:dyDescent="0.25">
      <c r="A258" t="s">
        <v>321</v>
      </c>
      <c r="B258" t="s">
        <v>322</v>
      </c>
      <c r="C258">
        <v>4.5999999999999996</v>
      </c>
      <c r="D258">
        <v>3163</v>
      </c>
      <c r="E258">
        <v>13</v>
      </c>
      <c r="F258">
        <v>2012</v>
      </c>
      <c r="G258" t="s">
        <v>8</v>
      </c>
      <c r="I258" t="str">
        <v/>
      </c>
    </row>
    <row r="259" spans="1:9" hidden="1" x14ac:dyDescent="0.25">
      <c r="A259" t="s">
        <v>323</v>
      </c>
      <c r="B259" t="s">
        <v>271</v>
      </c>
      <c r="C259">
        <v>4.5</v>
      </c>
      <c r="D259">
        <v>1831</v>
      </c>
      <c r="E259">
        <v>9</v>
      </c>
      <c r="F259">
        <v>2017</v>
      </c>
      <c r="G259" t="s">
        <v>8</v>
      </c>
      <c r="I259" t="str">
        <v/>
      </c>
    </row>
    <row r="260" spans="1:9" hidden="1" x14ac:dyDescent="0.25">
      <c r="A260" t="s">
        <v>324</v>
      </c>
      <c r="B260" t="s">
        <v>243</v>
      </c>
      <c r="C260">
        <v>4.3</v>
      </c>
      <c r="D260">
        <v>18904</v>
      </c>
      <c r="E260">
        <v>13</v>
      </c>
      <c r="F260">
        <v>2017</v>
      </c>
      <c r="G260" t="s">
        <v>10</v>
      </c>
      <c r="I260" t="str">
        <v/>
      </c>
    </row>
    <row r="261" spans="1:9" hidden="1" x14ac:dyDescent="0.25">
      <c r="A261" t="s">
        <v>325</v>
      </c>
      <c r="B261" t="s">
        <v>326</v>
      </c>
      <c r="C261">
        <v>4.5999999999999996</v>
      </c>
      <c r="D261">
        <v>21930</v>
      </c>
      <c r="E261">
        <v>11</v>
      </c>
      <c r="F261">
        <v>2014</v>
      </c>
      <c r="G261" t="s">
        <v>10</v>
      </c>
      <c r="I261" t="str">
        <v/>
      </c>
    </row>
    <row r="262" spans="1:9" hidden="1" x14ac:dyDescent="0.25">
      <c r="A262" t="s">
        <v>327</v>
      </c>
      <c r="B262" t="s">
        <v>101</v>
      </c>
      <c r="C262">
        <v>4.5999999999999996</v>
      </c>
      <c r="D262">
        <v>10426</v>
      </c>
      <c r="E262">
        <v>20</v>
      </c>
      <c r="F262">
        <v>2009</v>
      </c>
      <c r="G262" t="s">
        <v>8</v>
      </c>
      <c r="I262" t="str">
        <v/>
      </c>
    </row>
    <row r="263" spans="1:9" hidden="1" x14ac:dyDescent="0.25">
      <c r="A263" t="s">
        <v>327</v>
      </c>
      <c r="B263" t="s">
        <v>101</v>
      </c>
      <c r="C263">
        <v>4.5999999999999996</v>
      </c>
      <c r="D263">
        <v>10426</v>
      </c>
      <c r="E263">
        <v>20</v>
      </c>
      <c r="F263">
        <v>2010</v>
      </c>
      <c r="G263" t="s">
        <v>8</v>
      </c>
      <c r="I263" t="str">
        <v/>
      </c>
    </row>
    <row r="264" spans="1:9" hidden="1" x14ac:dyDescent="0.25">
      <c r="A264" t="s">
        <v>328</v>
      </c>
      <c r="B264" t="s">
        <v>329</v>
      </c>
      <c r="C264">
        <v>4.7</v>
      </c>
      <c r="D264">
        <v>10820</v>
      </c>
      <c r="E264">
        <v>5</v>
      </c>
      <c r="F264">
        <v>2018</v>
      </c>
      <c r="G264" t="s">
        <v>8</v>
      </c>
      <c r="I264" t="str">
        <v/>
      </c>
    </row>
    <row r="265" spans="1:9" hidden="1" x14ac:dyDescent="0.25">
      <c r="A265" t="s">
        <v>328</v>
      </c>
      <c r="B265" t="s">
        <v>329</v>
      </c>
      <c r="C265">
        <v>4.7</v>
      </c>
      <c r="D265">
        <v>10820</v>
      </c>
      <c r="E265">
        <v>5</v>
      </c>
      <c r="F265">
        <v>2019</v>
      </c>
      <c r="G265" t="s">
        <v>8</v>
      </c>
      <c r="I265" t="str">
        <v/>
      </c>
    </row>
    <row r="266" spans="1:9" hidden="1" x14ac:dyDescent="0.25">
      <c r="A266" t="s">
        <v>330</v>
      </c>
      <c r="B266" t="s">
        <v>331</v>
      </c>
      <c r="C266">
        <v>4.8</v>
      </c>
      <c r="D266">
        <v>548</v>
      </c>
      <c r="E266">
        <v>2</v>
      </c>
      <c r="F266">
        <v>2010</v>
      </c>
      <c r="G266" t="s">
        <v>10</v>
      </c>
      <c r="I266" t="str">
        <v/>
      </c>
    </row>
    <row r="267" spans="1:9" hidden="1" x14ac:dyDescent="0.25">
      <c r="A267" t="s">
        <v>332</v>
      </c>
      <c r="B267" t="s">
        <v>333</v>
      </c>
      <c r="C267">
        <v>4.8</v>
      </c>
      <c r="D267">
        <v>16990</v>
      </c>
      <c r="E267">
        <v>27</v>
      </c>
      <c r="F267">
        <v>2017</v>
      </c>
      <c r="G267" t="s">
        <v>10</v>
      </c>
      <c r="I267" t="str">
        <v/>
      </c>
    </row>
    <row r="268" spans="1:9" hidden="1" x14ac:dyDescent="0.25">
      <c r="A268" t="s">
        <v>332</v>
      </c>
      <c r="B268" t="s">
        <v>333</v>
      </c>
      <c r="C268">
        <v>4.8</v>
      </c>
      <c r="D268">
        <v>16990</v>
      </c>
      <c r="E268">
        <v>27</v>
      </c>
      <c r="F268">
        <v>2018</v>
      </c>
      <c r="G268" t="s">
        <v>10</v>
      </c>
      <c r="I268" t="str">
        <v/>
      </c>
    </row>
    <row r="269" spans="1:9" hidden="1" x14ac:dyDescent="0.25">
      <c r="A269" t="s">
        <v>332</v>
      </c>
      <c r="B269" t="s">
        <v>333</v>
      </c>
      <c r="C269">
        <v>4.8</v>
      </c>
      <c r="D269">
        <v>16990</v>
      </c>
      <c r="E269">
        <v>27</v>
      </c>
      <c r="F269">
        <v>2019</v>
      </c>
      <c r="G269" t="s">
        <v>10</v>
      </c>
      <c r="I269" t="str">
        <v/>
      </c>
    </row>
    <row r="270" spans="1:9" hidden="1" x14ac:dyDescent="0.25">
      <c r="A270" t="s">
        <v>334</v>
      </c>
      <c r="B270" t="s">
        <v>213</v>
      </c>
      <c r="C270">
        <v>4.7</v>
      </c>
      <c r="D270">
        <v>3503</v>
      </c>
      <c r="E270">
        <v>9</v>
      </c>
      <c r="F270">
        <v>2016</v>
      </c>
      <c r="G270" t="s">
        <v>10</v>
      </c>
      <c r="I270" t="str">
        <v/>
      </c>
    </row>
    <row r="271" spans="1:9" hidden="1" x14ac:dyDescent="0.25">
      <c r="A271" t="s">
        <v>335</v>
      </c>
      <c r="B271" t="s">
        <v>336</v>
      </c>
      <c r="C271">
        <v>4.3</v>
      </c>
      <c r="D271">
        <v>13616</v>
      </c>
      <c r="E271">
        <v>10</v>
      </c>
      <c r="F271">
        <v>2012</v>
      </c>
      <c r="G271" t="s">
        <v>8</v>
      </c>
      <c r="I271" t="str">
        <v/>
      </c>
    </row>
    <row r="272" spans="1:9" hidden="1" x14ac:dyDescent="0.25">
      <c r="A272" t="s">
        <v>335</v>
      </c>
      <c r="B272" t="s">
        <v>336</v>
      </c>
      <c r="C272">
        <v>4.3</v>
      </c>
      <c r="D272">
        <v>13616</v>
      </c>
      <c r="E272">
        <v>10</v>
      </c>
      <c r="F272">
        <v>2013</v>
      </c>
      <c r="G272" t="s">
        <v>8</v>
      </c>
      <c r="I272" t="str">
        <v/>
      </c>
    </row>
    <row r="273" spans="1:9" hidden="1" x14ac:dyDescent="0.25">
      <c r="A273" t="s">
        <v>337</v>
      </c>
      <c r="B273" t="s">
        <v>338</v>
      </c>
      <c r="C273">
        <v>4.5</v>
      </c>
      <c r="D273">
        <v>8580</v>
      </c>
      <c r="E273">
        <v>46</v>
      </c>
      <c r="F273">
        <v>2009</v>
      </c>
      <c r="G273" t="s">
        <v>8</v>
      </c>
      <c r="I273" t="str">
        <v/>
      </c>
    </row>
    <row r="274" spans="1:9" hidden="1" x14ac:dyDescent="0.25">
      <c r="A274" t="s">
        <v>337</v>
      </c>
      <c r="B274" t="s">
        <v>338</v>
      </c>
      <c r="C274">
        <v>4.5</v>
      </c>
      <c r="D274">
        <v>8580</v>
      </c>
      <c r="E274">
        <v>46</v>
      </c>
      <c r="F274">
        <v>2010</v>
      </c>
      <c r="G274" t="s">
        <v>8</v>
      </c>
      <c r="I274" t="str">
        <v/>
      </c>
    </row>
    <row r="275" spans="1:9" hidden="1" x14ac:dyDescent="0.25">
      <c r="A275" t="s">
        <v>337</v>
      </c>
      <c r="B275" t="s">
        <v>338</v>
      </c>
      <c r="C275">
        <v>4.5</v>
      </c>
      <c r="D275">
        <v>8580</v>
      </c>
      <c r="E275">
        <v>46</v>
      </c>
      <c r="F275">
        <v>2011</v>
      </c>
      <c r="G275" t="s">
        <v>8</v>
      </c>
      <c r="I275" t="str">
        <v/>
      </c>
    </row>
    <row r="276" spans="1:9" hidden="1" x14ac:dyDescent="0.25">
      <c r="A276" t="s">
        <v>337</v>
      </c>
      <c r="B276" t="s">
        <v>338</v>
      </c>
      <c r="C276">
        <v>4.5</v>
      </c>
      <c r="D276">
        <v>8580</v>
      </c>
      <c r="E276">
        <v>46</v>
      </c>
      <c r="F276">
        <v>2012</v>
      </c>
      <c r="G276" t="s">
        <v>8</v>
      </c>
      <c r="I276" t="str">
        <v/>
      </c>
    </row>
    <row r="277" spans="1:9" hidden="1" x14ac:dyDescent="0.25">
      <c r="A277" t="s">
        <v>337</v>
      </c>
      <c r="B277" t="s">
        <v>338</v>
      </c>
      <c r="C277">
        <v>4.5</v>
      </c>
      <c r="D277">
        <v>8580</v>
      </c>
      <c r="E277">
        <v>46</v>
      </c>
      <c r="F277">
        <v>2013</v>
      </c>
      <c r="G277" t="s">
        <v>8</v>
      </c>
      <c r="I277" t="str">
        <v/>
      </c>
    </row>
    <row r="278" spans="1:9" hidden="1" x14ac:dyDescent="0.25">
      <c r="A278" t="s">
        <v>337</v>
      </c>
      <c r="B278" t="s">
        <v>338</v>
      </c>
      <c r="C278">
        <v>4.5</v>
      </c>
      <c r="D278">
        <v>8580</v>
      </c>
      <c r="E278">
        <v>46</v>
      </c>
      <c r="F278">
        <v>2014</v>
      </c>
      <c r="G278" t="s">
        <v>8</v>
      </c>
      <c r="I278" t="str">
        <v/>
      </c>
    </row>
    <row r="279" spans="1:9" hidden="1" x14ac:dyDescent="0.25">
      <c r="A279" t="s">
        <v>337</v>
      </c>
      <c r="B279" t="s">
        <v>338</v>
      </c>
      <c r="C279">
        <v>4.5</v>
      </c>
      <c r="D279">
        <v>8580</v>
      </c>
      <c r="E279">
        <v>46</v>
      </c>
      <c r="F279">
        <v>2015</v>
      </c>
      <c r="G279" t="s">
        <v>8</v>
      </c>
      <c r="I279" t="str">
        <v/>
      </c>
    </row>
    <row r="280" spans="1:9" hidden="1" x14ac:dyDescent="0.25">
      <c r="A280" t="s">
        <v>337</v>
      </c>
      <c r="B280" t="s">
        <v>338</v>
      </c>
      <c r="C280">
        <v>4.5</v>
      </c>
      <c r="D280">
        <v>8580</v>
      </c>
      <c r="E280">
        <v>46</v>
      </c>
      <c r="F280">
        <v>2016</v>
      </c>
      <c r="G280" t="s">
        <v>8</v>
      </c>
      <c r="I280" t="str">
        <v/>
      </c>
    </row>
    <row r="281" spans="1:9" hidden="1" x14ac:dyDescent="0.25">
      <c r="A281" t="s">
        <v>337</v>
      </c>
      <c r="B281" t="s">
        <v>338</v>
      </c>
      <c r="C281">
        <v>4.5</v>
      </c>
      <c r="D281">
        <v>8580</v>
      </c>
      <c r="E281">
        <v>46</v>
      </c>
      <c r="F281">
        <v>2017</v>
      </c>
      <c r="G281" t="s">
        <v>8</v>
      </c>
      <c r="I281" t="str">
        <v/>
      </c>
    </row>
    <row r="282" spans="1:9" hidden="1" x14ac:dyDescent="0.25">
      <c r="A282" t="s">
        <v>337</v>
      </c>
      <c r="B282" t="s">
        <v>338</v>
      </c>
      <c r="C282">
        <v>4.5</v>
      </c>
      <c r="D282">
        <v>8580</v>
      </c>
      <c r="E282">
        <v>46</v>
      </c>
      <c r="F282">
        <v>2018</v>
      </c>
      <c r="G282" t="s">
        <v>8</v>
      </c>
      <c r="I282" t="str">
        <v/>
      </c>
    </row>
    <row r="283" spans="1:9" hidden="1" x14ac:dyDescent="0.25">
      <c r="A283" t="s">
        <v>339</v>
      </c>
      <c r="B283" t="s">
        <v>340</v>
      </c>
      <c r="C283">
        <v>4.8</v>
      </c>
      <c r="D283">
        <v>4757</v>
      </c>
      <c r="E283">
        <v>4</v>
      </c>
      <c r="F283">
        <v>2017</v>
      </c>
      <c r="G283" t="s">
        <v>10</v>
      </c>
      <c r="I283" t="str">
        <v/>
      </c>
    </row>
    <row r="284" spans="1:9" hidden="1" x14ac:dyDescent="0.25">
      <c r="A284" t="s">
        <v>341</v>
      </c>
      <c r="B284" t="s">
        <v>342</v>
      </c>
      <c r="C284">
        <v>4.5999999999999996</v>
      </c>
      <c r="D284">
        <v>10009</v>
      </c>
      <c r="E284">
        <v>20</v>
      </c>
      <c r="F284">
        <v>2012</v>
      </c>
      <c r="G284" t="s">
        <v>8</v>
      </c>
      <c r="I284" t="str">
        <v/>
      </c>
    </row>
    <row r="285" spans="1:9" hidden="1" x14ac:dyDescent="0.25">
      <c r="A285" t="s">
        <v>341</v>
      </c>
      <c r="B285" t="s">
        <v>342</v>
      </c>
      <c r="C285">
        <v>4.5999999999999996</v>
      </c>
      <c r="D285">
        <v>10009</v>
      </c>
      <c r="E285">
        <v>7</v>
      </c>
      <c r="F285">
        <v>2013</v>
      </c>
      <c r="G285" t="s">
        <v>8</v>
      </c>
      <c r="I285" t="str">
        <v/>
      </c>
    </row>
    <row r="286" spans="1:9" hidden="1" x14ac:dyDescent="0.25">
      <c r="A286" t="s">
        <v>343</v>
      </c>
      <c r="B286" t="s">
        <v>344</v>
      </c>
      <c r="C286">
        <v>4.7</v>
      </c>
      <c r="D286">
        <v>1985</v>
      </c>
      <c r="E286">
        <v>9</v>
      </c>
      <c r="F286">
        <v>2010</v>
      </c>
      <c r="G286" t="s">
        <v>8</v>
      </c>
      <c r="I286" t="str">
        <v/>
      </c>
    </row>
    <row r="287" spans="1:9" hidden="1" x14ac:dyDescent="0.25">
      <c r="A287" t="s">
        <v>343</v>
      </c>
      <c r="B287" t="s">
        <v>344</v>
      </c>
      <c r="C287">
        <v>4.7</v>
      </c>
      <c r="D287">
        <v>1985</v>
      </c>
      <c r="E287">
        <v>9</v>
      </c>
      <c r="F287">
        <v>2011</v>
      </c>
      <c r="G287" t="s">
        <v>8</v>
      </c>
      <c r="I287" t="str">
        <v/>
      </c>
    </row>
    <row r="288" spans="1:9" hidden="1" x14ac:dyDescent="0.25">
      <c r="A288" t="s">
        <v>345</v>
      </c>
      <c r="B288" t="s">
        <v>346</v>
      </c>
      <c r="C288">
        <v>4.5999999999999996</v>
      </c>
      <c r="D288">
        <v>22536</v>
      </c>
      <c r="E288">
        <v>12</v>
      </c>
      <c r="F288">
        <v>2017</v>
      </c>
      <c r="G288" t="s">
        <v>10</v>
      </c>
      <c r="I288" t="str">
        <v/>
      </c>
    </row>
    <row r="289" spans="1:9" hidden="1" x14ac:dyDescent="0.25">
      <c r="A289" t="s">
        <v>345</v>
      </c>
      <c r="B289" t="s">
        <v>346</v>
      </c>
      <c r="C289">
        <v>4.5999999999999996</v>
      </c>
      <c r="D289">
        <v>22536</v>
      </c>
      <c r="E289">
        <v>12</v>
      </c>
      <c r="F289">
        <v>2018</v>
      </c>
      <c r="G289" t="s">
        <v>10</v>
      </c>
      <c r="I289" t="str">
        <v/>
      </c>
    </row>
    <row r="290" spans="1:9" hidden="1" x14ac:dyDescent="0.25">
      <c r="A290" t="s">
        <v>347</v>
      </c>
      <c r="B290" t="s">
        <v>348</v>
      </c>
      <c r="C290">
        <v>4.9000000000000004</v>
      </c>
      <c r="D290">
        <v>7150</v>
      </c>
      <c r="E290">
        <v>12</v>
      </c>
      <c r="F290">
        <v>2013</v>
      </c>
      <c r="G290" t="s">
        <v>10</v>
      </c>
      <c r="I290" t="str">
        <v/>
      </c>
    </row>
    <row r="291" spans="1:9" hidden="1" x14ac:dyDescent="0.25">
      <c r="A291" t="s">
        <v>349</v>
      </c>
      <c r="B291" t="s">
        <v>348</v>
      </c>
      <c r="C291">
        <v>4.9000000000000004</v>
      </c>
      <c r="D291">
        <v>3836</v>
      </c>
      <c r="E291">
        <v>12</v>
      </c>
      <c r="F291">
        <v>2014</v>
      </c>
      <c r="G291" t="s">
        <v>10</v>
      </c>
      <c r="I291" t="str">
        <v/>
      </c>
    </row>
    <row r="292" spans="1:9" hidden="1" x14ac:dyDescent="0.25">
      <c r="A292" t="s">
        <v>350</v>
      </c>
      <c r="B292" t="s">
        <v>351</v>
      </c>
      <c r="C292">
        <v>4.8</v>
      </c>
      <c r="D292">
        <v>7802</v>
      </c>
      <c r="E292">
        <v>20</v>
      </c>
      <c r="F292">
        <v>2018</v>
      </c>
      <c r="G292" t="s">
        <v>8</v>
      </c>
      <c r="I292" t="str">
        <v/>
      </c>
    </row>
    <row r="293" spans="1:9" hidden="1" x14ac:dyDescent="0.25">
      <c r="A293" t="s">
        <v>350</v>
      </c>
      <c r="B293" t="s">
        <v>351</v>
      </c>
      <c r="C293">
        <v>4.8</v>
      </c>
      <c r="D293">
        <v>7802</v>
      </c>
      <c r="E293">
        <v>20</v>
      </c>
      <c r="F293">
        <v>2019</v>
      </c>
      <c r="G293" t="s">
        <v>8</v>
      </c>
      <c r="I293" t="str">
        <v/>
      </c>
    </row>
    <row r="294" spans="1:9" hidden="1" x14ac:dyDescent="0.25">
      <c r="A294" t="s">
        <v>352</v>
      </c>
      <c r="B294" t="s">
        <v>353</v>
      </c>
      <c r="C294">
        <v>4.5999999999999996</v>
      </c>
      <c r="D294">
        <v>3619</v>
      </c>
      <c r="E294">
        <v>10</v>
      </c>
      <c r="F294">
        <v>2010</v>
      </c>
      <c r="G294" t="s">
        <v>10</v>
      </c>
      <c r="I294" t="str">
        <v/>
      </c>
    </row>
    <row r="295" spans="1:9" hidden="1" x14ac:dyDescent="0.25">
      <c r="A295" t="s">
        <v>354</v>
      </c>
      <c r="B295" t="s">
        <v>355</v>
      </c>
      <c r="C295">
        <v>4.8</v>
      </c>
      <c r="D295">
        <v>23047</v>
      </c>
      <c r="E295">
        <v>6</v>
      </c>
      <c r="F295">
        <v>2018</v>
      </c>
      <c r="G295" t="s">
        <v>8</v>
      </c>
      <c r="I295" t="str">
        <v/>
      </c>
    </row>
    <row r="296" spans="1:9" hidden="1" x14ac:dyDescent="0.25">
      <c r="A296" t="s">
        <v>354</v>
      </c>
      <c r="B296" t="s">
        <v>355</v>
      </c>
      <c r="C296">
        <v>4.8</v>
      </c>
      <c r="D296">
        <v>23047</v>
      </c>
      <c r="E296">
        <v>6</v>
      </c>
      <c r="F296">
        <v>2019</v>
      </c>
      <c r="G296" t="s">
        <v>8</v>
      </c>
      <c r="I296" t="str">
        <v/>
      </c>
    </row>
    <row r="297" spans="1:9" hidden="1" x14ac:dyDescent="0.25">
      <c r="A297" t="s">
        <v>356</v>
      </c>
      <c r="B297" t="s">
        <v>147</v>
      </c>
      <c r="C297">
        <v>4.7</v>
      </c>
      <c r="D297">
        <v>9366</v>
      </c>
      <c r="E297">
        <v>9</v>
      </c>
      <c r="F297">
        <v>2015</v>
      </c>
      <c r="G297" t="s">
        <v>8</v>
      </c>
      <c r="I297" t="str">
        <v/>
      </c>
    </row>
    <row r="298" spans="1:9" hidden="1" x14ac:dyDescent="0.25">
      <c r="A298" t="s">
        <v>357</v>
      </c>
      <c r="B298" t="s">
        <v>358</v>
      </c>
      <c r="C298">
        <v>4.7</v>
      </c>
      <c r="D298">
        <v>1265</v>
      </c>
      <c r="E298">
        <v>11</v>
      </c>
      <c r="F298">
        <v>2010</v>
      </c>
      <c r="G298" t="s">
        <v>8</v>
      </c>
      <c r="I298" t="str">
        <v/>
      </c>
    </row>
    <row r="299" spans="1:9" hidden="1" x14ac:dyDescent="0.25">
      <c r="A299" t="s">
        <v>359</v>
      </c>
      <c r="B299" t="s">
        <v>360</v>
      </c>
      <c r="C299">
        <v>4.8</v>
      </c>
      <c r="D299">
        <v>3923</v>
      </c>
      <c r="E299">
        <v>16</v>
      </c>
      <c r="F299">
        <v>2018</v>
      </c>
      <c r="G299" t="s">
        <v>8</v>
      </c>
      <c r="I299" t="str">
        <v/>
      </c>
    </row>
    <row r="300" spans="1:9" hidden="1" x14ac:dyDescent="0.25">
      <c r="A300" t="s">
        <v>361</v>
      </c>
      <c r="B300" t="s">
        <v>362</v>
      </c>
      <c r="C300">
        <v>4.0999999999999996</v>
      </c>
      <c r="D300">
        <v>2272</v>
      </c>
      <c r="E300">
        <v>6</v>
      </c>
      <c r="F300">
        <v>2013</v>
      </c>
      <c r="G300" t="s">
        <v>8</v>
      </c>
      <c r="I300" t="str">
        <v/>
      </c>
    </row>
    <row r="301" spans="1:9" hidden="1" x14ac:dyDescent="0.25">
      <c r="A301" t="s">
        <v>363</v>
      </c>
      <c r="B301" t="s">
        <v>103</v>
      </c>
      <c r="C301">
        <v>4.7</v>
      </c>
      <c r="D301">
        <v>973</v>
      </c>
      <c r="E301">
        <v>25</v>
      </c>
      <c r="F301">
        <v>2009</v>
      </c>
      <c r="G301" t="s">
        <v>10</v>
      </c>
      <c r="I301" t="str">
        <v/>
      </c>
    </row>
    <row r="302" spans="1:9" hidden="1" x14ac:dyDescent="0.25">
      <c r="A302" t="s">
        <v>364</v>
      </c>
      <c r="B302" t="s">
        <v>122</v>
      </c>
      <c r="C302">
        <v>4.5999999999999996</v>
      </c>
      <c r="D302">
        <v>220</v>
      </c>
      <c r="E302">
        <v>17</v>
      </c>
      <c r="F302">
        <v>2013</v>
      </c>
      <c r="G302" t="s">
        <v>8</v>
      </c>
      <c r="I302" t="str">
        <v/>
      </c>
    </row>
    <row r="303" spans="1:9" hidden="1" x14ac:dyDescent="0.25">
      <c r="A303" t="s">
        <v>365</v>
      </c>
      <c r="B303" t="s">
        <v>273</v>
      </c>
      <c r="C303">
        <v>4.5999999999999996</v>
      </c>
      <c r="D303">
        <v>7827</v>
      </c>
      <c r="E303">
        <v>20</v>
      </c>
      <c r="F303">
        <v>2011</v>
      </c>
      <c r="G303" t="s">
        <v>8</v>
      </c>
      <c r="I303" t="str">
        <v/>
      </c>
    </row>
    <row r="304" spans="1:9" hidden="1" x14ac:dyDescent="0.25">
      <c r="A304" t="s">
        <v>365</v>
      </c>
      <c r="B304" t="s">
        <v>273</v>
      </c>
      <c r="C304">
        <v>4.5999999999999996</v>
      </c>
      <c r="D304">
        <v>7827</v>
      </c>
      <c r="E304">
        <v>20</v>
      </c>
      <c r="F304">
        <v>2012</v>
      </c>
      <c r="G304" t="s">
        <v>8</v>
      </c>
      <c r="I304" t="str">
        <v/>
      </c>
    </row>
    <row r="305" spans="1:9" hidden="1" x14ac:dyDescent="0.25">
      <c r="A305" t="s">
        <v>366</v>
      </c>
      <c r="B305" t="s">
        <v>367</v>
      </c>
      <c r="C305">
        <v>4.9000000000000004</v>
      </c>
      <c r="D305">
        <v>9382</v>
      </c>
      <c r="E305">
        <v>6</v>
      </c>
      <c r="F305">
        <v>2019</v>
      </c>
      <c r="G305" t="s">
        <v>10</v>
      </c>
      <c r="I305" t="str">
        <v/>
      </c>
    </row>
    <row r="306" spans="1:9" hidden="1" x14ac:dyDescent="0.25">
      <c r="A306" t="s">
        <v>368</v>
      </c>
      <c r="B306" t="s">
        <v>369</v>
      </c>
      <c r="C306">
        <v>4</v>
      </c>
      <c r="D306">
        <v>5069</v>
      </c>
      <c r="E306">
        <v>17</v>
      </c>
      <c r="F306">
        <v>2009</v>
      </c>
      <c r="G306" t="s">
        <v>8</v>
      </c>
      <c r="I306" t="str">
        <v/>
      </c>
    </row>
    <row r="307" spans="1:9" hidden="1" x14ac:dyDescent="0.25">
      <c r="A307" t="s">
        <v>368</v>
      </c>
      <c r="B307" t="s">
        <v>369</v>
      </c>
      <c r="C307">
        <v>4</v>
      </c>
      <c r="D307">
        <v>5069</v>
      </c>
      <c r="E307">
        <v>17</v>
      </c>
      <c r="F307">
        <v>2010</v>
      </c>
      <c r="G307" t="s">
        <v>8</v>
      </c>
      <c r="I307" t="str">
        <v/>
      </c>
    </row>
    <row r="308" spans="1:9" hidden="1" x14ac:dyDescent="0.25">
      <c r="A308" t="s">
        <v>368</v>
      </c>
      <c r="B308" t="s">
        <v>369</v>
      </c>
      <c r="C308">
        <v>4</v>
      </c>
      <c r="D308">
        <v>5069</v>
      </c>
      <c r="E308">
        <v>17</v>
      </c>
      <c r="F308">
        <v>2011</v>
      </c>
      <c r="G308" t="s">
        <v>8</v>
      </c>
      <c r="I308" t="str">
        <v/>
      </c>
    </row>
    <row r="309" spans="1:9" hidden="1" x14ac:dyDescent="0.25">
      <c r="A309" t="s">
        <v>368</v>
      </c>
      <c r="B309" t="s">
        <v>369</v>
      </c>
      <c r="C309">
        <v>4</v>
      </c>
      <c r="D309">
        <v>5069</v>
      </c>
      <c r="E309">
        <v>17</v>
      </c>
      <c r="F309">
        <v>2012</v>
      </c>
      <c r="G309" t="s">
        <v>8</v>
      </c>
      <c r="I309" t="str">
        <v/>
      </c>
    </row>
    <row r="310" spans="1:9" hidden="1" x14ac:dyDescent="0.25">
      <c r="A310" t="s">
        <v>368</v>
      </c>
      <c r="B310" t="s">
        <v>369</v>
      </c>
      <c r="C310">
        <v>4</v>
      </c>
      <c r="D310">
        <v>5069</v>
      </c>
      <c r="E310">
        <v>17</v>
      </c>
      <c r="F310">
        <v>2013</v>
      </c>
      <c r="G310" t="s">
        <v>8</v>
      </c>
      <c r="I310" t="str">
        <v/>
      </c>
    </row>
    <row r="311" spans="1:9" hidden="1" x14ac:dyDescent="0.25">
      <c r="A311" t="s">
        <v>368</v>
      </c>
      <c r="B311" t="s">
        <v>369</v>
      </c>
      <c r="C311">
        <v>4</v>
      </c>
      <c r="D311">
        <v>5069</v>
      </c>
      <c r="E311">
        <v>17</v>
      </c>
      <c r="F311">
        <v>2014</v>
      </c>
      <c r="G311" t="s">
        <v>8</v>
      </c>
      <c r="I311" t="str">
        <v/>
      </c>
    </row>
    <row r="312" spans="1:9" hidden="1" x14ac:dyDescent="0.25">
      <c r="A312" t="s">
        <v>368</v>
      </c>
      <c r="B312" t="s">
        <v>369</v>
      </c>
      <c r="C312">
        <v>4</v>
      </c>
      <c r="D312">
        <v>5069</v>
      </c>
      <c r="E312">
        <v>17</v>
      </c>
      <c r="F312">
        <v>2015</v>
      </c>
      <c r="G312" t="s">
        <v>8</v>
      </c>
      <c r="I312" t="str">
        <v/>
      </c>
    </row>
    <row r="313" spans="1:9" hidden="1" x14ac:dyDescent="0.25">
      <c r="A313" t="s">
        <v>368</v>
      </c>
      <c r="B313" t="s">
        <v>369</v>
      </c>
      <c r="C313">
        <v>4</v>
      </c>
      <c r="D313">
        <v>5069</v>
      </c>
      <c r="E313">
        <v>17</v>
      </c>
      <c r="F313">
        <v>2016</v>
      </c>
      <c r="G313" t="s">
        <v>8</v>
      </c>
      <c r="I313" t="str">
        <v/>
      </c>
    </row>
    <row r="314" spans="1:9" hidden="1" x14ac:dyDescent="0.25">
      <c r="A314" t="s">
        <v>368</v>
      </c>
      <c r="B314" t="s">
        <v>369</v>
      </c>
      <c r="C314">
        <v>4</v>
      </c>
      <c r="D314">
        <v>5069</v>
      </c>
      <c r="E314">
        <v>17</v>
      </c>
      <c r="F314">
        <v>2017</v>
      </c>
      <c r="G314" t="s">
        <v>8</v>
      </c>
      <c r="I314" t="str">
        <v/>
      </c>
    </row>
    <row r="315" spans="1:9" hidden="1" x14ac:dyDescent="0.25">
      <c r="A315" t="s">
        <v>370</v>
      </c>
      <c r="B315" t="s">
        <v>371</v>
      </c>
      <c r="C315">
        <v>4.5</v>
      </c>
      <c r="D315">
        <v>1583</v>
      </c>
      <c r="E315">
        <v>18</v>
      </c>
      <c r="F315">
        <v>2009</v>
      </c>
      <c r="G315" t="s">
        <v>8</v>
      </c>
      <c r="I315" t="str">
        <v/>
      </c>
    </row>
    <row r="316" spans="1:9" hidden="1" x14ac:dyDescent="0.25">
      <c r="A316" t="s">
        <v>372</v>
      </c>
      <c r="B316" t="s">
        <v>373</v>
      </c>
      <c r="C316">
        <v>4.5999999999999996</v>
      </c>
      <c r="D316">
        <v>1907</v>
      </c>
      <c r="E316">
        <v>13</v>
      </c>
      <c r="F316">
        <v>2010</v>
      </c>
      <c r="G316" t="s">
        <v>8</v>
      </c>
      <c r="I316" t="str">
        <v/>
      </c>
    </row>
    <row r="317" spans="1:9" hidden="1" x14ac:dyDescent="0.25">
      <c r="A317" t="s">
        <v>374</v>
      </c>
      <c r="B317" t="s">
        <v>375</v>
      </c>
      <c r="C317">
        <v>4.5</v>
      </c>
      <c r="D317">
        <v>23114</v>
      </c>
      <c r="E317">
        <v>18</v>
      </c>
      <c r="F317">
        <v>2013</v>
      </c>
      <c r="G317" t="s">
        <v>10</v>
      </c>
      <c r="I317" t="str">
        <v/>
      </c>
    </row>
    <row r="318" spans="1:9" hidden="1" x14ac:dyDescent="0.25">
      <c r="A318" t="s">
        <v>376</v>
      </c>
      <c r="B318" t="s">
        <v>377</v>
      </c>
      <c r="C318">
        <v>4.4000000000000004</v>
      </c>
      <c r="D318">
        <v>637</v>
      </c>
      <c r="E318">
        <v>20</v>
      </c>
      <c r="F318">
        <v>2010</v>
      </c>
      <c r="G318" t="s">
        <v>8</v>
      </c>
      <c r="I318" t="str">
        <v/>
      </c>
    </row>
    <row r="319" spans="1:9" hidden="1" x14ac:dyDescent="0.25">
      <c r="A319" t="s">
        <v>376</v>
      </c>
      <c r="B319" t="s">
        <v>377</v>
      </c>
      <c r="C319">
        <v>4.4000000000000004</v>
      </c>
      <c r="D319">
        <v>637</v>
      </c>
      <c r="E319">
        <v>20</v>
      </c>
      <c r="F319">
        <v>2011</v>
      </c>
      <c r="G319" t="s">
        <v>8</v>
      </c>
      <c r="I319" t="str">
        <v/>
      </c>
    </row>
    <row r="320" spans="1:9" hidden="1" x14ac:dyDescent="0.25">
      <c r="A320" t="s">
        <v>378</v>
      </c>
      <c r="B320" t="s">
        <v>379</v>
      </c>
      <c r="C320">
        <v>4.3</v>
      </c>
      <c r="D320">
        <v>2314</v>
      </c>
      <c r="E320">
        <v>22</v>
      </c>
      <c r="F320">
        <v>2011</v>
      </c>
      <c r="G320" t="s">
        <v>8</v>
      </c>
      <c r="I320" t="str">
        <v/>
      </c>
    </row>
    <row r="321" spans="1:9" hidden="1" x14ac:dyDescent="0.25">
      <c r="A321" t="s">
        <v>380</v>
      </c>
      <c r="B321" t="s">
        <v>381</v>
      </c>
      <c r="C321">
        <v>4.3</v>
      </c>
      <c r="D321">
        <v>4587</v>
      </c>
      <c r="E321">
        <v>21</v>
      </c>
      <c r="F321">
        <v>2011</v>
      </c>
      <c r="G321" t="s">
        <v>8</v>
      </c>
      <c r="I321" t="str">
        <v/>
      </c>
    </row>
    <row r="322" spans="1:9" hidden="1" x14ac:dyDescent="0.25">
      <c r="A322" t="s">
        <v>382</v>
      </c>
      <c r="B322" t="s">
        <v>383</v>
      </c>
      <c r="C322">
        <v>4.7</v>
      </c>
      <c r="D322">
        <v>3477</v>
      </c>
      <c r="E322">
        <v>28</v>
      </c>
      <c r="F322">
        <v>2010</v>
      </c>
      <c r="G322" t="s">
        <v>8</v>
      </c>
      <c r="I322" t="str">
        <v/>
      </c>
    </row>
    <row r="323" spans="1:9" hidden="1" x14ac:dyDescent="0.25">
      <c r="A323" t="s">
        <v>382</v>
      </c>
      <c r="B323" t="s">
        <v>383</v>
      </c>
      <c r="C323">
        <v>4.7</v>
      </c>
      <c r="D323">
        <v>3477</v>
      </c>
      <c r="E323">
        <v>28</v>
      </c>
      <c r="F323">
        <v>2011</v>
      </c>
      <c r="G323" t="s">
        <v>8</v>
      </c>
      <c r="I323" t="str">
        <v/>
      </c>
    </row>
    <row r="324" spans="1:9" hidden="1" x14ac:dyDescent="0.25">
      <c r="A324" t="s">
        <v>382</v>
      </c>
      <c r="B324" t="s">
        <v>383</v>
      </c>
      <c r="C324">
        <v>4.7</v>
      </c>
      <c r="D324">
        <v>3477</v>
      </c>
      <c r="E324">
        <v>28</v>
      </c>
      <c r="F324">
        <v>2012</v>
      </c>
      <c r="G324" t="s">
        <v>8</v>
      </c>
      <c r="I324" t="str">
        <v/>
      </c>
    </row>
    <row r="325" spans="1:9" hidden="1" x14ac:dyDescent="0.25">
      <c r="A325" t="s">
        <v>382</v>
      </c>
      <c r="B325" t="s">
        <v>383</v>
      </c>
      <c r="C325">
        <v>4.7</v>
      </c>
      <c r="D325">
        <v>3477</v>
      </c>
      <c r="E325">
        <v>28</v>
      </c>
      <c r="F325">
        <v>2013</v>
      </c>
      <c r="G325" t="s">
        <v>8</v>
      </c>
      <c r="I325" t="str">
        <v/>
      </c>
    </row>
    <row r="326" spans="1:9" hidden="1" x14ac:dyDescent="0.25">
      <c r="A326" t="s">
        <v>382</v>
      </c>
      <c r="B326" t="s">
        <v>383</v>
      </c>
      <c r="C326">
        <v>4.7</v>
      </c>
      <c r="D326">
        <v>3477</v>
      </c>
      <c r="E326">
        <v>28</v>
      </c>
      <c r="F326">
        <v>2014</v>
      </c>
      <c r="G326" t="s">
        <v>8</v>
      </c>
      <c r="I326" t="str">
        <v/>
      </c>
    </row>
    <row r="327" spans="1:9" hidden="1" x14ac:dyDescent="0.25">
      <c r="A327" t="s">
        <v>384</v>
      </c>
      <c r="B327" t="s">
        <v>383</v>
      </c>
      <c r="C327">
        <v>4.8</v>
      </c>
      <c r="D327">
        <v>25554</v>
      </c>
      <c r="E327">
        <v>8</v>
      </c>
      <c r="F327">
        <v>2015</v>
      </c>
      <c r="G327" t="s">
        <v>8</v>
      </c>
      <c r="I327" t="str">
        <v/>
      </c>
    </row>
    <row r="328" spans="1:9" hidden="1" x14ac:dyDescent="0.25">
      <c r="A328" t="s">
        <v>384</v>
      </c>
      <c r="B328" t="s">
        <v>383</v>
      </c>
      <c r="C328">
        <v>4.8</v>
      </c>
      <c r="D328">
        <v>25554</v>
      </c>
      <c r="E328">
        <v>8</v>
      </c>
      <c r="F328">
        <v>2016</v>
      </c>
      <c r="G328" t="s">
        <v>8</v>
      </c>
      <c r="I328" t="str">
        <v/>
      </c>
    </row>
    <row r="329" spans="1:9" hidden="1" x14ac:dyDescent="0.25">
      <c r="A329" t="s">
        <v>384</v>
      </c>
      <c r="B329" t="s">
        <v>383</v>
      </c>
      <c r="C329">
        <v>4.8</v>
      </c>
      <c r="D329">
        <v>25554</v>
      </c>
      <c r="E329">
        <v>8</v>
      </c>
      <c r="F329">
        <v>2017</v>
      </c>
      <c r="G329" t="s">
        <v>8</v>
      </c>
      <c r="I329" t="str">
        <v/>
      </c>
    </row>
    <row r="330" spans="1:9" hidden="1" x14ac:dyDescent="0.25">
      <c r="A330" t="s">
        <v>384</v>
      </c>
      <c r="B330" t="s">
        <v>383</v>
      </c>
      <c r="C330">
        <v>4.8</v>
      </c>
      <c r="D330">
        <v>25554</v>
      </c>
      <c r="E330">
        <v>8</v>
      </c>
      <c r="F330">
        <v>2018</v>
      </c>
      <c r="G330" t="s">
        <v>8</v>
      </c>
      <c r="I330" t="str">
        <v/>
      </c>
    </row>
    <row r="331" spans="1:9" hidden="1" x14ac:dyDescent="0.25">
      <c r="A331" t="s">
        <v>384</v>
      </c>
      <c r="B331" t="s">
        <v>383</v>
      </c>
      <c r="C331">
        <v>4.8</v>
      </c>
      <c r="D331">
        <v>25554</v>
      </c>
      <c r="E331">
        <v>8</v>
      </c>
      <c r="F331">
        <v>2019</v>
      </c>
      <c r="G331" t="s">
        <v>8</v>
      </c>
      <c r="I331" t="str">
        <v/>
      </c>
    </row>
    <row r="332" spans="1:9" hidden="1" x14ac:dyDescent="0.25">
      <c r="A332" t="s">
        <v>385</v>
      </c>
      <c r="B332" t="s">
        <v>386</v>
      </c>
      <c r="C332">
        <v>4.8</v>
      </c>
      <c r="D332">
        <v>1680</v>
      </c>
      <c r="E332">
        <v>12</v>
      </c>
      <c r="F332">
        <v>2009</v>
      </c>
      <c r="G332" t="s">
        <v>8</v>
      </c>
      <c r="I332" t="str">
        <v/>
      </c>
    </row>
    <row r="333" spans="1:9" hidden="1" x14ac:dyDescent="0.25">
      <c r="A333" t="s">
        <v>387</v>
      </c>
      <c r="B333" t="s">
        <v>388</v>
      </c>
      <c r="C333">
        <v>4.5999999999999996</v>
      </c>
      <c r="D333">
        <v>9325</v>
      </c>
      <c r="E333">
        <v>24</v>
      </c>
      <c r="F333">
        <v>2009</v>
      </c>
      <c r="G333" t="s">
        <v>8</v>
      </c>
      <c r="I333" t="str">
        <v/>
      </c>
    </row>
    <row r="334" spans="1:9" hidden="1" x14ac:dyDescent="0.25">
      <c r="A334" t="s">
        <v>387</v>
      </c>
      <c r="B334" t="s">
        <v>388</v>
      </c>
      <c r="C334">
        <v>4.5999999999999996</v>
      </c>
      <c r="D334">
        <v>9325</v>
      </c>
      <c r="E334">
        <v>24</v>
      </c>
      <c r="F334">
        <v>2011</v>
      </c>
      <c r="G334" t="s">
        <v>8</v>
      </c>
      <c r="I334" t="str">
        <v/>
      </c>
    </row>
    <row r="335" spans="1:9" hidden="1" x14ac:dyDescent="0.25">
      <c r="A335" t="s">
        <v>387</v>
      </c>
      <c r="B335" t="s">
        <v>388</v>
      </c>
      <c r="C335">
        <v>4.5999999999999996</v>
      </c>
      <c r="D335">
        <v>9325</v>
      </c>
      <c r="E335">
        <v>24</v>
      </c>
      <c r="F335">
        <v>2012</v>
      </c>
      <c r="G335" t="s">
        <v>8</v>
      </c>
      <c r="I335" t="str">
        <v/>
      </c>
    </row>
    <row r="336" spans="1:9" hidden="1" x14ac:dyDescent="0.25">
      <c r="A336" t="s">
        <v>387</v>
      </c>
      <c r="B336" t="s">
        <v>388</v>
      </c>
      <c r="C336">
        <v>4.5999999999999996</v>
      </c>
      <c r="D336">
        <v>9325</v>
      </c>
      <c r="E336">
        <v>24</v>
      </c>
      <c r="F336">
        <v>2013</v>
      </c>
      <c r="G336" t="s">
        <v>8</v>
      </c>
      <c r="I336" t="str">
        <v/>
      </c>
    </row>
    <row r="337" spans="1:9" hidden="1" x14ac:dyDescent="0.25">
      <c r="A337" t="s">
        <v>387</v>
      </c>
      <c r="B337" t="s">
        <v>388</v>
      </c>
      <c r="C337">
        <v>4.7</v>
      </c>
      <c r="D337">
        <v>4725</v>
      </c>
      <c r="E337">
        <v>16</v>
      </c>
      <c r="F337">
        <v>2015</v>
      </c>
      <c r="G337" t="s">
        <v>8</v>
      </c>
      <c r="I337" t="str">
        <v/>
      </c>
    </row>
    <row r="338" spans="1:9" hidden="1" x14ac:dyDescent="0.25">
      <c r="A338" t="s">
        <v>387</v>
      </c>
      <c r="B338" t="s">
        <v>388</v>
      </c>
      <c r="C338">
        <v>4.7</v>
      </c>
      <c r="D338">
        <v>4725</v>
      </c>
      <c r="E338">
        <v>16</v>
      </c>
      <c r="F338">
        <v>2016</v>
      </c>
      <c r="G338" t="s">
        <v>8</v>
      </c>
      <c r="I338" t="str">
        <v/>
      </c>
    </row>
    <row r="339" spans="1:9" hidden="1" x14ac:dyDescent="0.25">
      <c r="A339" t="s">
        <v>387</v>
      </c>
      <c r="B339" t="s">
        <v>388</v>
      </c>
      <c r="C339">
        <v>4.7</v>
      </c>
      <c r="D339">
        <v>4725</v>
      </c>
      <c r="E339">
        <v>16</v>
      </c>
      <c r="F339">
        <v>2017</v>
      </c>
      <c r="G339" t="s">
        <v>8</v>
      </c>
      <c r="I339" t="str">
        <v/>
      </c>
    </row>
    <row r="340" spans="1:9" hidden="1" x14ac:dyDescent="0.25">
      <c r="A340" t="s">
        <v>389</v>
      </c>
      <c r="B340" t="s">
        <v>390</v>
      </c>
      <c r="C340">
        <v>4.7</v>
      </c>
      <c r="D340">
        <v>35799</v>
      </c>
      <c r="E340">
        <v>39</v>
      </c>
      <c r="F340">
        <v>2014</v>
      </c>
      <c r="G340" t="s">
        <v>10</v>
      </c>
      <c r="I340" t="str">
        <v/>
      </c>
    </row>
    <row r="341" spans="1:9" hidden="1" x14ac:dyDescent="0.25">
      <c r="A341" t="s">
        <v>391</v>
      </c>
      <c r="B341" t="s">
        <v>392</v>
      </c>
      <c r="C341">
        <v>4.5999999999999996</v>
      </c>
      <c r="D341">
        <v>2580</v>
      </c>
      <c r="E341">
        <v>9</v>
      </c>
      <c r="F341">
        <v>2012</v>
      </c>
      <c r="G341" t="s">
        <v>8</v>
      </c>
      <c r="I341" t="str">
        <v/>
      </c>
    </row>
    <row r="342" spans="1:9" hidden="1" x14ac:dyDescent="0.25">
      <c r="A342" t="s">
        <v>393</v>
      </c>
      <c r="B342" t="s">
        <v>394</v>
      </c>
      <c r="C342">
        <v>4.7</v>
      </c>
      <c r="D342">
        <v>11813</v>
      </c>
      <c r="E342">
        <v>10</v>
      </c>
      <c r="F342">
        <v>2010</v>
      </c>
      <c r="G342" t="s">
        <v>10</v>
      </c>
      <c r="I342" t="str">
        <v/>
      </c>
    </row>
    <row r="343" spans="1:9" hidden="1" x14ac:dyDescent="0.25">
      <c r="A343" t="s">
        <v>393</v>
      </c>
      <c r="B343" t="s">
        <v>394</v>
      </c>
      <c r="C343">
        <v>4.7</v>
      </c>
      <c r="D343">
        <v>11813</v>
      </c>
      <c r="E343">
        <v>10</v>
      </c>
      <c r="F343">
        <v>2011</v>
      </c>
      <c r="G343" t="s">
        <v>10</v>
      </c>
      <c r="I343" t="str">
        <v/>
      </c>
    </row>
    <row r="344" spans="1:9" hidden="1" x14ac:dyDescent="0.25">
      <c r="A344" t="s">
        <v>395</v>
      </c>
      <c r="B344" t="s">
        <v>396</v>
      </c>
      <c r="C344">
        <v>4.7</v>
      </c>
      <c r="D344">
        <v>3536</v>
      </c>
      <c r="E344">
        <v>17</v>
      </c>
      <c r="F344">
        <v>2010</v>
      </c>
      <c r="G344" t="s">
        <v>8</v>
      </c>
      <c r="I344" t="str">
        <v/>
      </c>
    </row>
    <row r="345" spans="1:9" hidden="1" x14ac:dyDescent="0.25">
      <c r="A345" t="s">
        <v>397</v>
      </c>
      <c r="B345" t="s">
        <v>331</v>
      </c>
      <c r="C345">
        <v>4.8</v>
      </c>
      <c r="D345">
        <v>6600</v>
      </c>
      <c r="E345">
        <v>11</v>
      </c>
      <c r="F345">
        <v>2014</v>
      </c>
      <c r="G345" t="s">
        <v>10</v>
      </c>
      <c r="I345" t="str">
        <v/>
      </c>
    </row>
    <row r="346" spans="1:9" hidden="1" x14ac:dyDescent="0.25">
      <c r="A346" t="s">
        <v>398</v>
      </c>
      <c r="B346" t="s">
        <v>399</v>
      </c>
      <c r="C346">
        <v>4.2</v>
      </c>
      <c r="D346">
        <v>1789</v>
      </c>
      <c r="E346">
        <v>14</v>
      </c>
      <c r="F346">
        <v>2012</v>
      </c>
      <c r="G346" t="s">
        <v>8</v>
      </c>
      <c r="I346" t="str">
        <v/>
      </c>
    </row>
    <row r="347" spans="1:9" hidden="1" x14ac:dyDescent="0.25">
      <c r="A347" t="s">
        <v>400</v>
      </c>
      <c r="B347" t="s">
        <v>401</v>
      </c>
      <c r="C347">
        <v>4.8</v>
      </c>
      <c r="D347">
        <v>12361</v>
      </c>
      <c r="E347">
        <v>12</v>
      </c>
      <c r="F347">
        <v>2019</v>
      </c>
      <c r="G347" t="s">
        <v>8</v>
      </c>
      <c r="I347" t="str">
        <v/>
      </c>
    </row>
    <row r="348" spans="1:9" hidden="1" x14ac:dyDescent="0.25">
      <c r="A348" t="s">
        <v>402</v>
      </c>
      <c r="B348" t="s">
        <v>403</v>
      </c>
      <c r="C348">
        <v>4.7</v>
      </c>
      <c r="D348">
        <v>858</v>
      </c>
      <c r="E348">
        <v>53</v>
      </c>
      <c r="F348">
        <v>2009</v>
      </c>
      <c r="G348" t="s">
        <v>8</v>
      </c>
      <c r="I348" t="str">
        <v/>
      </c>
    </row>
    <row r="349" spans="1:9" hidden="1" x14ac:dyDescent="0.25">
      <c r="A349" t="s">
        <v>404</v>
      </c>
      <c r="B349" t="s">
        <v>405</v>
      </c>
      <c r="C349">
        <v>4.5999999999999996</v>
      </c>
      <c r="D349">
        <v>23148</v>
      </c>
      <c r="E349">
        <v>6</v>
      </c>
      <c r="F349">
        <v>2013</v>
      </c>
      <c r="G349" t="s">
        <v>10</v>
      </c>
      <c r="I349" t="str">
        <v/>
      </c>
    </row>
    <row r="350" spans="1:9" hidden="1" x14ac:dyDescent="0.25">
      <c r="A350" t="s">
        <v>404</v>
      </c>
      <c r="B350" t="s">
        <v>405</v>
      </c>
      <c r="C350">
        <v>4.5999999999999996</v>
      </c>
      <c r="D350">
        <v>23148</v>
      </c>
      <c r="E350">
        <v>6</v>
      </c>
      <c r="F350">
        <v>2014</v>
      </c>
      <c r="G350" t="s">
        <v>10</v>
      </c>
      <c r="I350" t="str">
        <v/>
      </c>
    </row>
    <row r="351" spans="1:9" hidden="1" x14ac:dyDescent="0.25">
      <c r="A351" t="s">
        <v>406</v>
      </c>
      <c r="B351" t="s">
        <v>407</v>
      </c>
      <c r="C351">
        <v>4.8</v>
      </c>
      <c r="D351">
        <v>8081</v>
      </c>
      <c r="E351">
        <v>8</v>
      </c>
      <c r="F351">
        <v>2014</v>
      </c>
      <c r="G351" t="s">
        <v>10</v>
      </c>
      <c r="I351" t="str">
        <v/>
      </c>
    </row>
    <row r="352" spans="1:9" hidden="1" x14ac:dyDescent="0.25">
      <c r="A352" t="s">
        <v>406</v>
      </c>
      <c r="B352" t="s">
        <v>407</v>
      </c>
      <c r="C352">
        <v>4.8</v>
      </c>
      <c r="D352">
        <v>8081</v>
      </c>
      <c r="E352">
        <v>8</v>
      </c>
      <c r="F352">
        <v>2015</v>
      </c>
      <c r="G352" t="s">
        <v>10</v>
      </c>
      <c r="I352" t="str">
        <v/>
      </c>
    </row>
    <row r="353" spans="1:9" hidden="1" x14ac:dyDescent="0.25">
      <c r="A353" t="s">
        <v>408</v>
      </c>
      <c r="B353" t="s">
        <v>409</v>
      </c>
      <c r="C353">
        <v>4.8</v>
      </c>
      <c r="D353">
        <v>23358</v>
      </c>
      <c r="E353">
        <v>12</v>
      </c>
      <c r="F353">
        <v>2014</v>
      </c>
      <c r="G353" t="s">
        <v>8</v>
      </c>
      <c r="I353" t="str">
        <v/>
      </c>
    </row>
    <row r="354" spans="1:9" hidden="1" x14ac:dyDescent="0.25">
      <c r="A354" t="s">
        <v>408</v>
      </c>
      <c r="B354" t="s">
        <v>409</v>
      </c>
      <c r="C354">
        <v>4.8</v>
      </c>
      <c r="D354">
        <v>23358</v>
      </c>
      <c r="E354">
        <v>12</v>
      </c>
      <c r="F354">
        <v>2015</v>
      </c>
      <c r="G354" t="s">
        <v>8</v>
      </c>
      <c r="I354" t="str">
        <v/>
      </c>
    </row>
    <row r="355" spans="1:9" hidden="1" x14ac:dyDescent="0.25">
      <c r="A355" t="s">
        <v>410</v>
      </c>
      <c r="B355" t="s">
        <v>151</v>
      </c>
      <c r="C355">
        <v>3.3</v>
      </c>
      <c r="D355">
        <v>9372</v>
      </c>
      <c r="E355">
        <v>12</v>
      </c>
      <c r="F355">
        <v>2012</v>
      </c>
      <c r="G355" t="s">
        <v>10</v>
      </c>
      <c r="I355" t="str">
        <v/>
      </c>
    </row>
    <row r="356" spans="1:9" hidden="1" x14ac:dyDescent="0.25">
      <c r="A356" t="s">
        <v>411</v>
      </c>
      <c r="B356" t="s">
        <v>412</v>
      </c>
      <c r="C356">
        <v>4.7</v>
      </c>
      <c r="D356">
        <v>4633</v>
      </c>
      <c r="E356">
        <v>21</v>
      </c>
      <c r="F356">
        <v>2011</v>
      </c>
      <c r="G356" t="s">
        <v>8</v>
      </c>
      <c r="I356" t="str">
        <v/>
      </c>
    </row>
    <row r="357" spans="1:9" hidden="1" x14ac:dyDescent="0.25">
      <c r="A357" t="s">
        <v>413</v>
      </c>
      <c r="B357" t="s">
        <v>414</v>
      </c>
      <c r="C357">
        <v>4.3</v>
      </c>
      <c r="D357">
        <v>13061</v>
      </c>
      <c r="E357">
        <v>6</v>
      </c>
      <c r="F357">
        <v>2018</v>
      </c>
      <c r="G357" t="s">
        <v>8</v>
      </c>
      <c r="I357" t="str">
        <v/>
      </c>
    </row>
    <row r="358" spans="1:9" hidden="1" x14ac:dyDescent="0.25">
      <c r="A358" t="s">
        <v>413</v>
      </c>
      <c r="B358" t="s">
        <v>414</v>
      </c>
      <c r="C358">
        <v>4.3</v>
      </c>
      <c r="D358">
        <v>13061</v>
      </c>
      <c r="E358">
        <v>6</v>
      </c>
      <c r="F358">
        <v>2019</v>
      </c>
      <c r="G358" t="s">
        <v>8</v>
      </c>
      <c r="I358" t="str">
        <v/>
      </c>
    </row>
    <row r="359" spans="1:9" hidden="1" x14ac:dyDescent="0.25">
      <c r="A359" t="s">
        <v>415</v>
      </c>
      <c r="B359" t="s">
        <v>375</v>
      </c>
      <c r="C359">
        <v>4.3</v>
      </c>
      <c r="D359">
        <v>3523</v>
      </c>
      <c r="E359">
        <v>13</v>
      </c>
      <c r="F359">
        <v>2010</v>
      </c>
      <c r="G359" t="s">
        <v>10</v>
      </c>
      <c r="I359" t="str">
        <v/>
      </c>
    </row>
    <row r="360" spans="1:9" hidden="1" x14ac:dyDescent="0.25">
      <c r="A360" t="s">
        <v>416</v>
      </c>
      <c r="B360" t="s">
        <v>417</v>
      </c>
      <c r="C360">
        <v>4.8</v>
      </c>
      <c r="D360">
        <v>2774</v>
      </c>
      <c r="E360">
        <v>0</v>
      </c>
      <c r="F360">
        <v>2016</v>
      </c>
      <c r="G360" t="s">
        <v>8</v>
      </c>
      <c r="I360" t="str">
        <v/>
      </c>
    </row>
    <row r="361" spans="1:9" hidden="1" x14ac:dyDescent="0.25">
      <c r="A361" t="s">
        <v>418</v>
      </c>
      <c r="B361" t="s">
        <v>419</v>
      </c>
      <c r="C361">
        <v>4.4000000000000004</v>
      </c>
      <c r="D361">
        <v>440</v>
      </c>
      <c r="E361">
        <v>11</v>
      </c>
      <c r="F361">
        <v>2010</v>
      </c>
      <c r="G361" t="s">
        <v>8</v>
      </c>
      <c r="I361" t="str">
        <v/>
      </c>
    </row>
    <row r="362" spans="1:9" x14ac:dyDescent="0.25">
      <c r="A362" t="s">
        <v>420</v>
      </c>
      <c r="B362" t="s">
        <v>421</v>
      </c>
      <c r="C362">
        <v>4.8</v>
      </c>
      <c r="D362">
        <v>8922</v>
      </c>
      <c r="E362">
        <v>9</v>
      </c>
      <c r="F362">
        <v>2013</v>
      </c>
      <c r="G362" t="s">
        <v>10</v>
      </c>
      <c r="I362" s="4" t="str">
        <v>The Constitution of the United States</v>
      </c>
    </row>
    <row r="363" spans="1:9" hidden="1" x14ac:dyDescent="0.25">
      <c r="A363" t="s">
        <v>420</v>
      </c>
      <c r="B363" t="s">
        <v>421</v>
      </c>
      <c r="C363">
        <v>4.8</v>
      </c>
      <c r="D363">
        <v>8922</v>
      </c>
      <c r="E363">
        <v>9</v>
      </c>
      <c r="F363">
        <v>2014</v>
      </c>
      <c r="G363" t="s">
        <v>10</v>
      </c>
      <c r="I363" t="str">
        <v/>
      </c>
    </row>
    <row r="364" spans="1:9" hidden="1" x14ac:dyDescent="0.25">
      <c r="A364" t="s">
        <v>420</v>
      </c>
      <c r="B364" t="s">
        <v>421</v>
      </c>
      <c r="C364">
        <v>4.8</v>
      </c>
      <c r="D364">
        <v>8922</v>
      </c>
      <c r="E364">
        <v>9</v>
      </c>
      <c r="F364">
        <v>2015</v>
      </c>
      <c r="G364" t="s">
        <v>10</v>
      </c>
      <c r="I364" t="str">
        <v/>
      </c>
    </row>
    <row r="365" spans="1:9" hidden="1" x14ac:dyDescent="0.25">
      <c r="A365" t="s">
        <v>422</v>
      </c>
      <c r="B365" t="s">
        <v>423</v>
      </c>
      <c r="C365">
        <v>4.0999999999999996</v>
      </c>
      <c r="D365">
        <v>2023</v>
      </c>
      <c r="E365">
        <v>15</v>
      </c>
      <c r="F365">
        <v>2011</v>
      </c>
      <c r="G365" t="s">
        <v>8</v>
      </c>
      <c r="I365" t="str">
        <v/>
      </c>
    </row>
    <row r="366" spans="1:9" hidden="1" x14ac:dyDescent="0.25">
      <c r="A366" t="s">
        <v>424</v>
      </c>
      <c r="B366" t="s">
        <v>425</v>
      </c>
      <c r="C366">
        <v>4</v>
      </c>
      <c r="D366">
        <v>1859</v>
      </c>
      <c r="E366">
        <v>11</v>
      </c>
      <c r="F366">
        <v>2009</v>
      </c>
      <c r="G366" t="s">
        <v>10</v>
      </c>
      <c r="I366" t="str">
        <v/>
      </c>
    </row>
    <row r="367" spans="1:9" hidden="1" x14ac:dyDescent="0.25">
      <c r="A367" t="s">
        <v>426</v>
      </c>
      <c r="B367" t="s">
        <v>287</v>
      </c>
      <c r="C367">
        <v>4.7</v>
      </c>
      <c r="D367">
        <v>50482</v>
      </c>
      <c r="E367">
        <v>13</v>
      </c>
      <c r="F367">
        <v>2012</v>
      </c>
      <c r="G367" t="s">
        <v>10</v>
      </c>
      <c r="I367" t="str">
        <v/>
      </c>
    </row>
    <row r="368" spans="1:9" hidden="1" x14ac:dyDescent="0.25">
      <c r="A368" t="s">
        <v>426</v>
      </c>
      <c r="B368" t="s">
        <v>287</v>
      </c>
      <c r="C368">
        <v>4.7</v>
      </c>
      <c r="D368">
        <v>50482</v>
      </c>
      <c r="E368">
        <v>13</v>
      </c>
      <c r="F368">
        <v>2013</v>
      </c>
      <c r="G368" t="s">
        <v>10</v>
      </c>
      <c r="I368" t="str">
        <v/>
      </c>
    </row>
    <row r="369" spans="1:9" hidden="1" x14ac:dyDescent="0.25">
      <c r="A369" t="s">
        <v>426</v>
      </c>
      <c r="B369" t="s">
        <v>287</v>
      </c>
      <c r="C369">
        <v>4.7</v>
      </c>
      <c r="D369">
        <v>50482</v>
      </c>
      <c r="E369">
        <v>7</v>
      </c>
      <c r="F369">
        <v>2014</v>
      </c>
      <c r="G369" t="s">
        <v>10</v>
      </c>
      <c r="I369" t="str">
        <v/>
      </c>
    </row>
    <row r="370" spans="1:9" hidden="1" x14ac:dyDescent="0.25">
      <c r="A370" t="s">
        <v>426</v>
      </c>
      <c r="B370" t="s">
        <v>287</v>
      </c>
      <c r="C370">
        <v>4.7</v>
      </c>
      <c r="D370">
        <v>50482</v>
      </c>
      <c r="E370">
        <v>13</v>
      </c>
      <c r="F370">
        <v>2014</v>
      </c>
      <c r="G370" t="s">
        <v>10</v>
      </c>
      <c r="I370" t="str">
        <v/>
      </c>
    </row>
    <row r="371" spans="1:9" hidden="1" x14ac:dyDescent="0.25">
      <c r="A371" t="s">
        <v>427</v>
      </c>
      <c r="B371" t="s">
        <v>428</v>
      </c>
      <c r="C371">
        <v>4.5999999999999996</v>
      </c>
      <c r="D371">
        <v>3207</v>
      </c>
      <c r="E371">
        <v>6</v>
      </c>
      <c r="F371">
        <v>2009</v>
      </c>
      <c r="G371" t="s">
        <v>8</v>
      </c>
      <c r="I371" t="str">
        <v/>
      </c>
    </row>
    <row r="372" spans="1:9" hidden="1" x14ac:dyDescent="0.25">
      <c r="A372" t="s">
        <v>427</v>
      </c>
      <c r="B372" t="s">
        <v>428</v>
      </c>
      <c r="C372">
        <v>4.5999999999999996</v>
      </c>
      <c r="D372">
        <v>3207</v>
      </c>
      <c r="E372">
        <v>6</v>
      </c>
      <c r="F372">
        <v>2010</v>
      </c>
      <c r="G372" t="s">
        <v>8</v>
      </c>
      <c r="I372" t="str">
        <v/>
      </c>
    </row>
    <row r="373" spans="1:9" hidden="1" x14ac:dyDescent="0.25">
      <c r="A373" t="s">
        <v>427</v>
      </c>
      <c r="B373" t="s">
        <v>428</v>
      </c>
      <c r="C373">
        <v>4.5999999999999996</v>
      </c>
      <c r="D373">
        <v>3207</v>
      </c>
      <c r="E373">
        <v>6</v>
      </c>
      <c r="F373">
        <v>2011</v>
      </c>
      <c r="G373" t="s">
        <v>8</v>
      </c>
      <c r="I373" t="str">
        <v/>
      </c>
    </row>
    <row r="374" spans="1:9" hidden="1" x14ac:dyDescent="0.25">
      <c r="A374" t="s">
        <v>427</v>
      </c>
      <c r="B374" t="s">
        <v>428</v>
      </c>
      <c r="C374">
        <v>4.5999999999999996</v>
      </c>
      <c r="D374">
        <v>3207</v>
      </c>
      <c r="E374">
        <v>6</v>
      </c>
      <c r="F374">
        <v>2012</v>
      </c>
      <c r="G374" t="s">
        <v>8</v>
      </c>
      <c r="I374" t="str">
        <v/>
      </c>
    </row>
    <row r="375" spans="1:9" hidden="1" x14ac:dyDescent="0.25">
      <c r="A375" t="s">
        <v>427</v>
      </c>
      <c r="B375" t="s">
        <v>428</v>
      </c>
      <c r="C375">
        <v>4.5999999999999996</v>
      </c>
      <c r="D375">
        <v>3207</v>
      </c>
      <c r="E375">
        <v>6</v>
      </c>
      <c r="F375">
        <v>2013</v>
      </c>
      <c r="G375" t="s">
        <v>8</v>
      </c>
      <c r="I375" t="str">
        <v/>
      </c>
    </row>
    <row r="376" spans="1:9" hidden="1" x14ac:dyDescent="0.25">
      <c r="A376" t="s">
        <v>429</v>
      </c>
      <c r="B376" t="s">
        <v>383</v>
      </c>
      <c r="C376">
        <v>4.5999999999999996</v>
      </c>
      <c r="D376">
        <v>803</v>
      </c>
      <c r="E376">
        <v>9</v>
      </c>
      <c r="F376">
        <v>2009</v>
      </c>
      <c r="G376" t="s">
        <v>8</v>
      </c>
      <c r="I376" t="str">
        <v/>
      </c>
    </row>
    <row r="377" spans="1:9" hidden="1" x14ac:dyDescent="0.25">
      <c r="A377" t="s">
        <v>430</v>
      </c>
      <c r="B377" t="s">
        <v>431</v>
      </c>
      <c r="C377">
        <v>4.7</v>
      </c>
      <c r="D377">
        <v>23308</v>
      </c>
      <c r="E377">
        <v>6</v>
      </c>
      <c r="F377">
        <v>2013</v>
      </c>
      <c r="G377" t="s">
        <v>8</v>
      </c>
      <c r="I377" t="str">
        <v/>
      </c>
    </row>
    <row r="378" spans="1:9" hidden="1" x14ac:dyDescent="0.25">
      <c r="A378" t="s">
        <v>430</v>
      </c>
      <c r="B378" t="s">
        <v>431</v>
      </c>
      <c r="C378">
        <v>4.7</v>
      </c>
      <c r="D378">
        <v>23308</v>
      </c>
      <c r="E378">
        <v>6</v>
      </c>
      <c r="F378">
        <v>2015</v>
      </c>
      <c r="G378" t="s">
        <v>8</v>
      </c>
      <c r="I378" t="str">
        <v/>
      </c>
    </row>
    <row r="379" spans="1:9" hidden="1" x14ac:dyDescent="0.25">
      <c r="A379" t="s">
        <v>430</v>
      </c>
      <c r="B379" t="s">
        <v>431</v>
      </c>
      <c r="C379">
        <v>4.7</v>
      </c>
      <c r="D379">
        <v>23308</v>
      </c>
      <c r="E379">
        <v>6</v>
      </c>
      <c r="F379">
        <v>2016</v>
      </c>
      <c r="G379" t="s">
        <v>8</v>
      </c>
      <c r="I379" t="str">
        <v/>
      </c>
    </row>
    <row r="380" spans="1:9" hidden="1" x14ac:dyDescent="0.25">
      <c r="A380" t="s">
        <v>430</v>
      </c>
      <c r="B380" t="s">
        <v>431</v>
      </c>
      <c r="C380">
        <v>4.7</v>
      </c>
      <c r="D380">
        <v>23308</v>
      </c>
      <c r="E380">
        <v>6</v>
      </c>
      <c r="F380">
        <v>2017</v>
      </c>
      <c r="G380" t="s">
        <v>8</v>
      </c>
      <c r="I380" t="str">
        <v/>
      </c>
    </row>
    <row r="381" spans="1:9" hidden="1" x14ac:dyDescent="0.25">
      <c r="A381" t="s">
        <v>430</v>
      </c>
      <c r="B381" t="s">
        <v>431</v>
      </c>
      <c r="C381">
        <v>4.7</v>
      </c>
      <c r="D381">
        <v>23308</v>
      </c>
      <c r="E381">
        <v>6</v>
      </c>
      <c r="F381">
        <v>2018</v>
      </c>
      <c r="G381" t="s">
        <v>8</v>
      </c>
      <c r="I381" t="str">
        <v/>
      </c>
    </row>
    <row r="382" spans="1:9" hidden="1" x14ac:dyDescent="0.25">
      <c r="A382" t="s">
        <v>430</v>
      </c>
      <c r="B382" t="s">
        <v>431</v>
      </c>
      <c r="C382">
        <v>4.7</v>
      </c>
      <c r="D382">
        <v>23308</v>
      </c>
      <c r="E382">
        <v>6</v>
      </c>
      <c r="F382">
        <v>2019</v>
      </c>
      <c r="G382" t="s">
        <v>8</v>
      </c>
      <c r="I382" t="str">
        <v/>
      </c>
    </row>
    <row r="383" spans="1:9" hidden="1" x14ac:dyDescent="0.25">
      <c r="A383" t="s">
        <v>432</v>
      </c>
      <c r="B383" t="s">
        <v>78</v>
      </c>
      <c r="C383">
        <v>4.8</v>
      </c>
      <c r="D383">
        <v>5836</v>
      </c>
      <c r="E383">
        <v>0</v>
      </c>
      <c r="F383">
        <v>2017</v>
      </c>
      <c r="G383" t="s">
        <v>10</v>
      </c>
      <c r="I383" t="str">
        <v/>
      </c>
    </row>
    <row r="384" spans="1:9" hidden="1" x14ac:dyDescent="0.25">
      <c r="A384" t="s">
        <v>433</v>
      </c>
      <c r="B384" t="s">
        <v>434</v>
      </c>
      <c r="C384">
        <v>4.0999999999999996</v>
      </c>
      <c r="D384">
        <v>79446</v>
      </c>
      <c r="E384">
        <v>18</v>
      </c>
      <c r="F384">
        <v>2015</v>
      </c>
      <c r="G384" t="s">
        <v>10</v>
      </c>
      <c r="I384" t="str">
        <v/>
      </c>
    </row>
    <row r="385" spans="1:9" x14ac:dyDescent="0.25">
      <c r="A385" t="s">
        <v>433</v>
      </c>
      <c r="B385" t="s">
        <v>434</v>
      </c>
      <c r="C385">
        <v>4.0999999999999996</v>
      </c>
      <c r="D385">
        <v>79446</v>
      </c>
      <c r="E385">
        <v>7</v>
      </c>
      <c r="F385">
        <v>2016</v>
      </c>
      <c r="G385" t="s">
        <v>10</v>
      </c>
      <c r="I385" s="4" t="str">
        <v>The Getaway</v>
      </c>
    </row>
    <row r="386" spans="1:9" hidden="1" x14ac:dyDescent="0.25">
      <c r="A386" t="s">
        <v>435</v>
      </c>
      <c r="B386" t="s">
        <v>436</v>
      </c>
      <c r="C386">
        <v>4.7</v>
      </c>
      <c r="D386">
        <v>7747</v>
      </c>
      <c r="E386">
        <v>14</v>
      </c>
      <c r="F386">
        <v>2010</v>
      </c>
      <c r="G386" t="s">
        <v>10</v>
      </c>
      <c r="I386" t="str">
        <v/>
      </c>
    </row>
    <row r="387" spans="1:9" hidden="1" x14ac:dyDescent="0.25">
      <c r="A387" t="s">
        <v>435</v>
      </c>
      <c r="B387" t="s">
        <v>436</v>
      </c>
      <c r="C387">
        <v>4.7</v>
      </c>
      <c r="D387">
        <v>7747</v>
      </c>
      <c r="E387">
        <v>14</v>
      </c>
      <c r="F387">
        <v>2011</v>
      </c>
      <c r="G387" t="s">
        <v>10</v>
      </c>
      <c r="I387" t="str">
        <v/>
      </c>
    </row>
    <row r="388" spans="1:9" hidden="1" x14ac:dyDescent="0.25">
      <c r="A388" t="s">
        <v>437</v>
      </c>
      <c r="B388" t="s">
        <v>436</v>
      </c>
      <c r="C388">
        <v>4.7</v>
      </c>
      <c r="D388">
        <v>7251</v>
      </c>
      <c r="E388">
        <v>9</v>
      </c>
      <c r="F388">
        <v>2010</v>
      </c>
      <c r="G388" t="s">
        <v>10</v>
      </c>
      <c r="I388" t="str">
        <v/>
      </c>
    </row>
    <row r="389" spans="1:9" hidden="1" x14ac:dyDescent="0.25">
      <c r="A389" t="s">
        <v>438</v>
      </c>
      <c r="B389" t="s">
        <v>436</v>
      </c>
      <c r="C389">
        <v>4.7</v>
      </c>
      <c r="D389">
        <v>7251</v>
      </c>
      <c r="E389">
        <v>16</v>
      </c>
      <c r="F389">
        <v>2009</v>
      </c>
      <c r="G389" t="s">
        <v>10</v>
      </c>
      <c r="I389" t="str">
        <v/>
      </c>
    </row>
    <row r="390" spans="1:9" hidden="1" x14ac:dyDescent="0.25">
      <c r="A390" t="s">
        <v>439</v>
      </c>
      <c r="B390" t="s">
        <v>436</v>
      </c>
      <c r="C390">
        <v>4.4000000000000004</v>
      </c>
      <c r="D390">
        <v>10559</v>
      </c>
      <c r="E390">
        <v>2</v>
      </c>
      <c r="F390">
        <v>2009</v>
      </c>
      <c r="G390" t="s">
        <v>10</v>
      </c>
      <c r="I390" t="str">
        <v/>
      </c>
    </row>
    <row r="391" spans="1:9" hidden="1" x14ac:dyDescent="0.25">
      <c r="A391" t="s">
        <v>439</v>
      </c>
      <c r="B391" t="s">
        <v>436</v>
      </c>
      <c r="C391">
        <v>4.4000000000000004</v>
      </c>
      <c r="D391">
        <v>10559</v>
      </c>
      <c r="E391">
        <v>2</v>
      </c>
      <c r="F391">
        <v>2010</v>
      </c>
      <c r="G391" t="s">
        <v>10</v>
      </c>
      <c r="I391" t="str">
        <v/>
      </c>
    </row>
    <row r="392" spans="1:9" hidden="1" x14ac:dyDescent="0.25">
      <c r="A392" t="s">
        <v>440</v>
      </c>
      <c r="B392" t="s">
        <v>441</v>
      </c>
      <c r="C392">
        <v>4.8</v>
      </c>
      <c r="D392">
        <v>5249</v>
      </c>
      <c r="E392">
        <v>5</v>
      </c>
      <c r="F392">
        <v>2016</v>
      </c>
      <c r="G392" t="s">
        <v>10</v>
      </c>
      <c r="I392" t="str">
        <v/>
      </c>
    </row>
    <row r="393" spans="1:9" hidden="1" x14ac:dyDescent="0.25">
      <c r="A393" t="s">
        <v>440</v>
      </c>
      <c r="B393" t="s">
        <v>441</v>
      </c>
      <c r="C393">
        <v>4.8</v>
      </c>
      <c r="D393">
        <v>5249</v>
      </c>
      <c r="E393">
        <v>5</v>
      </c>
      <c r="F393">
        <v>2017</v>
      </c>
      <c r="G393" t="s">
        <v>10</v>
      </c>
      <c r="I393" t="str">
        <v/>
      </c>
    </row>
    <row r="394" spans="1:9" hidden="1" x14ac:dyDescent="0.25">
      <c r="A394" t="s">
        <v>442</v>
      </c>
      <c r="B394" t="s">
        <v>443</v>
      </c>
      <c r="C394">
        <v>3.9</v>
      </c>
      <c r="D394">
        <v>33844</v>
      </c>
      <c r="E394">
        <v>20</v>
      </c>
      <c r="F394">
        <v>2013</v>
      </c>
      <c r="G394" t="s">
        <v>10</v>
      </c>
      <c r="I394" t="str">
        <v/>
      </c>
    </row>
    <row r="395" spans="1:9" hidden="1" x14ac:dyDescent="0.25">
      <c r="A395" t="s">
        <v>442</v>
      </c>
      <c r="B395" t="s">
        <v>443</v>
      </c>
      <c r="C395">
        <v>3.9</v>
      </c>
      <c r="D395">
        <v>33844</v>
      </c>
      <c r="E395">
        <v>20</v>
      </c>
      <c r="F395">
        <v>2014</v>
      </c>
      <c r="G395" t="s">
        <v>10</v>
      </c>
      <c r="I395" t="str">
        <v/>
      </c>
    </row>
    <row r="396" spans="1:9" hidden="1" x14ac:dyDescent="0.25">
      <c r="A396" t="s">
        <v>444</v>
      </c>
      <c r="B396" t="s">
        <v>445</v>
      </c>
      <c r="C396">
        <v>4.4000000000000004</v>
      </c>
      <c r="D396">
        <v>11616</v>
      </c>
      <c r="E396">
        <v>7</v>
      </c>
      <c r="F396">
        <v>2012</v>
      </c>
      <c r="G396" t="s">
        <v>10</v>
      </c>
      <c r="I396" t="str">
        <v/>
      </c>
    </row>
    <row r="397" spans="1:9" hidden="1" x14ac:dyDescent="0.25">
      <c r="A397" t="s">
        <v>444</v>
      </c>
      <c r="B397" t="s">
        <v>445</v>
      </c>
      <c r="C397">
        <v>4.4000000000000004</v>
      </c>
      <c r="D397">
        <v>11616</v>
      </c>
      <c r="E397">
        <v>7</v>
      </c>
      <c r="F397">
        <v>2013</v>
      </c>
      <c r="G397" t="s">
        <v>10</v>
      </c>
      <c r="I397" t="str">
        <v/>
      </c>
    </row>
    <row r="398" spans="1:9" hidden="1" x14ac:dyDescent="0.25">
      <c r="A398" t="s">
        <v>444</v>
      </c>
      <c r="B398" t="s">
        <v>445</v>
      </c>
      <c r="C398">
        <v>4.4000000000000004</v>
      </c>
      <c r="D398">
        <v>11616</v>
      </c>
      <c r="E398">
        <v>7</v>
      </c>
      <c r="F398">
        <v>2014</v>
      </c>
      <c r="G398" t="s">
        <v>10</v>
      </c>
      <c r="I398" t="str">
        <v/>
      </c>
    </row>
    <row r="399" spans="1:9" hidden="1" x14ac:dyDescent="0.25">
      <c r="A399" t="s">
        <v>446</v>
      </c>
      <c r="B399" t="s">
        <v>375</v>
      </c>
      <c r="C399">
        <v>4.5</v>
      </c>
      <c r="D399">
        <v>13609</v>
      </c>
      <c r="E399">
        <v>14</v>
      </c>
      <c r="F399">
        <v>2019</v>
      </c>
      <c r="G399" t="s">
        <v>10</v>
      </c>
      <c r="I399" t="str">
        <v/>
      </c>
    </row>
    <row r="400" spans="1:9" hidden="1" x14ac:dyDescent="0.25">
      <c r="A400" t="s">
        <v>447</v>
      </c>
      <c r="B400" t="s">
        <v>448</v>
      </c>
      <c r="C400">
        <v>4.7</v>
      </c>
      <c r="D400">
        <v>8587</v>
      </c>
      <c r="E400">
        <v>10</v>
      </c>
      <c r="F400">
        <v>2009</v>
      </c>
      <c r="G400" t="s">
        <v>10</v>
      </c>
      <c r="I400" t="str">
        <v/>
      </c>
    </row>
    <row r="401" spans="1:9" hidden="1" x14ac:dyDescent="0.25">
      <c r="A401" t="s">
        <v>449</v>
      </c>
      <c r="B401" t="s">
        <v>450</v>
      </c>
      <c r="C401">
        <v>4.3</v>
      </c>
      <c r="D401">
        <v>29442</v>
      </c>
      <c r="E401">
        <v>7</v>
      </c>
      <c r="F401">
        <v>2017</v>
      </c>
      <c r="G401" t="s">
        <v>10</v>
      </c>
      <c r="I401" t="str">
        <v/>
      </c>
    </row>
    <row r="402" spans="1:9" hidden="1" x14ac:dyDescent="0.25">
      <c r="A402" t="s">
        <v>451</v>
      </c>
      <c r="B402" t="s">
        <v>452</v>
      </c>
      <c r="C402">
        <v>4.5999999999999996</v>
      </c>
      <c r="D402">
        <v>11098</v>
      </c>
      <c r="E402">
        <v>13</v>
      </c>
      <c r="F402">
        <v>2012</v>
      </c>
      <c r="G402" t="s">
        <v>10</v>
      </c>
      <c r="I402" t="str">
        <v/>
      </c>
    </row>
    <row r="403" spans="1:9" hidden="1" x14ac:dyDescent="0.25">
      <c r="A403" t="s">
        <v>453</v>
      </c>
      <c r="B403" t="s">
        <v>454</v>
      </c>
      <c r="C403">
        <v>4.8</v>
      </c>
      <c r="D403">
        <v>9947</v>
      </c>
      <c r="E403">
        <v>11</v>
      </c>
      <c r="F403">
        <v>2018</v>
      </c>
      <c r="G403" t="s">
        <v>10</v>
      </c>
      <c r="I403" t="str">
        <v/>
      </c>
    </row>
    <row r="404" spans="1:9" hidden="1" x14ac:dyDescent="0.25">
      <c r="A404" t="s">
        <v>455</v>
      </c>
      <c r="B404" t="s">
        <v>456</v>
      </c>
      <c r="C404">
        <v>4.8</v>
      </c>
      <c r="D404">
        <v>13871</v>
      </c>
      <c r="E404">
        <v>6</v>
      </c>
      <c r="F404">
        <v>2009</v>
      </c>
      <c r="G404" t="s">
        <v>10</v>
      </c>
      <c r="I404" t="str">
        <v/>
      </c>
    </row>
    <row r="405" spans="1:9" hidden="1" x14ac:dyDescent="0.25">
      <c r="A405" t="s">
        <v>455</v>
      </c>
      <c r="B405" t="s">
        <v>456</v>
      </c>
      <c r="C405">
        <v>4.8</v>
      </c>
      <c r="D405">
        <v>13871</v>
      </c>
      <c r="E405">
        <v>6</v>
      </c>
      <c r="F405">
        <v>2010</v>
      </c>
      <c r="G405" t="s">
        <v>10</v>
      </c>
      <c r="I405" t="str">
        <v/>
      </c>
    </row>
    <row r="406" spans="1:9" hidden="1" x14ac:dyDescent="0.25">
      <c r="A406" t="s">
        <v>455</v>
      </c>
      <c r="B406" t="s">
        <v>456</v>
      </c>
      <c r="C406">
        <v>4.8</v>
      </c>
      <c r="D406">
        <v>13871</v>
      </c>
      <c r="E406">
        <v>8</v>
      </c>
      <c r="F406">
        <v>2011</v>
      </c>
      <c r="G406" t="s">
        <v>10</v>
      </c>
      <c r="I406" t="str">
        <v/>
      </c>
    </row>
    <row r="407" spans="1:9" hidden="1" x14ac:dyDescent="0.25">
      <c r="A407" t="s">
        <v>455</v>
      </c>
      <c r="B407" t="s">
        <v>456</v>
      </c>
      <c r="C407">
        <v>4.8</v>
      </c>
      <c r="D407">
        <v>13871</v>
      </c>
      <c r="E407">
        <v>7</v>
      </c>
      <c r="F407">
        <v>2011</v>
      </c>
      <c r="G407" t="s">
        <v>10</v>
      </c>
      <c r="I407" t="str">
        <v/>
      </c>
    </row>
    <row r="408" spans="1:9" hidden="1" x14ac:dyDescent="0.25">
      <c r="A408" t="s">
        <v>457</v>
      </c>
      <c r="B408" t="s">
        <v>331</v>
      </c>
      <c r="C408">
        <v>4.8</v>
      </c>
      <c r="D408">
        <v>6982</v>
      </c>
      <c r="E408">
        <v>14</v>
      </c>
      <c r="F408">
        <v>2013</v>
      </c>
      <c r="G408" t="s">
        <v>10</v>
      </c>
      <c r="I408" t="str">
        <v/>
      </c>
    </row>
    <row r="409" spans="1:9" hidden="1" x14ac:dyDescent="0.25">
      <c r="A409" t="s">
        <v>458</v>
      </c>
      <c r="B409" t="s">
        <v>86</v>
      </c>
      <c r="C409">
        <v>4.7</v>
      </c>
      <c r="D409">
        <v>32122</v>
      </c>
      <c r="E409">
        <v>14</v>
      </c>
      <c r="F409">
        <v>2010</v>
      </c>
      <c r="G409" t="s">
        <v>10</v>
      </c>
      <c r="I409" t="str">
        <v/>
      </c>
    </row>
    <row r="410" spans="1:9" hidden="1" x14ac:dyDescent="0.25">
      <c r="A410" t="s">
        <v>459</v>
      </c>
      <c r="B410" t="s">
        <v>86</v>
      </c>
      <c r="C410">
        <v>4.7</v>
      </c>
      <c r="D410">
        <v>32122</v>
      </c>
      <c r="E410">
        <v>8</v>
      </c>
      <c r="F410">
        <v>2011</v>
      </c>
      <c r="G410" t="s">
        <v>10</v>
      </c>
      <c r="I410" t="str">
        <v/>
      </c>
    </row>
    <row r="411" spans="1:9" hidden="1" x14ac:dyDescent="0.25">
      <c r="A411" t="s">
        <v>459</v>
      </c>
      <c r="B411" t="s">
        <v>86</v>
      </c>
      <c r="C411">
        <v>4.7</v>
      </c>
      <c r="D411">
        <v>32122</v>
      </c>
      <c r="E411">
        <v>8</v>
      </c>
      <c r="F411">
        <v>2012</v>
      </c>
      <c r="G411" t="s">
        <v>10</v>
      </c>
      <c r="I411" t="str">
        <v/>
      </c>
    </row>
    <row r="412" spans="1:9" hidden="1" x14ac:dyDescent="0.25">
      <c r="A412" t="s">
        <v>460</v>
      </c>
      <c r="B412" t="s">
        <v>86</v>
      </c>
      <c r="C412">
        <v>4.8</v>
      </c>
      <c r="D412">
        <v>16949</v>
      </c>
      <c r="E412">
        <v>30</v>
      </c>
      <c r="F412">
        <v>2011</v>
      </c>
      <c r="G412" t="s">
        <v>10</v>
      </c>
      <c r="I412" t="str">
        <v/>
      </c>
    </row>
    <row r="413" spans="1:9" hidden="1" x14ac:dyDescent="0.25">
      <c r="A413" t="s">
        <v>460</v>
      </c>
      <c r="B413" t="s">
        <v>86</v>
      </c>
      <c r="C413">
        <v>4.8</v>
      </c>
      <c r="D413">
        <v>16949</v>
      </c>
      <c r="E413">
        <v>30</v>
      </c>
      <c r="F413">
        <v>2012</v>
      </c>
      <c r="G413" t="s">
        <v>10</v>
      </c>
      <c r="I413" t="str">
        <v/>
      </c>
    </row>
    <row r="414" spans="1:9" hidden="1" x14ac:dyDescent="0.25">
      <c r="A414" t="s">
        <v>461</v>
      </c>
      <c r="B414" t="s">
        <v>462</v>
      </c>
      <c r="C414">
        <v>4.7</v>
      </c>
      <c r="D414">
        <v>9289</v>
      </c>
      <c r="E414">
        <v>13</v>
      </c>
      <c r="F414">
        <v>2010</v>
      </c>
      <c r="G414" t="s">
        <v>8</v>
      </c>
      <c r="I414" t="str">
        <v/>
      </c>
    </row>
    <row r="415" spans="1:9" hidden="1" x14ac:dyDescent="0.25">
      <c r="A415" t="s">
        <v>461</v>
      </c>
      <c r="B415" t="s">
        <v>462</v>
      </c>
      <c r="C415">
        <v>4.7</v>
      </c>
      <c r="D415">
        <v>9289</v>
      </c>
      <c r="E415">
        <v>9</v>
      </c>
      <c r="F415">
        <v>2011</v>
      </c>
      <c r="G415" t="s">
        <v>8</v>
      </c>
      <c r="I415" t="str">
        <v/>
      </c>
    </row>
    <row r="416" spans="1:9" hidden="1" x14ac:dyDescent="0.25">
      <c r="A416" t="s">
        <v>461</v>
      </c>
      <c r="B416" t="s">
        <v>462</v>
      </c>
      <c r="C416">
        <v>4.7</v>
      </c>
      <c r="D416">
        <v>9289</v>
      </c>
      <c r="E416">
        <v>9</v>
      </c>
      <c r="F416">
        <v>2012</v>
      </c>
      <c r="G416" t="s">
        <v>8</v>
      </c>
      <c r="I416" t="str">
        <v/>
      </c>
    </row>
    <row r="417" spans="1:9" hidden="1" x14ac:dyDescent="0.25">
      <c r="A417" t="s">
        <v>463</v>
      </c>
      <c r="B417" t="s">
        <v>464</v>
      </c>
      <c r="C417">
        <v>4.3</v>
      </c>
      <c r="D417">
        <v>7368</v>
      </c>
      <c r="E417">
        <v>7</v>
      </c>
      <c r="F417">
        <v>2017</v>
      </c>
      <c r="G417" t="s">
        <v>8</v>
      </c>
      <c r="I417" t="str">
        <v/>
      </c>
    </row>
    <row r="418" spans="1:9" hidden="1" x14ac:dyDescent="0.25">
      <c r="A418" t="s">
        <v>463</v>
      </c>
      <c r="B418" t="s">
        <v>464</v>
      </c>
      <c r="C418">
        <v>4.3</v>
      </c>
      <c r="D418">
        <v>7368</v>
      </c>
      <c r="E418">
        <v>7</v>
      </c>
      <c r="F418">
        <v>2018</v>
      </c>
      <c r="G418" t="s">
        <v>8</v>
      </c>
      <c r="I418" t="str">
        <v/>
      </c>
    </row>
    <row r="419" spans="1:9" hidden="1" x14ac:dyDescent="0.25">
      <c r="A419" t="s">
        <v>465</v>
      </c>
      <c r="B419" t="s">
        <v>466</v>
      </c>
      <c r="C419">
        <v>4.7</v>
      </c>
      <c r="D419">
        <v>4028</v>
      </c>
      <c r="E419">
        <v>9</v>
      </c>
      <c r="F419">
        <v>2009</v>
      </c>
      <c r="G419" t="s">
        <v>8</v>
      </c>
      <c r="I419" t="str">
        <v/>
      </c>
    </row>
    <row r="420" spans="1:9" hidden="1" x14ac:dyDescent="0.25">
      <c r="A420" t="s">
        <v>467</v>
      </c>
      <c r="B420" t="s">
        <v>331</v>
      </c>
      <c r="C420">
        <v>4.8</v>
      </c>
      <c r="D420">
        <v>4628</v>
      </c>
      <c r="E420">
        <v>7</v>
      </c>
      <c r="F420">
        <v>2009</v>
      </c>
      <c r="G420" t="s">
        <v>10</v>
      </c>
      <c r="I420" t="str">
        <v/>
      </c>
    </row>
    <row r="421" spans="1:9" hidden="1" x14ac:dyDescent="0.25">
      <c r="A421" t="s">
        <v>467</v>
      </c>
      <c r="B421" t="s">
        <v>331</v>
      </c>
      <c r="C421">
        <v>4.8</v>
      </c>
      <c r="D421">
        <v>4628</v>
      </c>
      <c r="E421">
        <v>7</v>
      </c>
      <c r="F421">
        <v>2010</v>
      </c>
      <c r="G421" t="s">
        <v>10</v>
      </c>
      <c r="I421" t="str">
        <v/>
      </c>
    </row>
    <row r="422" spans="1:9" hidden="1" x14ac:dyDescent="0.25">
      <c r="A422" t="s">
        <v>468</v>
      </c>
      <c r="B422" t="s">
        <v>469</v>
      </c>
      <c r="C422">
        <v>4.9000000000000004</v>
      </c>
      <c r="D422">
        <v>5396</v>
      </c>
      <c r="E422">
        <v>20</v>
      </c>
      <c r="F422">
        <v>2013</v>
      </c>
      <c r="G422" t="s">
        <v>10</v>
      </c>
      <c r="I422" t="str">
        <v/>
      </c>
    </row>
    <row r="423" spans="1:9" hidden="1" x14ac:dyDescent="0.25">
      <c r="A423" t="s">
        <v>470</v>
      </c>
      <c r="B423" t="s">
        <v>471</v>
      </c>
      <c r="C423">
        <v>4.4000000000000004</v>
      </c>
      <c r="D423">
        <v>4247</v>
      </c>
      <c r="E423">
        <v>13</v>
      </c>
      <c r="F423">
        <v>2011</v>
      </c>
      <c r="G423" t="s">
        <v>8</v>
      </c>
      <c r="I423" t="str">
        <v/>
      </c>
    </row>
    <row r="424" spans="1:9" hidden="1" x14ac:dyDescent="0.25">
      <c r="A424" t="s">
        <v>470</v>
      </c>
      <c r="B424" t="s">
        <v>471</v>
      </c>
      <c r="C424">
        <v>4.4000000000000004</v>
      </c>
      <c r="D424">
        <v>4247</v>
      </c>
      <c r="E424">
        <v>13</v>
      </c>
      <c r="F424">
        <v>2012</v>
      </c>
      <c r="G424" t="s">
        <v>8</v>
      </c>
      <c r="I424" t="str">
        <v/>
      </c>
    </row>
    <row r="425" spans="1:9" hidden="1" x14ac:dyDescent="0.25">
      <c r="A425" t="s">
        <v>472</v>
      </c>
      <c r="B425" t="s">
        <v>473</v>
      </c>
      <c r="C425">
        <v>4.5</v>
      </c>
      <c r="D425">
        <v>22641</v>
      </c>
      <c r="E425">
        <v>11</v>
      </c>
      <c r="F425">
        <v>2015</v>
      </c>
      <c r="G425" t="s">
        <v>8</v>
      </c>
      <c r="I425" t="str">
        <v/>
      </c>
    </row>
    <row r="426" spans="1:9" hidden="1" x14ac:dyDescent="0.25">
      <c r="A426" t="s">
        <v>472</v>
      </c>
      <c r="B426" t="s">
        <v>473</v>
      </c>
      <c r="C426">
        <v>4.5</v>
      </c>
      <c r="D426">
        <v>22641</v>
      </c>
      <c r="E426">
        <v>11</v>
      </c>
      <c r="F426">
        <v>2016</v>
      </c>
      <c r="G426" t="s">
        <v>8</v>
      </c>
      <c r="I426" t="str">
        <v/>
      </c>
    </row>
    <row r="427" spans="1:9" hidden="1" x14ac:dyDescent="0.25">
      <c r="A427" t="s">
        <v>472</v>
      </c>
      <c r="B427" t="s">
        <v>473</v>
      </c>
      <c r="C427">
        <v>4.5</v>
      </c>
      <c r="D427">
        <v>22641</v>
      </c>
      <c r="E427">
        <v>11</v>
      </c>
      <c r="F427">
        <v>2017</v>
      </c>
      <c r="G427" t="s">
        <v>8</v>
      </c>
      <c r="I427" t="str">
        <v/>
      </c>
    </row>
    <row r="428" spans="1:9" hidden="1" x14ac:dyDescent="0.25">
      <c r="A428" t="s">
        <v>472</v>
      </c>
      <c r="B428" t="s">
        <v>473</v>
      </c>
      <c r="C428">
        <v>4.5</v>
      </c>
      <c r="D428">
        <v>22641</v>
      </c>
      <c r="E428">
        <v>11</v>
      </c>
      <c r="F428">
        <v>2019</v>
      </c>
      <c r="G428" t="s">
        <v>8</v>
      </c>
      <c r="I428" t="str">
        <v/>
      </c>
    </row>
    <row r="429" spans="1:9" hidden="1" x14ac:dyDescent="0.25">
      <c r="A429" t="s">
        <v>474</v>
      </c>
      <c r="B429" t="s">
        <v>375</v>
      </c>
      <c r="C429">
        <v>4.4000000000000004</v>
      </c>
      <c r="D429">
        <v>6222</v>
      </c>
      <c r="E429">
        <v>18</v>
      </c>
      <c r="F429">
        <v>2011</v>
      </c>
      <c r="G429" t="s">
        <v>10</v>
      </c>
      <c r="I429" t="str">
        <v/>
      </c>
    </row>
    <row r="430" spans="1:9" hidden="1" x14ac:dyDescent="0.25">
      <c r="A430" t="s">
        <v>475</v>
      </c>
      <c r="B430" t="s">
        <v>331</v>
      </c>
      <c r="C430">
        <v>4.8</v>
      </c>
      <c r="D430">
        <v>4506</v>
      </c>
      <c r="E430">
        <v>14</v>
      </c>
      <c r="F430">
        <v>2010</v>
      </c>
      <c r="G430" t="s">
        <v>10</v>
      </c>
      <c r="I430" t="str">
        <v/>
      </c>
    </row>
    <row r="431" spans="1:9" hidden="1" x14ac:dyDescent="0.25">
      <c r="A431" t="s">
        <v>476</v>
      </c>
      <c r="B431" t="s">
        <v>243</v>
      </c>
      <c r="C431">
        <v>4.2</v>
      </c>
      <c r="D431">
        <v>8747</v>
      </c>
      <c r="E431">
        <v>19</v>
      </c>
      <c r="F431">
        <v>2009</v>
      </c>
      <c r="G431" t="s">
        <v>10</v>
      </c>
      <c r="I431" t="str">
        <v/>
      </c>
    </row>
    <row r="432" spans="1:9" hidden="1" x14ac:dyDescent="0.25">
      <c r="A432" t="s">
        <v>477</v>
      </c>
      <c r="B432" t="s">
        <v>478</v>
      </c>
      <c r="C432">
        <v>4.8</v>
      </c>
      <c r="D432">
        <v>1655</v>
      </c>
      <c r="E432">
        <v>13</v>
      </c>
      <c r="F432">
        <v>2009</v>
      </c>
      <c r="G432" t="s">
        <v>8</v>
      </c>
      <c r="I432" t="str">
        <v/>
      </c>
    </row>
    <row r="433" spans="1:9" hidden="1" x14ac:dyDescent="0.25">
      <c r="A433" t="s">
        <v>479</v>
      </c>
      <c r="B433" t="s">
        <v>480</v>
      </c>
      <c r="C433">
        <v>4.9000000000000004</v>
      </c>
      <c r="D433">
        <v>7861</v>
      </c>
      <c r="E433">
        <v>5</v>
      </c>
      <c r="F433">
        <v>2016</v>
      </c>
      <c r="G433" t="s">
        <v>8</v>
      </c>
      <c r="I433" t="str">
        <v/>
      </c>
    </row>
    <row r="434" spans="1:9" hidden="1" x14ac:dyDescent="0.25">
      <c r="A434" t="s">
        <v>481</v>
      </c>
      <c r="B434" t="s">
        <v>331</v>
      </c>
      <c r="C434">
        <v>4.8</v>
      </c>
      <c r="D434">
        <v>6247</v>
      </c>
      <c r="E434">
        <v>10</v>
      </c>
      <c r="F434">
        <v>2012</v>
      </c>
      <c r="G434" t="s">
        <v>10</v>
      </c>
      <c r="I434" t="str">
        <v/>
      </c>
    </row>
    <row r="435" spans="1:9" hidden="1" x14ac:dyDescent="0.25">
      <c r="A435" t="s">
        <v>482</v>
      </c>
      <c r="B435" t="s">
        <v>483</v>
      </c>
      <c r="C435">
        <v>4.7</v>
      </c>
      <c r="D435">
        <v>39459</v>
      </c>
      <c r="E435">
        <v>9</v>
      </c>
      <c r="F435">
        <v>2015</v>
      </c>
      <c r="G435" t="s">
        <v>10</v>
      </c>
      <c r="I435" t="str">
        <v/>
      </c>
    </row>
    <row r="436" spans="1:9" hidden="1" x14ac:dyDescent="0.25">
      <c r="A436" t="s">
        <v>484</v>
      </c>
      <c r="B436" t="s">
        <v>485</v>
      </c>
      <c r="C436">
        <v>4.5</v>
      </c>
      <c r="D436">
        <v>10101</v>
      </c>
      <c r="E436">
        <v>8</v>
      </c>
      <c r="F436">
        <v>2014</v>
      </c>
      <c r="G436" t="s">
        <v>10</v>
      </c>
      <c r="I436" t="str">
        <v/>
      </c>
    </row>
    <row r="437" spans="1:9" hidden="1" x14ac:dyDescent="0.25">
      <c r="A437" t="s">
        <v>486</v>
      </c>
      <c r="B437" t="s">
        <v>78</v>
      </c>
      <c r="C437">
        <v>4.8</v>
      </c>
      <c r="D437">
        <v>5898</v>
      </c>
      <c r="E437">
        <v>8</v>
      </c>
      <c r="F437">
        <v>2018</v>
      </c>
      <c r="G437" t="s">
        <v>10</v>
      </c>
      <c r="I437" t="str">
        <v/>
      </c>
    </row>
    <row r="438" spans="1:9" hidden="1" x14ac:dyDescent="0.25">
      <c r="A438" t="s">
        <v>487</v>
      </c>
      <c r="B438" t="s">
        <v>488</v>
      </c>
      <c r="C438">
        <v>4.5999999999999996</v>
      </c>
      <c r="D438">
        <v>2744</v>
      </c>
      <c r="E438">
        <v>12</v>
      </c>
      <c r="F438">
        <v>2019</v>
      </c>
      <c r="G438" t="s">
        <v>8</v>
      </c>
      <c r="I438" t="str">
        <v/>
      </c>
    </row>
    <row r="439" spans="1:9" hidden="1" x14ac:dyDescent="0.25">
      <c r="A439" t="s">
        <v>489</v>
      </c>
      <c r="B439" t="s">
        <v>490</v>
      </c>
      <c r="C439">
        <v>4.8</v>
      </c>
      <c r="D439">
        <v>49288</v>
      </c>
      <c r="E439">
        <v>11</v>
      </c>
      <c r="F439">
        <v>2015</v>
      </c>
      <c r="G439" t="s">
        <v>10</v>
      </c>
      <c r="I439" t="str">
        <v/>
      </c>
    </row>
    <row r="440" spans="1:9" hidden="1" x14ac:dyDescent="0.25">
      <c r="A440" t="s">
        <v>489</v>
      </c>
      <c r="B440" t="s">
        <v>490</v>
      </c>
      <c r="C440">
        <v>4.8</v>
      </c>
      <c r="D440">
        <v>49288</v>
      </c>
      <c r="E440">
        <v>11</v>
      </c>
      <c r="F440">
        <v>2016</v>
      </c>
      <c r="G440" t="s">
        <v>10</v>
      </c>
      <c r="I440" t="str">
        <v/>
      </c>
    </row>
    <row r="441" spans="1:9" hidden="1" x14ac:dyDescent="0.25">
      <c r="A441" t="s">
        <v>491</v>
      </c>
      <c r="B441" t="s">
        <v>492</v>
      </c>
      <c r="C441">
        <v>4.4000000000000004</v>
      </c>
      <c r="D441">
        <v>1201</v>
      </c>
      <c r="E441">
        <v>40</v>
      </c>
      <c r="F441">
        <v>2010</v>
      </c>
      <c r="G441" t="s">
        <v>8</v>
      </c>
      <c r="I441" t="str">
        <v/>
      </c>
    </row>
    <row r="442" spans="1:9" hidden="1" x14ac:dyDescent="0.25">
      <c r="A442" t="s">
        <v>491</v>
      </c>
      <c r="B442" t="s">
        <v>492</v>
      </c>
      <c r="C442">
        <v>4.4000000000000004</v>
      </c>
      <c r="D442">
        <v>1201</v>
      </c>
      <c r="E442">
        <v>40</v>
      </c>
      <c r="F442">
        <v>2011</v>
      </c>
      <c r="G442" t="s">
        <v>8</v>
      </c>
      <c r="I442" t="str">
        <v/>
      </c>
    </row>
    <row r="443" spans="1:9" hidden="1" x14ac:dyDescent="0.25">
      <c r="A443" t="s">
        <v>491</v>
      </c>
      <c r="B443" t="s">
        <v>492</v>
      </c>
      <c r="C443">
        <v>4.4000000000000004</v>
      </c>
      <c r="D443">
        <v>1201</v>
      </c>
      <c r="E443">
        <v>40</v>
      </c>
      <c r="F443">
        <v>2012</v>
      </c>
      <c r="G443" t="s">
        <v>8</v>
      </c>
      <c r="I443" t="str">
        <v/>
      </c>
    </row>
    <row r="444" spans="1:9" hidden="1" x14ac:dyDescent="0.25">
      <c r="A444" t="s">
        <v>491</v>
      </c>
      <c r="B444" t="s">
        <v>492</v>
      </c>
      <c r="C444">
        <v>4.4000000000000004</v>
      </c>
      <c r="D444">
        <v>1201</v>
      </c>
      <c r="E444">
        <v>40</v>
      </c>
      <c r="F444">
        <v>2013</v>
      </c>
      <c r="G444" t="s">
        <v>8</v>
      </c>
      <c r="I444" t="str">
        <v/>
      </c>
    </row>
    <row r="445" spans="1:9" hidden="1" x14ac:dyDescent="0.25">
      <c r="A445" t="s">
        <v>491</v>
      </c>
      <c r="B445" t="s">
        <v>492</v>
      </c>
      <c r="C445">
        <v>4.4000000000000004</v>
      </c>
      <c r="D445">
        <v>1201</v>
      </c>
      <c r="E445">
        <v>40</v>
      </c>
      <c r="F445">
        <v>2014</v>
      </c>
      <c r="G445" t="s">
        <v>8</v>
      </c>
      <c r="I445" t="str">
        <v/>
      </c>
    </row>
    <row r="446" spans="1:9" hidden="1" x14ac:dyDescent="0.25">
      <c r="A446" t="s">
        <v>493</v>
      </c>
      <c r="B446" t="s">
        <v>492</v>
      </c>
      <c r="C446">
        <v>4.3</v>
      </c>
      <c r="D446">
        <v>807</v>
      </c>
      <c r="E446">
        <v>36</v>
      </c>
      <c r="F446">
        <v>2016</v>
      </c>
      <c r="G446" t="s">
        <v>8</v>
      </c>
      <c r="I446" t="str">
        <v/>
      </c>
    </row>
    <row r="447" spans="1:9" hidden="1" x14ac:dyDescent="0.25">
      <c r="A447" t="s">
        <v>494</v>
      </c>
      <c r="B447" t="s">
        <v>495</v>
      </c>
      <c r="C447">
        <v>4.3</v>
      </c>
      <c r="D447">
        <v>3759</v>
      </c>
      <c r="E447">
        <v>16</v>
      </c>
      <c r="F447">
        <v>2011</v>
      </c>
      <c r="G447" t="s">
        <v>10</v>
      </c>
      <c r="I447" t="str">
        <v/>
      </c>
    </row>
    <row r="448" spans="1:9" hidden="1" x14ac:dyDescent="0.25">
      <c r="A448" t="s">
        <v>496</v>
      </c>
      <c r="B448" t="s">
        <v>497</v>
      </c>
      <c r="C448">
        <v>4.8</v>
      </c>
      <c r="D448">
        <v>2663</v>
      </c>
      <c r="E448">
        <v>17</v>
      </c>
      <c r="F448">
        <v>2013</v>
      </c>
      <c r="G448" t="s">
        <v>8</v>
      </c>
      <c r="I448" t="str">
        <v/>
      </c>
    </row>
    <row r="449" spans="1:9" hidden="1" x14ac:dyDescent="0.25">
      <c r="A449" t="s">
        <v>498</v>
      </c>
      <c r="B449" t="s">
        <v>497</v>
      </c>
      <c r="C449">
        <v>4.8</v>
      </c>
      <c r="D449">
        <v>3428</v>
      </c>
      <c r="E449">
        <v>14</v>
      </c>
      <c r="F449">
        <v>2015</v>
      </c>
      <c r="G449" t="s">
        <v>8</v>
      </c>
      <c r="I449" t="str">
        <v/>
      </c>
    </row>
    <row r="450" spans="1:9" hidden="1" x14ac:dyDescent="0.25">
      <c r="A450" t="s">
        <v>499</v>
      </c>
      <c r="B450" t="s">
        <v>497</v>
      </c>
      <c r="C450">
        <v>4.8</v>
      </c>
      <c r="D450">
        <v>2876</v>
      </c>
      <c r="E450">
        <v>21</v>
      </c>
      <c r="F450">
        <v>2012</v>
      </c>
      <c r="G450" t="s">
        <v>8</v>
      </c>
      <c r="I450" t="str">
        <v/>
      </c>
    </row>
    <row r="451" spans="1:9" hidden="1" x14ac:dyDescent="0.25">
      <c r="A451" t="s">
        <v>500</v>
      </c>
      <c r="B451" t="s">
        <v>501</v>
      </c>
      <c r="C451">
        <v>4.5</v>
      </c>
      <c r="D451">
        <v>3601</v>
      </c>
      <c r="E451">
        <v>18</v>
      </c>
      <c r="F451">
        <v>2018</v>
      </c>
      <c r="G451" t="s">
        <v>8</v>
      </c>
      <c r="I451" t="str">
        <v/>
      </c>
    </row>
    <row r="452" spans="1:9" hidden="1" x14ac:dyDescent="0.25">
      <c r="A452" t="s">
        <v>502</v>
      </c>
      <c r="B452" t="s">
        <v>501</v>
      </c>
      <c r="C452">
        <v>4.4000000000000004</v>
      </c>
      <c r="D452">
        <v>7058</v>
      </c>
      <c r="E452">
        <v>17</v>
      </c>
      <c r="F452">
        <v>2018</v>
      </c>
      <c r="G452" t="s">
        <v>8</v>
      </c>
      <c r="I452" t="str">
        <v/>
      </c>
    </row>
    <row r="453" spans="1:9" hidden="1" x14ac:dyDescent="0.25">
      <c r="A453" t="s">
        <v>503</v>
      </c>
      <c r="B453" t="s">
        <v>504</v>
      </c>
      <c r="C453">
        <v>4.8</v>
      </c>
      <c r="D453">
        <v>9784</v>
      </c>
      <c r="E453">
        <v>5</v>
      </c>
      <c r="F453">
        <v>2017</v>
      </c>
      <c r="G453" t="s">
        <v>10</v>
      </c>
      <c r="I453" t="str">
        <v/>
      </c>
    </row>
    <row r="454" spans="1:9" hidden="1" x14ac:dyDescent="0.25">
      <c r="A454" t="s">
        <v>503</v>
      </c>
      <c r="B454" t="s">
        <v>504</v>
      </c>
      <c r="C454">
        <v>4.8</v>
      </c>
      <c r="D454">
        <v>9784</v>
      </c>
      <c r="E454">
        <v>5</v>
      </c>
      <c r="F454">
        <v>2018</v>
      </c>
      <c r="G454" t="s">
        <v>10</v>
      </c>
      <c r="I454" t="str">
        <v/>
      </c>
    </row>
    <row r="455" spans="1:9" hidden="1" x14ac:dyDescent="0.25">
      <c r="A455" t="s">
        <v>505</v>
      </c>
      <c r="B455" t="s">
        <v>506</v>
      </c>
      <c r="C455">
        <v>4.5999999999999996</v>
      </c>
      <c r="D455">
        <v>10795</v>
      </c>
      <c r="E455">
        <v>21</v>
      </c>
      <c r="F455">
        <v>2012</v>
      </c>
      <c r="G455" t="s">
        <v>8</v>
      </c>
      <c r="I455" t="str">
        <v/>
      </c>
    </row>
    <row r="456" spans="1:9" hidden="1" x14ac:dyDescent="0.25">
      <c r="A456" t="s">
        <v>507</v>
      </c>
      <c r="B456" t="s">
        <v>235</v>
      </c>
      <c r="C456">
        <v>4.3</v>
      </c>
      <c r="D456">
        <v>10191</v>
      </c>
      <c r="E456">
        <v>18</v>
      </c>
      <c r="F456">
        <v>2018</v>
      </c>
      <c r="G456" t="s">
        <v>10</v>
      </c>
      <c r="I456" t="str">
        <v/>
      </c>
    </row>
    <row r="457" spans="1:9" hidden="1" x14ac:dyDescent="0.25">
      <c r="A457" t="s">
        <v>508</v>
      </c>
      <c r="B457" t="s">
        <v>375</v>
      </c>
      <c r="C457">
        <v>4.3</v>
      </c>
      <c r="D457">
        <v>14493</v>
      </c>
      <c r="E457">
        <v>18</v>
      </c>
      <c r="F457">
        <v>2012</v>
      </c>
      <c r="G457" t="s">
        <v>10</v>
      </c>
      <c r="I457" t="str">
        <v/>
      </c>
    </row>
    <row r="458" spans="1:9" hidden="1" x14ac:dyDescent="0.25">
      <c r="A458" t="s">
        <v>509</v>
      </c>
      <c r="B458" t="s">
        <v>331</v>
      </c>
      <c r="C458">
        <v>4.5999999999999996</v>
      </c>
      <c r="D458">
        <v>2186</v>
      </c>
      <c r="E458">
        <v>12</v>
      </c>
      <c r="F458">
        <v>2010</v>
      </c>
      <c r="G458" t="s">
        <v>10</v>
      </c>
      <c r="I458" t="str">
        <v/>
      </c>
    </row>
    <row r="459" spans="1:9" hidden="1" x14ac:dyDescent="0.25">
      <c r="A459" t="s">
        <v>510</v>
      </c>
      <c r="B459" t="s">
        <v>511</v>
      </c>
      <c r="C459">
        <v>4.5999999999999996</v>
      </c>
      <c r="D459">
        <v>1204</v>
      </c>
      <c r="E459">
        <v>14</v>
      </c>
      <c r="F459">
        <v>2010</v>
      </c>
      <c r="G459" t="s">
        <v>8</v>
      </c>
      <c r="I459" t="str">
        <v/>
      </c>
    </row>
    <row r="460" spans="1:9" hidden="1" x14ac:dyDescent="0.25">
      <c r="A460" t="s">
        <v>512</v>
      </c>
      <c r="B460" t="s">
        <v>331</v>
      </c>
      <c r="C460">
        <v>4.8</v>
      </c>
      <c r="D460">
        <v>2091</v>
      </c>
      <c r="E460">
        <v>12</v>
      </c>
      <c r="F460">
        <v>2012</v>
      </c>
      <c r="G460" t="s">
        <v>10</v>
      </c>
      <c r="I460" t="str">
        <v/>
      </c>
    </row>
    <row r="461" spans="1:9" hidden="1" x14ac:dyDescent="0.25">
      <c r="A461" t="s">
        <v>513</v>
      </c>
      <c r="B461" t="s">
        <v>514</v>
      </c>
      <c r="C461">
        <v>4.5999999999999996</v>
      </c>
      <c r="D461">
        <v>19720</v>
      </c>
      <c r="E461">
        <v>8</v>
      </c>
      <c r="F461">
        <v>2009</v>
      </c>
      <c r="G461" t="s">
        <v>10</v>
      </c>
      <c r="I461" t="str">
        <v/>
      </c>
    </row>
    <row r="462" spans="1:9" hidden="1" x14ac:dyDescent="0.25">
      <c r="A462" t="s">
        <v>513</v>
      </c>
      <c r="B462" t="s">
        <v>514</v>
      </c>
      <c r="C462">
        <v>4.5999999999999996</v>
      </c>
      <c r="D462">
        <v>19720</v>
      </c>
      <c r="E462">
        <v>8</v>
      </c>
      <c r="F462">
        <v>2017</v>
      </c>
      <c r="G462" t="s">
        <v>10</v>
      </c>
      <c r="I462" t="str">
        <v/>
      </c>
    </row>
    <row r="463" spans="1:9" hidden="1" x14ac:dyDescent="0.25">
      <c r="A463" t="s">
        <v>515</v>
      </c>
      <c r="B463" t="s">
        <v>73</v>
      </c>
      <c r="C463">
        <v>4.5999999999999996</v>
      </c>
      <c r="D463">
        <v>2122</v>
      </c>
      <c r="E463">
        <v>0</v>
      </c>
      <c r="F463">
        <v>2010</v>
      </c>
      <c r="G463" t="s">
        <v>10</v>
      </c>
      <c r="I463" t="str">
        <v/>
      </c>
    </row>
    <row r="464" spans="1:9" hidden="1" x14ac:dyDescent="0.25">
      <c r="A464" t="s">
        <v>516</v>
      </c>
      <c r="B464" t="s">
        <v>517</v>
      </c>
      <c r="C464">
        <v>4.5</v>
      </c>
      <c r="D464">
        <v>27536</v>
      </c>
      <c r="E464">
        <v>14</v>
      </c>
      <c r="F464">
        <v>2019</v>
      </c>
      <c r="G464" t="s">
        <v>10</v>
      </c>
      <c r="I464" t="str">
        <v/>
      </c>
    </row>
    <row r="465" spans="1:9" x14ac:dyDescent="0.25">
      <c r="A465" t="s">
        <v>518</v>
      </c>
      <c r="B465" t="s">
        <v>331</v>
      </c>
      <c r="C465">
        <v>4.8</v>
      </c>
      <c r="D465">
        <v>4290</v>
      </c>
      <c r="E465">
        <v>10</v>
      </c>
      <c r="F465">
        <v>2011</v>
      </c>
      <c r="G465" t="s">
        <v>10</v>
      </c>
      <c r="I465" s="4" t="str">
        <v>The Short Second Life of Bree Tanner: An Eclipse Novella (The Twilight Saga)</v>
      </c>
    </row>
    <row r="466" spans="1:9" hidden="1" x14ac:dyDescent="0.25">
      <c r="A466" t="s">
        <v>519</v>
      </c>
      <c r="B466" t="s">
        <v>520</v>
      </c>
      <c r="C466">
        <v>4.5999999999999996</v>
      </c>
      <c r="D466">
        <v>26490</v>
      </c>
      <c r="E466">
        <v>15</v>
      </c>
      <c r="F466">
        <v>2017</v>
      </c>
      <c r="G466" t="s">
        <v>8</v>
      </c>
      <c r="I466" t="str">
        <v/>
      </c>
    </row>
    <row r="467" spans="1:9" hidden="1" x14ac:dyDescent="0.25">
      <c r="A467" t="s">
        <v>519</v>
      </c>
      <c r="B467" t="s">
        <v>520</v>
      </c>
      <c r="C467">
        <v>4.5999999999999996</v>
      </c>
      <c r="D467">
        <v>26490</v>
      </c>
      <c r="E467">
        <v>15</v>
      </c>
      <c r="F467">
        <v>2018</v>
      </c>
      <c r="G467" t="s">
        <v>8</v>
      </c>
      <c r="I467" t="str">
        <v/>
      </c>
    </row>
    <row r="468" spans="1:9" hidden="1" x14ac:dyDescent="0.25">
      <c r="A468" t="s">
        <v>519</v>
      </c>
      <c r="B468" t="s">
        <v>520</v>
      </c>
      <c r="C468">
        <v>4.5999999999999996</v>
      </c>
      <c r="D468">
        <v>26490</v>
      </c>
      <c r="E468">
        <v>15</v>
      </c>
      <c r="F468">
        <v>2019</v>
      </c>
      <c r="G468" t="s">
        <v>8</v>
      </c>
      <c r="I468" t="str">
        <v/>
      </c>
    </row>
    <row r="469" spans="1:9" hidden="1" x14ac:dyDescent="0.25">
      <c r="A469" t="s">
        <v>521</v>
      </c>
      <c r="B469" t="s">
        <v>299</v>
      </c>
      <c r="C469">
        <v>4.7</v>
      </c>
      <c r="D469">
        <v>5487</v>
      </c>
      <c r="E469">
        <v>9</v>
      </c>
      <c r="F469">
        <v>2017</v>
      </c>
      <c r="G469" t="s">
        <v>8</v>
      </c>
      <c r="I469" t="str">
        <v/>
      </c>
    </row>
    <row r="470" spans="1:9" hidden="1" x14ac:dyDescent="0.25">
      <c r="A470" t="s">
        <v>522</v>
      </c>
      <c r="B470" t="s">
        <v>78</v>
      </c>
      <c r="C470">
        <v>4.7</v>
      </c>
      <c r="D470">
        <v>6377</v>
      </c>
      <c r="E470">
        <v>7</v>
      </c>
      <c r="F470">
        <v>2012</v>
      </c>
      <c r="G470" t="s">
        <v>10</v>
      </c>
      <c r="I470" t="str">
        <v/>
      </c>
    </row>
    <row r="471" spans="1:9" hidden="1" x14ac:dyDescent="0.25">
      <c r="A471" t="s">
        <v>523</v>
      </c>
      <c r="B471" t="s">
        <v>331</v>
      </c>
      <c r="C471">
        <v>4.7</v>
      </c>
      <c r="D471">
        <v>1463</v>
      </c>
      <c r="E471">
        <v>10</v>
      </c>
      <c r="F471">
        <v>2011</v>
      </c>
      <c r="G471" t="s">
        <v>10</v>
      </c>
      <c r="I471" t="str">
        <v/>
      </c>
    </row>
    <row r="472" spans="1:9" hidden="1" x14ac:dyDescent="0.25">
      <c r="A472" t="s">
        <v>524</v>
      </c>
      <c r="B472" t="s">
        <v>525</v>
      </c>
      <c r="C472">
        <v>4.4000000000000004</v>
      </c>
      <c r="D472">
        <v>3759</v>
      </c>
      <c r="E472">
        <v>6</v>
      </c>
      <c r="F472">
        <v>2009</v>
      </c>
      <c r="G472" t="s">
        <v>10</v>
      </c>
      <c r="I472" t="str">
        <v/>
      </c>
    </row>
    <row r="473" spans="1:9" hidden="1" x14ac:dyDescent="0.25">
      <c r="A473" t="s">
        <v>526</v>
      </c>
      <c r="B473" t="s">
        <v>101</v>
      </c>
      <c r="C473">
        <v>4.4000000000000004</v>
      </c>
      <c r="D473">
        <v>3503</v>
      </c>
      <c r="E473">
        <v>9</v>
      </c>
      <c r="F473">
        <v>2009</v>
      </c>
      <c r="G473" t="s">
        <v>8</v>
      </c>
      <c r="I473" t="str">
        <v/>
      </c>
    </row>
    <row r="474" spans="1:9" hidden="1" x14ac:dyDescent="0.25">
      <c r="A474" t="s">
        <v>527</v>
      </c>
      <c r="B474" t="s">
        <v>528</v>
      </c>
      <c r="C474">
        <v>4.7</v>
      </c>
      <c r="D474">
        <v>11550</v>
      </c>
      <c r="E474">
        <v>10</v>
      </c>
      <c r="F474">
        <v>2019</v>
      </c>
      <c r="G474" t="s">
        <v>8</v>
      </c>
      <c r="I474" t="str">
        <v/>
      </c>
    </row>
    <row r="475" spans="1:9" hidden="1" x14ac:dyDescent="0.25">
      <c r="A475" t="s">
        <v>529</v>
      </c>
      <c r="B475" t="s">
        <v>73</v>
      </c>
      <c r="C475">
        <v>4.7</v>
      </c>
      <c r="D475">
        <v>3801</v>
      </c>
      <c r="E475">
        <v>82</v>
      </c>
      <c r="F475">
        <v>2009</v>
      </c>
      <c r="G475" t="s">
        <v>10</v>
      </c>
      <c r="I475" t="str">
        <v/>
      </c>
    </row>
    <row r="476" spans="1:9" hidden="1" x14ac:dyDescent="0.25">
      <c r="A476" t="s">
        <v>530</v>
      </c>
      <c r="B476" t="s">
        <v>78</v>
      </c>
      <c r="C476">
        <v>4.8</v>
      </c>
      <c r="D476">
        <v>3796</v>
      </c>
      <c r="E476">
        <v>12</v>
      </c>
      <c r="F476">
        <v>2010</v>
      </c>
      <c r="G476" t="s">
        <v>10</v>
      </c>
      <c r="I476" t="str">
        <v/>
      </c>
    </row>
    <row r="477" spans="1:9" hidden="1" x14ac:dyDescent="0.25">
      <c r="A477" t="s">
        <v>531</v>
      </c>
      <c r="B477" t="s">
        <v>532</v>
      </c>
      <c r="C477">
        <v>4.7</v>
      </c>
      <c r="D477">
        <v>9030</v>
      </c>
      <c r="E477">
        <v>10</v>
      </c>
      <c r="F477">
        <v>2019</v>
      </c>
      <c r="G477" t="s">
        <v>8</v>
      </c>
      <c r="I477" t="str">
        <v/>
      </c>
    </row>
    <row r="478" spans="1:9" hidden="1" x14ac:dyDescent="0.25">
      <c r="A478" t="s">
        <v>533</v>
      </c>
      <c r="B478" t="s">
        <v>534</v>
      </c>
      <c r="C478">
        <v>4.9000000000000004</v>
      </c>
      <c r="D478">
        <v>19546</v>
      </c>
      <c r="E478">
        <v>5</v>
      </c>
      <c r="F478">
        <v>2013</v>
      </c>
      <c r="G478" t="s">
        <v>10</v>
      </c>
      <c r="I478" t="str">
        <v/>
      </c>
    </row>
    <row r="479" spans="1:9" hidden="1" x14ac:dyDescent="0.25">
      <c r="A479" t="s">
        <v>533</v>
      </c>
      <c r="B479" t="s">
        <v>534</v>
      </c>
      <c r="C479">
        <v>4.9000000000000004</v>
      </c>
      <c r="D479">
        <v>19546</v>
      </c>
      <c r="E479">
        <v>5</v>
      </c>
      <c r="F479">
        <v>2014</v>
      </c>
      <c r="G479" t="s">
        <v>10</v>
      </c>
      <c r="I479" t="str">
        <v/>
      </c>
    </row>
    <row r="480" spans="1:9" hidden="1" x14ac:dyDescent="0.25">
      <c r="A480" t="s">
        <v>533</v>
      </c>
      <c r="B480" t="s">
        <v>534</v>
      </c>
      <c r="C480">
        <v>4.9000000000000004</v>
      </c>
      <c r="D480">
        <v>19546</v>
      </c>
      <c r="E480">
        <v>5</v>
      </c>
      <c r="F480">
        <v>2015</v>
      </c>
      <c r="G480" t="s">
        <v>10</v>
      </c>
      <c r="I480" t="str">
        <v/>
      </c>
    </row>
    <row r="481" spans="1:9" hidden="1" x14ac:dyDescent="0.25">
      <c r="A481" t="s">
        <v>533</v>
      </c>
      <c r="B481" t="s">
        <v>534</v>
      </c>
      <c r="C481">
        <v>4.9000000000000004</v>
      </c>
      <c r="D481">
        <v>19546</v>
      </c>
      <c r="E481">
        <v>5</v>
      </c>
      <c r="F481">
        <v>2016</v>
      </c>
      <c r="G481" t="s">
        <v>10</v>
      </c>
      <c r="I481" t="str">
        <v/>
      </c>
    </row>
    <row r="482" spans="1:9" hidden="1" x14ac:dyDescent="0.25">
      <c r="A482" t="s">
        <v>533</v>
      </c>
      <c r="B482" t="s">
        <v>534</v>
      </c>
      <c r="C482">
        <v>4.9000000000000004</v>
      </c>
      <c r="D482">
        <v>19546</v>
      </c>
      <c r="E482">
        <v>5</v>
      </c>
      <c r="F482">
        <v>2017</v>
      </c>
      <c r="G482" t="s">
        <v>10</v>
      </c>
      <c r="I482" t="str">
        <v/>
      </c>
    </row>
    <row r="483" spans="1:9" hidden="1" x14ac:dyDescent="0.25">
      <c r="A483" t="s">
        <v>533</v>
      </c>
      <c r="B483" t="s">
        <v>534</v>
      </c>
      <c r="C483">
        <v>4.9000000000000004</v>
      </c>
      <c r="D483">
        <v>19546</v>
      </c>
      <c r="E483">
        <v>5</v>
      </c>
      <c r="F483">
        <v>2018</v>
      </c>
      <c r="G483" t="s">
        <v>10</v>
      </c>
      <c r="I483" t="str">
        <v/>
      </c>
    </row>
    <row r="484" spans="1:9" hidden="1" x14ac:dyDescent="0.25">
      <c r="A484" t="s">
        <v>533</v>
      </c>
      <c r="B484" t="s">
        <v>534</v>
      </c>
      <c r="C484">
        <v>4.9000000000000004</v>
      </c>
      <c r="D484">
        <v>19546</v>
      </c>
      <c r="E484">
        <v>5</v>
      </c>
      <c r="F484">
        <v>2019</v>
      </c>
      <c r="G484" t="s">
        <v>10</v>
      </c>
      <c r="I484" t="str">
        <v/>
      </c>
    </row>
    <row r="485" spans="1:9" hidden="1" x14ac:dyDescent="0.25">
      <c r="A485" t="s">
        <v>535</v>
      </c>
      <c r="B485" t="s">
        <v>536</v>
      </c>
      <c r="C485">
        <v>4.5999999999999996</v>
      </c>
      <c r="D485">
        <v>7508</v>
      </c>
      <c r="E485">
        <v>16</v>
      </c>
      <c r="F485">
        <v>2015</v>
      </c>
      <c r="G485" t="s">
        <v>8</v>
      </c>
      <c r="I485" t="str">
        <v/>
      </c>
    </row>
    <row r="486" spans="1:9" hidden="1" x14ac:dyDescent="0.25">
      <c r="A486" t="s">
        <v>535</v>
      </c>
      <c r="B486" t="s">
        <v>536</v>
      </c>
      <c r="C486">
        <v>4.5999999999999996</v>
      </c>
      <c r="D486">
        <v>7508</v>
      </c>
      <c r="E486">
        <v>16</v>
      </c>
      <c r="F486">
        <v>2016</v>
      </c>
      <c r="G486" t="s">
        <v>8</v>
      </c>
      <c r="I486" t="str">
        <v/>
      </c>
    </row>
    <row r="487" spans="1:9" hidden="1" x14ac:dyDescent="0.25">
      <c r="A487" t="s">
        <v>535</v>
      </c>
      <c r="B487" t="s">
        <v>536</v>
      </c>
      <c r="C487">
        <v>4.5999999999999996</v>
      </c>
      <c r="D487">
        <v>7508</v>
      </c>
      <c r="E487">
        <v>16</v>
      </c>
      <c r="F487">
        <v>2017</v>
      </c>
      <c r="G487" t="s">
        <v>8</v>
      </c>
      <c r="I487" t="str">
        <v/>
      </c>
    </row>
    <row r="488" spans="1:9" hidden="1" x14ac:dyDescent="0.25">
      <c r="A488" t="s">
        <v>537</v>
      </c>
      <c r="B488" t="s">
        <v>538</v>
      </c>
      <c r="C488">
        <v>4.9000000000000004</v>
      </c>
      <c r="D488">
        <v>8842</v>
      </c>
      <c r="E488">
        <v>10</v>
      </c>
      <c r="F488">
        <v>2016</v>
      </c>
      <c r="G488" t="s">
        <v>10</v>
      </c>
      <c r="I488" t="str">
        <v/>
      </c>
    </row>
    <row r="489" spans="1:9" hidden="1" x14ac:dyDescent="0.25">
      <c r="A489" t="s">
        <v>537</v>
      </c>
      <c r="B489" t="s">
        <v>538</v>
      </c>
      <c r="C489">
        <v>4.9000000000000004</v>
      </c>
      <c r="D489">
        <v>8842</v>
      </c>
      <c r="E489">
        <v>10</v>
      </c>
      <c r="F489">
        <v>2017</v>
      </c>
      <c r="G489" t="s">
        <v>10</v>
      </c>
      <c r="I489" t="str">
        <v/>
      </c>
    </row>
    <row r="490" spans="1:9" hidden="1" x14ac:dyDescent="0.25">
      <c r="A490" t="s">
        <v>537</v>
      </c>
      <c r="B490" t="s">
        <v>538</v>
      </c>
      <c r="C490">
        <v>4.9000000000000004</v>
      </c>
      <c r="D490">
        <v>8842</v>
      </c>
      <c r="E490">
        <v>10</v>
      </c>
      <c r="F490">
        <v>2018</v>
      </c>
      <c r="G490" t="s">
        <v>10</v>
      </c>
      <c r="I490" t="str">
        <v/>
      </c>
    </row>
    <row r="491" spans="1:9" hidden="1" x14ac:dyDescent="0.25">
      <c r="A491" t="s">
        <v>537</v>
      </c>
      <c r="B491" t="s">
        <v>538</v>
      </c>
      <c r="C491">
        <v>4.9000000000000004</v>
      </c>
      <c r="D491">
        <v>8842</v>
      </c>
      <c r="E491">
        <v>10</v>
      </c>
      <c r="F491">
        <v>2019</v>
      </c>
      <c r="G491" t="s">
        <v>10</v>
      </c>
      <c r="I491" t="str">
        <v/>
      </c>
    </row>
    <row r="492" spans="1:9" hidden="1" x14ac:dyDescent="0.25">
      <c r="A492" t="s">
        <v>539</v>
      </c>
      <c r="B492" t="s">
        <v>540</v>
      </c>
      <c r="C492">
        <v>4.8</v>
      </c>
      <c r="D492">
        <v>30183</v>
      </c>
      <c r="E492">
        <v>4</v>
      </c>
      <c r="F492">
        <v>2018</v>
      </c>
      <c r="G492" t="s">
        <v>10</v>
      </c>
      <c r="I492" t="str">
        <v/>
      </c>
    </row>
    <row r="493" spans="1:9" hidden="1" x14ac:dyDescent="0.25">
      <c r="A493" t="s">
        <v>539</v>
      </c>
      <c r="B493" t="s">
        <v>540</v>
      </c>
      <c r="C493">
        <v>4.8</v>
      </c>
      <c r="D493">
        <v>30183</v>
      </c>
      <c r="E493">
        <v>4</v>
      </c>
      <c r="F493">
        <v>2019</v>
      </c>
      <c r="G493" t="s">
        <v>10</v>
      </c>
      <c r="I493" t="str">
        <v/>
      </c>
    </row>
    <row r="494" spans="1:9" hidden="1" x14ac:dyDescent="0.25">
      <c r="A494" t="s">
        <v>541</v>
      </c>
      <c r="B494" t="s">
        <v>542</v>
      </c>
      <c r="C494">
        <v>4.7</v>
      </c>
      <c r="D494">
        <v>6169</v>
      </c>
      <c r="E494">
        <v>16</v>
      </c>
      <c r="F494">
        <v>2015</v>
      </c>
      <c r="G494" t="s">
        <v>8</v>
      </c>
      <c r="I494" t="str">
        <v/>
      </c>
    </row>
    <row r="495" spans="1:9" hidden="1" x14ac:dyDescent="0.25">
      <c r="A495" t="s">
        <v>543</v>
      </c>
      <c r="B495" t="s">
        <v>544</v>
      </c>
      <c r="C495">
        <v>4.7</v>
      </c>
      <c r="D495">
        <v>7034</v>
      </c>
      <c r="E495">
        <v>15</v>
      </c>
      <c r="F495">
        <v>2013</v>
      </c>
      <c r="G495" t="s">
        <v>8</v>
      </c>
      <c r="I495" t="str">
        <v/>
      </c>
    </row>
    <row r="496" spans="1:9" hidden="1" x14ac:dyDescent="0.25">
      <c r="A496" t="s">
        <v>545</v>
      </c>
      <c r="B496" t="s">
        <v>546</v>
      </c>
      <c r="C496">
        <v>4.5999999999999996</v>
      </c>
      <c r="D496">
        <v>11034</v>
      </c>
      <c r="E496">
        <v>19</v>
      </c>
      <c r="F496">
        <v>2011</v>
      </c>
      <c r="G496" t="s">
        <v>8</v>
      </c>
      <c r="I496" t="str">
        <v/>
      </c>
    </row>
    <row r="497" spans="1:9" hidden="1" x14ac:dyDescent="0.25">
      <c r="A497" t="s">
        <v>545</v>
      </c>
      <c r="B497" t="s">
        <v>546</v>
      </c>
      <c r="C497">
        <v>4.5999999999999996</v>
      </c>
      <c r="D497">
        <v>11034</v>
      </c>
      <c r="E497">
        <v>19</v>
      </c>
      <c r="F497">
        <v>2012</v>
      </c>
      <c r="G497" t="s">
        <v>8</v>
      </c>
      <c r="I497" t="str">
        <v/>
      </c>
    </row>
    <row r="498" spans="1:9" hidden="1" x14ac:dyDescent="0.25">
      <c r="A498" t="s">
        <v>547</v>
      </c>
      <c r="B498" t="s">
        <v>548</v>
      </c>
      <c r="C498">
        <v>4.5</v>
      </c>
      <c r="D498">
        <v>7932</v>
      </c>
      <c r="E498">
        <v>9</v>
      </c>
      <c r="F498">
        <v>2017</v>
      </c>
      <c r="G498" t="s">
        <v>10</v>
      </c>
      <c r="I498" t="str">
        <v/>
      </c>
    </row>
    <row r="499" spans="1:9" hidden="1" x14ac:dyDescent="0.25">
      <c r="A499" t="s">
        <v>549</v>
      </c>
      <c r="B499" t="s">
        <v>550</v>
      </c>
      <c r="C499">
        <v>4.5</v>
      </c>
      <c r="D499">
        <v>1904</v>
      </c>
      <c r="E499">
        <v>23</v>
      </c>
      <c r="F499">
        <v>2012</v>
      </c>
      <c r="G499" t="s">
        <v>8</v>
      </c>
      <c r="I499" t="str">
        <v/>
      </c>
    </row>
    <row r="500" spans="1:9" hidden="1" x14ac:dyDescent="0.25">
      <c r="A500" t="s">
        <v>551</v>
      </c>
      <c r="B500" t="s">
        <v>552</v>
      </c>
      <c r="C500">
        <v>4.3</v>
      </c>
      <c r="D500">
        <v>3319</v>
      </c>
      <c r="E500">
        <v>11</v>
      </c>
      <c r="F500">
        <v>2009</v>
      </c>
      <c r="G500" t="s">
        <v>8</v>
      </c>
      <c r="I500" t="str">
        <v/>
      </c>
    </row>
    <row r="501" spans="1:9" hidden="1" x14ac:dyDescent="0.25">
      <c r="A501" t="s">
        <v>551</v>
      </c>
      <c r="B501" t="s">
        <v>552</v>
      </c>
      <c r="C501">
        <v>4.3</v>
      </c>
      <c r="D501">
        <v>3319</v>
      </c>
      <c r="E501">
        <v>11</v>
      </c>
      <c r="F501">
        <v>2010</v>
      </c>
      <c r="G501" t="s">
        <v>8</v>
      </c>
      <c r="I501" t="str">
        <v/>
      </c>
    </row>
    <row r="502" spans="1:9" hidden="1" x14ac:dyDescent="0.25">
      <c r="A502" t="s">
        <v>553</v>
      </c>
      <c r="B502" t="s">
        <v>554</v>
      </c>
      <c r="C502">
        <v>4.5999999999999996</v>
      </c>
      <c r="D502">
        <v>11128</v>
      </c>
      <c r="E502">
        <v>23</v>
      </c>
      <c r="F502">
        <v>2014</v>
      </c>
      <c r="G502" t="s">
        <v>8</v>
      </c>
      <c r="I502" t="str">
        <v/>
      </c>
    </row>
    <row r="503" spans="1:9" hidden="1" x14ac:dyDescent="0.25">
      <c r="A503" t="s">
        <v>553</v>
      </c>
      <c r="B503" t="s">
        <v>554</v>
      </c>
      <c r="C503">
        <v>4.5999999999999996</v>
      </c>
      <c r="D503">
        <v>11128</v>
      </c>
      <c r="E503">
        <v>23</v>
      </c>
      <c r="F503">
        <v>2015</v>
      </c>
      <c r="G503" t="s">
        <v>8</v>
      </c>
      <c r="I503" t="str">
        <v/>
      </c>
    </row>
    <row r="504" spans="1:9" hidden="1" x14ac:dyDescent="0.25">
      <c r="A504" t="s">
        <v>553</v>
      </c>
      <c r="B504" t="s">
        <v>554</v>
      </c>
      <c r="C504">
        <v>4.5999999999999996</v>
      </c>
      <c r="D504">
        <v>11128</v>
      </c>
      <c r="E504">
        <v>23</v>
      </c>
      <c r="F504">
        <v>2016</v>
      </c>
      <c r="G504" t="s">
        <v>8</v>
      </c>
      <c r="I504" t="str">
        <v/>
      </c>
    </row>
    <row r="505" spans="1:9" hidden="1" x14ac:dyDescent="0.25">
      <c r="A505" t="s">
        <v>553</v>
      </c>
      <c r="B505" t="s">
        <v>554</v>
      </c>
      <c r="C505">
        <v>4.5999999999999996</v>
      </c>
      <c r="D505">
        <v>11128</v>
      </c>
      <c r="E505">
        <v>23</v>
      </c>
      <c r="F505">
        <v>2017</v>
      </c>
      <c r="G505" t="s">
        <v>8</v>
      </c>
      <c r="I505" t="str">
        <v/>
      </c>
    </row>
    <row r="506" spans="1:9" hidden="1" x14ac:dyDescent="0.25">
      <c r="A506" t="s">
        <v>555</v>
      </c>
      <c r="B506" t="s">
        <v>556</v>
      </c>
      <c r="C506">
        <v>4.3</v>
      </c>
      <c r="D506">
        <v>5977</v>
      </c>
      <c r="E506">
        <v>12</v>
      </c>
      <c r="F506">
        <v>2011</v>
      </c>
      <c r="G506" t="s">
        <v>8</v>
      </c>
      <c r="I506" t="str">
        <v/>
      </c>
    </row>
    <row r="507" spans="1:9" hidden="1" x14ac:dyDescent="0.25">
      <c r="A507" t="s">
        <v>557</v>
      </c>
      <c r="B507" t="s">
        <v>182</v>
      </c>
      <c r="C507">
        <v>4.8</v>
      </c>
      <c r="D507">
        <v>26234</v>
      </c>
      <c r="E507">
        <v>0</v>
      </c>
      <c r="F507">
        <v>2013</v>
      </c>
      <c r="G507" t="s">
        <v>10</v>
      </c>
      <c r="I507" t="str">
        <v/>
      </c>
    </row>
    <row r="508" spans="1:9" hidden="1" x14ac:dyDescent="0.25">
      <c r="A508" t="s">
        <v>557</v>
      </c>
      <c r="B508" t="s">
        <v>182</v>
      </c>
      <c r="C508">
        <v>4.8</v>
      </c>
      <c r="D508">
        <v>26234</v>
      </c>
      <c r="E508">
        <v>0</v>
      </c>
      <c r="F508">
        <v>2014</v>
      </c>
      <c r="G508" t="s">
        <v>10</v>
      </c>
      <c r="I508" t="str">
        <v/>
      </c>
    </row>
    <row r="509" spans="1:9" x14ac:dyDescent="0.25">
      <c r="A509" t="s">
        <v>557</v>
      </c>
      <c r="B509" t="s">
        <v>182</v>
      </c>
      <c r="C509">
        <v>4.8</v>
      </c>
      <c r="D509">
        <v>26234</v>
      </c>
      <c r="E509">
        <v>0</v>
      </c>
      <c r="F509">
        <v>2015</v>
      </c>
      <c r="G509" t="s">
        <v>10</v>
      </c>
      <c r="I509" s="4" t="str">
        <v>To Kill a Mockingbird</v>
      </c>
    </row>
    <row r="510" spans="1:9" x14ac:dyDescent="0.25">
      <c r="A510" t="s">
        <v>557</v>
      </c>
      <c r="B510" t="s">
        <v>182</v>
      </c>
      <c r="C510">
        <v>4.8</v>
      </c>
      <c r="D510">
        <v>26234</v>
      </c>
      <c r="E510">
        <v>0</v>
      </c>
      <c r="F510">
        <v>2016</v>
      </c>
      <c r="G510" t="s">
        <v>10</v>
      </c>
      <c r="I510" s="4" t="str">
        <v>To Kill a Mockingbird</v>
      </c>
    </row>
    <row r="511" spans="1:9" x14ac:dyDescent="0.25">
      <c r="A511" t="s">
        <v>557</v>
      </c>
      <c r="B511" t="s">
        <v>182</v>
      </c>
      <c r="C511">
        <v>4.8</v>
      </c>
      <c r="D511">
        <v>26234</v>
      </c>
      <c r="E511">
        <v>7</v>
      </c>
      <c r="F511">
        <v>2019</v>
      </c>
      <c r="G511" t="s">
        <v>10</v>
      </c>
      <c r="I511" s="4" t="str">
        <v>To Kill a Mockingbird</v>
      </c>
    </row>
    <row r="512" spans="1:9" x14ac:dyDescent="0.25">
      <c r="A512" t="s">
        <v>558</v>
      </c>
      <c r="B512" t="s">
        <v>381</v>
      </c>
      <c r="C512">
        <v>4.5999999999999996</v>
      </c>
      <c r="D512">
        <v>4360</v>
      </c>
      <c r="E512">
        <v>21</v>
      </c>
      <c r="F512">
        <v>2017</v>
      </c>
      <c r="G512" t="s">
        <v>8</v>
      </c>
      <c r="I512" s="4" t="str">
        <v>To Kill a Mockingbird</v>
      </c>
    </row>
    <row r="513" spans="1:9" hidden="1" x14ac:dyDescent="0.25">
      <c r="A513" t="s">
        <v>559</v>
      </c>
      <c r="B513" t="s">
        <v>560</v>
      </c>
      <c r="C513">
        <v>4.8</v>
      </c>
      <c r="D513">
        <v>2282</v>
      </c>
      <c r="E513">
        <v>21</v>
      </c>
      <c r="F513">
        <v>2010</v>
      </c>
      <c r="G513" t="s">
        <v>10</v>
      </c>
      <c r="I513" t="str">
        <v/>
      </c>
    </row>
    <row r="514" spans="1:9" hidden="1" x14ac:dyDescent="0.25">
      <c r="A514" t="s">
        <v>561</v>
      </c>
      <c r="B514" t="s">
        <v>562</v>
      </c>
      <c r="C514">
        <v>4.5</v>
      </c>
      <c r="D514">
        <v>438</v>
      </c>
      <c r="E514">
        <v>15</v>
      </c>
      <c r="F514">
        <v>2009</v>
      </c>
      <c r="G514" t="s">
        <v>8</v>
      </c>
      <c r="I514" t="str">
        <v/>
      </c>
    </row>
    <row r="515" spans="1:9" hidden="1" x14ac:dyDescent="0.25">
      <c r="A515" t="s">
        <v>563</v>
      </c>
      <c r="B515" t="s">
        <v>73</v>
      </c>
      <c r="C515">
        <v>4.7</v>
      </c>
      <c r="D515">
        <v>11676</v>
      </c>
      <c r="E515">
        <v>9</v>
      </c>
      <c r="F515">
        <v>2009</v>
      </c>
      <c r="G515" t="s">
        <v>10</v>
      </c>
      <c r="I515" t="str">
        <v/>
      </c>
    </row>
    <row r="516" spans="1:9" hidden="1" x14ac:dyDescent="0.25">
      <c r="A516" t="s">
        <v>564</v>
      </c>
      <c r="B516" t="s">
        <v>58</v>
      </c>
      <c r="C516">
        <v>4.5</v>
      </c>
      <c r="D516">
        <v>2586</v>
      </c>
      <c r="E516">
        <v>5</v>
      </c>
      <c r="F516">
        <v>2014</v>
      </c>
      <c r="G516" t="s">
        <v>10</v>
      </c>
      <c r="I516" t="str">
        <v/>
      </c>
    </row>
    <row r="517" spans="1:9" hidden="1" x14ac:dyDescent="0.25">
      <c r="A517" t="s">
        <v>565</v>
      </c>
      <c r="B517" t="s">
        <v>566</v>
      </c>
      <c r="C517">
        <v>4.8</v>
      </c>
      <c r="D517">
        <v>29673</v>
      </c>
      <c r="E517">
        <v>16</v>
      </c>
      <c r="F517">
        <v>2010</v>
      </c>
      <c r="G517" t="s">
        <v>8</v>
      </c>
      <c r="I517" t="str">
        <v/>
      </c>
    </row>
    <row r="518" spans="1:9" hidden="1" x14ac:dyDescent="0.25">
      <c r="A518" t="s">
        <v>565</v>
      </c>
      <c r="B518" t="s">
        <v>566</v>
      </c>
      <c r="C518">
        <v>4.8</v>
      </c>
      <c r="D518">
        <v>29673</v>
      </c>
      <c r="E518">
        <v>16</v>
      </c>
      <c r="F518">
        <v>2011</v>
      </c>
      <c r="G518" t="s">
        <v>8</v>
      </c>
      <c r="I518" t="str">
        <v/>
      </c>
    </row>
    <row r="519" spans="1:9" hidden="1" x14ac:dyDescent="0.25">
      <c r="A519" t="s">
        <v>565</v>
      </c>
      <c r="B519" t="s">
        <v>566</v>
      </c>
      <c r="C519">
        <v>4.8</v>
      </c>
      <c r="D519">
        <v>29673</v>
      </c>
      <c r="E519">
        <v>16</v>
      </c>
      <c r="F519">
        <v>2012</v>
      </c>
      <c r="G519" t="s">
        <v>8</v>
      </c>
      <c r="I519" t="str">
        <v/>
      </c>
    </row>
    <row r="520" spans="1:9" hidden="1" x14ac:dyDescent="0.25">
      <c r="A520" t="s">
        <v>565</v>
      </c>
      <c r="B520" t="s">
        <v>566</v>
      </c>
      <c r="C520">
        <v>4.8</v>
      </c>
      <c r="D520">
        <v>29673</v>
      </c>
      <c r="E520">
        <v>13</v>
      </c>
      <c r="F520">
        <v>2014</v>
      </c>
      <c r="G520" t="s">
        <v>8</v>
      </c>
      <c r="I520" t="str">
        <v/>
      </c>
    </row>
    <row r="521" spans="1:9" hidden="1" x14ac:dyDescent="0.25">
      <c r="A521" t="s">
        <v>565</v>
      </c>
      <c r="B521" t="s">
        <v>566</v>
      </c>
      <c r="C521">
        <v>4.8</v>
      </c>
      <c r="D521">
        <v>29673</v>
      </c>
      <c r="E521">
        <v>16</v>
      </c>
      <c r="F521">
        <v>2014</v>
      </c>
      <c r="G521" t="s">
        <v>8</v>
      </c>
      <c r="I521" t="str">
        <v/>
      </c>
    </row>
    <row r="522" spans="1:9" hidden="1" x14ac:dyDescent="0.25">
      <c r="A522" t="s">
        <v>567</v>
      </c>
      <c r="B522" t="s">
        <v>9</v>
      </c>
      <c r="C522">
        <v>4.3</v>
      </c>
      <c r="D522">
        <v>6740</v>
      </c>
      <c r="E522">
        <v>20</v>
      </c>
      <c r="F522">
        <v>2009</v>
      </c>
      <c r="G522" t="s">
        <v>10</v>
      </c>
      <c r="I522" t="str">
        <v/>
      </c>
    </row>
    <row r="523" spans="1:9" hidden="1" x14ac:dyDescent="0.25">
      <c r="A523" t="s">
        <v>568</v>
      </c>
      <c r="B523" t="s">
        <v>277</v>
      </c>
      <c r="C523">
        <v>4.9000000000000004</v>
      </c>
      <c r="D523">
        <v>5956</v>
      </c>
      <c r="E523">
        <v>11</v>
      </c>
      <c r="F523">
        <v>2019</v>
      </c>
      <c r="G523" t="s">
        <v>8</v>
      </c>
      <c r="I523" t="str">
        <v/>
      </c>
    </row>
    <row r="524" spans="1:9" hidden="1" x14ac:dyDescent="0.25">
      <c r="A524" t="s">
        <v>569</v>
      </c>
      <c r="B524" t="s">
        <v>570</v>
      </c>
      <c r="C524">
        <v>4.8</v>
      </c>
      <c r="D524">
        <v>6108</v>
      </c>
      <c r="E524">
        <v>4</v>
      </c>
      <c r="F524">
        <v>2019</v>
      </c>
      <c r="G524" t="s">
        <v>8</v>
      </c>
      <c r="I524" t="str">
        <v/>
      </c>
    </row>
    <row r="525" spans="1:9" hidden="1" x14ac:dyDescent="0.25">
      <c r="A525" t="s">
        <v>571</v>
      </c>
      <c r="B525" t="s">
        <v>249</v>
      </c>
      <c r="C525">
        <v>4.7</v>
      </c>
      <c r="D525">
        <v>4585</v>
      </c>
      <c r="E525">
        <v>9</v>
      </c>
      <c r="F525">
        <v>2016</v>
      </c>
      <c r="G525" t="s">
        <v>8</v>
      </c>
      <c r="I525" t="str">
        <v/>
      </c>
    </row>
    <row r="526" spans="1:9" hidden="1" x14ac:dyDescent="0.25">
      <c r="A526" t="s">
        <v>572</v>
      </c>
      <c r="B526" t="s">
        <v>573</v>
      </c>
      <c r="C526">
        <v>4.8</v>
      </c>
      <c r="D526">
        <v>3829</v>
      </c>
      <c r="E526">
        <v>42</v>
      </c>
      <c r="F526">
        <v>2009</v>
      </c>
      <c r="G526" t="s">
        <v>10</v>
      </c>
      <c r="I526" t="str">
        <v/>
      </c>
    </row>
    <row r="527" spans="1:9" hidden="1" x14ac:dyDescent="0.25">
      <c r="A527" t="s">
        <v>574</v>
      </c>
      <c r="B527" t="s">
        <v>575</v>
      </c>
      <c r="C527">
        <v>4.5</v>
      </c>
      <c r="D527">
        <v>8958</v>
      </c>
      <c r="E527">
        <v>12</v>
      </c>
      <c r="F527">
        <v>2011</v>
      </c>
      <c r="G527" t="s">
        <v>10</v>
      </c>
      <c r="I527" t="str">
        <v/>
      </c>
    </row>
    <row r="528" spans="1:9" hidden="1" x14ac:dyDescent="0.25">
      <c r="A528" t="s">
        <v>576</v>
      </c>
      <c r="B528" t="s">
        <v>577</v>
      </c>
      <c r="C528">
        <v>4.5999999999999996</v>
      </c>
      <c r="D528">
        <v>5492</v>
      </c>
      <c r="E528">
        <v>18</v>
      </c>
      <c r="F528">
        <v>2017</v>
      </c>
      <c r="G528" t="s">
        <v>8</v>
      </c>
      <c r="I528" t="str">
        <v/>
      </c>
    </row>
    <row r="529" spans="1:9" hidden="1" x14ac:dyDescent="0.25">
      <c r="A529" t="s">
        <v>578</v>
      </c>
      <c r="B529" t="s">
        <v>579</v>
      </c>
      <c r="C529">
        <v>4.7</v>
      </c>
      <c r="D529">
        <v>9292</v>
      </c>
      <c r="E529">
        <v>17</v>
      </c>
      <c r="F529">
        <v>2014</v>
      </c>
      <c r="G529" t="s">
        <v>8</v>
      </c>
      <c r="I529" t="str">
        <v/>
      </c>
    </row>
    <row r="530" spans="1:9" hidden="1" x14ac:dyDescent="0.25">
      <c r="A530" t="s">
        <v>580</v>
      </c>
      <c r="B530" t="s">
        <v>317</v>
      </c>
      <c r="C530">
        <v>4.7</v>
      </c>
      <c r="D530">
        <v>1873</v>
      </c>
      <c r="E530">
        <v>14</v>
      </c>
      <c r="F530">
        <v>2015</v>
      </c>
      <c r="G530" t="s">
        <v>10</v>
      </c>
      <c r="I530" t="str">
        <v/>
      </c>
    </row>
    <row r="531" spans="1:9" hidden="1" x14ac:dyDescent="0.25">
      <c r="A531" t="s">
        <v>581</v>
      </c>
      <c r="B531" t="s">
        <v>582</v>
      </c>
      <c r="C531">
        <v>4.8</v>
      </c>
      <c r="D531">
        <v>8170</v>
      </c>
      <c r="E531">
        <v>13</v>
      </c>
      <c r="F531">
        <v>2019</v>
      </c>
      <c r="G531" t="s">
        <v>10</v>
      </c>
      <c r="I531" t="str">
        <v/>
      </c>
    </row>
    <row r="532" spans="1:9" hidden="1" x14ac:dyDescent="0.25">
      <c r="A532" t="s">
        <v>583</v>
      </c>
      <c r="B532" t="s">
        <v>584</v>
      </c>
      <c r="C532">
        <v>4.4000000000000004</v>
      </c>
      <c r="D532">
        <v>3341</v>
      </c>
      <c r="E532">
        <v>9</v>
      </c>
      <c r="F532">
        <v>2011</v>
      </c>
      <c r="G532" t="s">
        <v>8</v>
      </c>
      <c r="I532" t="str">
        <v/>
      </c>
    </row>
    <row r="533" spans="1:9" hidden="1" x14ac:dyDescent="0.25">
      <c r="A533" t="s">
        <v>585</v>
      </c>
      <c r="B533" t="s">
        <v>586</v>
      </c>
      <c r="C533">
        <v>4.4000000000000004</v>
      </c>
      <c r="D533">
        <v>7497</v>
      </c>
      <c r="E533">
        <v>6</v>
      </c>
      <c r="F533">
        <v>2012</v>
      </c>
      <c r="G533" t="s">
        <v>8</v>
      </c>
      <c r="I533" t="str">
        <v/>
      </c>
    </row>
    <row r="534" spans="1:9" hidden="1" x14ac:dyDescent="0.25">
      <c r="A534" t="s">
        <v>585</v>
      </c>
      <c r="B534" t="s">
        <v>586</v>
      </c>
      <c r="C534">
        <v>4.4000000000000004</v>
      </c>
      <c r="D534">
        <v>7497</v>
      </c>
      <c r="E534">
        <v>6</v>
      </c>
      <c r="F534">
        <v>2013</v>
      </c>
      <c r="G534" t="s">
        <v>8</v>
      </c>
      <c r="I534" t="str">
        <v/>
      </c>
    </row>
    <row r="535" spans="1:9" hidden="1" x14ac:dyDescent="0.25">
      <c r="A535" t="s">
        <v>587</v>
      </c>
      <c r="B535" t="s">
        <v>588</v>
      </c>
      <c r="C535">
        <v>4.8</v>
      </c>
      <c r="D535">
        <v>13779</v>
      </c>
      <c r="E535">
        <v>14</v>
      </c>
      <c r="F535">
        <v>2016</v>
      </c>
      <c r="G535" t="s">
        <v>8</v>
      </c>
      <c r="I535" t="str">
        <v/>
      </c>
    </row>
    <row r="536" spans="1:9" hidden="1" x14ac:dyDescent="0.25">
      <c r="A536" t="s">
        <v>589</v>
      </c>
      <c r="B536" t="s">
        <v>590</v>
      </c>
      <c r="C536">
        <v>4.8</v>
      </c>
      <c r="D536">
        <v>87841</v>
      </c>
      <c r="E536">
        <v>15</v>
      </c>
      <c r="F536">
        <v>2019</v>
      </c>
      <c r="G536" t="s">
        <v>10</v>
      </c>
      <c r="I536" t="str">
        <v/>
      </c>
    </row>
    <row r="537" spans="1:9" hidden="1" x14ac:dyDescent="0.25">
      <c r="A537" t="s">
        <v>591</v>
      </c>
      <c r="B537" t="s">
        <v>592</v>
      </c>
      <c r="C537">
        <v>4.8</v>
      </c>
      <c r="D537">
        <v>9967</v>
      </c>
      <c r="E537">
        <v>13</v>
      </c>
      <c r="F537">
        <v>2009</v>
      </c>
      <c r="G537" t="s">
        <v>10</v>
      </c>
      <c r="I537" t="str">
        <v/>
      </c>
    </row>
    <row r="538" spans="1:9" hidden="1" x14ac:dyDescent="0.25">
      <c r="A538" t="s">
        <v>593</v>
      </c>
      <c r="B538" t="s">
        <v>594</v>
      </c>
      <c r="C538">
        <v>4.5999999999999996</v>
      </c>
      <c r="D538">
        <v>6669</v>
      </c>
      <c r="E538">
        <v>12</v>
      </c>
      <c r="F538">
        <v>2018</v>
      </c>
      <c r="G538" t="s">
        <v>8</v>
      </c>
      <c r="I538" t="str">
        <v/>
      </c>
    </row>
    <row r="539" spans="1:9" hidden="1" x14ac:dyDescent="0.25">
      <c r="A539" t="s">
        <v>595</v>
      </c>
      <c r="B539" t="s">
        <v>596</v>
      </c>
      <c r="C539">
        <v>4.4000000000000004</v>
      </c>
      <c r="D539">
        <v>17044</v>
      </c>
      <c r="E539">
        <v>18</v>
      </c>
      <c r="F539">
        <v>2012</v>
      </c>
      <c r="G539" t="s">
        <v>8</v>
      </c>
      <c r="I539" t="str">
        <v/>
      </c>
    </row>
    <row r="540" spans="1:9" hidden="1" x14ac:dyDescent="0.25">
      <c r="A540" t="s">
        <v>597</v>
      </c>
      <c r="B540" t="s">
        <v>598</v>
      </c>
      <c r="C540">
        <v>4.5</v>
      </c>
      <c r="D540">
        <v>10760</v>
      </c>
      <c r="E540">
        <v>15</v>
      </c>
      <c r="F540">
        <v>2012</v>
      </c>
      <c r="G540" t="s">
        <v>10</v>
      </c>
      <c r="I540" t="str">
        <v/>
      </c>
    </row>
    <row r="541" spans="1:9" hidden="1" x14ac:dyDescent="0.25">
      <c r="A541" t="s">
        <v>599</v>
      </c>
      <c r="B541" t="s">
        <v>600</v>
      </c>
      <c r="C541">
        <v>4.2</v>
      </c>
      <c r="D541">
        <v>1302</v>
      </c>
      <c r="E541">
        <v>11</v>
      </c>
      <c r="F541">
        <v>2010</v>
      </c>
      <c r="G541" t="s">
        <v>8</v>
      </c>
      <c r="I541" t="str">
        <v/>
      </c>
    </row>
    <row r="542" spans="1:9" hidden="1" x14ac:dyDescent="0.25">
      <c r="A542" t="s">
        <v>601</v>
      </c>
      <c r="B542" t="s">
        <v>602</v>
      </c>
      <c r="C542">
        <v>4.8</v>
      </c>
      <c r="D542">
        <v>21625</v>
      </c>
      <c r="E542">
        <v>9</v>
      </c>
      <c r="F542">
        <v>2013</v>
      </c>
      <c r="G542" t="s">
        <v>10</v>
      </c>
      <c r="I542" t="str">
        <v/>
      </c>
    </row>
    <row r="543" spans="1:9" hidden="1" x14ac:dyDescent="0.25">
      <c r="A543" t="s">
        <v>601</v>
      </c>
      <c r="B543" t="s">
        <v>602</v>
      </c>
      <c r="C543">
        <v>4.8</v>
      </c>
      <c r="D543">
        <v>21625</v>
      </c>
      <c r="E543">
        <v>9</v>
      </c>
      <c r="F543">
        <v>2014</v>
      </c>
      <c r="G543" t="s">
        <v>10</v>
      </c>
      <c r="I543" t="str">
        <v/>
      </c>
    </row>
    <row r="544" spans="1:9" hidden="1" x14ac:dyDescent="0.25">
      <c r="A544" t="s">
        <v>601</v>
      </c>
      <c r="B544" t="s">
        <v>602</v>
      </c>
      <c r="C544">
        <v>4.8</v>
      </c>
      <c r="D544">
        <v>21625</v>
      </c>
      <c r="E544">
        <v>9</v>
      </c>
      <c r="F544">
        <v>2015</v>
      </c>
      <c r="G544" t="s">
        <v>10</v>
      </c>
      <c r="I544" t="str">
        <v/>
      </c>
    </row>
    <row r="545" spans="1:9" hidden="1" x14ac:dyDescent="0.25">
      <c r="A545" t="s">
        <v>601</v>
      </c>
      <c r="B545" t="s">
        <v>602</v>
      </c>
      <c r="C545">
        <v>4.8</v>
      </c>
      <c r="D545">
        <v>21625</v>
      </c>
      <c r="E545">
        <v>9</v>
      </c>
      <c r="F545">
        <v>2016</v>
      </c>
      <c r="G545" t="s">
        <v>10</v>
      </c>
      <c r="I545" t="str">
        <v/>
      </c>
    </row>
    <row r="546" spans="1:9" hidden="1" x14ac:dyDescent="0.25">
      <c r="A546" t="s">
        <v>601</v>
      </c>
      <c r="B546" t="s">
        <v>602</v>
      </c>
      <c r="C546">
        <v>4.8</v>
      </c>
      <c r="D546">
        <v>21625</v>
      </c>
      <c r="E546">
        <v>9</v>
      </c>
      <c r="F546">
        <v>2017</v>
      </c>
      <c r="G546" t="s">
        <v>10</v>
      </c>
      <c r="I546" t="str">
        <v/>
      </c>
    </row>
    <row r="547" spans="1:9" hidden="1" x14ac:dyDescent="0.25">
      <c r="A547" t="s">
        <v>603</v>
      </c>
      <c r="B547" t="s">
        <v>78</v>
      </c>
      <c r="C547">
        <v>4.9000000000000004</v>
      </c>
      <c r="D547">
        <v>9413</v>
      </c>
      <c r="E547">
        <v>8</v>
      </c>
      <c r="F547">
        <v>2019</v>
      </c>
      <c r="G547" t="s">
        <v>10</v>
      </c>
      <c r="I547" t="str">
        <v/>
      </c>
    </row>
    <row r="548" spans="1:9" hidden="1" x14ac:dyDescent="0.25">
      <c r="A548" t="s">
        <v>604</v>
      </c>
      <c r="B548" t="s">
        <v>605</v>
      </c>
      <c r="C548">
        <v>4.7</v>
      </c>
      <c r="D548">
        <v>14331</v>
      </c>
      <c r="E548">
        <v>8</v>
      </c>
      <c r="F548">
        <v>2016</v>
      </c>
      <c r="G548" t="s">
        <v>8</v>
      </c>
      <c r="I548" t="str">
        <v/>
      </c>
    </row>
    <row r="549" spans="1:9" hidden="1" x14ac:dyDescent="0.25">
      <c r="A549" t="s">
        <v>604</v>
      </c>
      <c r="B549" t="s">
        <v>605</v>
      </c>
      <c r="C549">
        <v>4.7</v>
      </c>
      <c r="D549">
        <v>14331</v>
      </c>
      <c r="E549">
        <v>8</v>
      </c>
      <c r="F549">
        <v>2017</v>
      </c>
      <c r="G549" t="s">
        <v>8</v>
      </c>
      <c r="I549" t="str">
        <v/>
      </c>
    </row>
    <row r="550" spans="1:9" hidden="1" x14ac:dyDescent="0.25">
      <c r="A550" t="s">
        <v>604</v>
      </c>
      <c r="B550" t="s">
        <v>605</v>
      </c>
      <c r="C550">
        <v>4.7</v>
      </c>
      <c r="D550">
        <v>14331</v>
      </c>
      <c r="E550">
        <v>8</v>
      </c>
      <c r="F550">
        <v>2018</v>
      </c>
      <c r="G550" t="s">
        <v>8</v>
      </c>
      <c r="I550" t="str">
        <v/>
      </c>
    </row>
    <row r="551" spans="1:9" hidden="1" x14ac:dyDescent="0.25">
      <c r="A551" t="s">
        <v>604</v>
      </c>
      <c r="B551" t="s">
        <v>605</v>
      </c>
      <c r="C551">
        <v>4.7</v>
      </c>
      <c r="D551">
        <v>14331</v>
      </c>
      <c r="E551">
        <v>8</v>
      </c>
      <c r="F551">
        <v>2019</v>
      </c>
      <c r="G551" t="s">
        <v>8</v>
      </c>
      <c r="I551" t="str">
        <v/>
      </c>
    </row>
    <row r="552" spans="1:9" hidden="1" x14ac:dyDescent="0.25">
      <c r="I552" t="str">
        <v/>
      </c>
    </row>
    <row r="553" spans="1:9" hidden="1" x14ac:dyDescent="0.25">
      <c r="I553" t="str">
        <v/>
      </c>
    </row>
    <row r="554" spans="1:9" hidden="1" x14ac:dyDescent="0.25"/>
    <row r="555" spans="1:9" hidden="1" x14ac:dyDescent="0.25"/>
    <row r="556" spans="1:9" hidden="1" x14ac:dyDescent="0.25"/>
    <row r="557" spans="1:9" hidden="1" x14ac:dyDescent="0.25"/>
    <row r="558" spans="1:9" hidden="1" x14ac:dyDescent="0.25"/>
    <row r="559" spans="1:9" hidden="1" x14ac:dyDescent="0.25"/>
    <row r="560" spans="1:9" hidden="1" x14ac:dyDescent="0.25"/>
    <row r="561" hidden="1" x14ac:dyDescent="0.25"/>
    <row r="562" hidden="1" x14ac:dyDescent="0.25"/>
    <row r="563" hidden="1" x14ac:dyDescent="0.25"/>
  </sheetData>
  <autoFilter ref="A1:I563" xr:uid="{00000000-0001-0000-0000-000000000000}">
    <filterColumn colId="8">
      <customFilters>
        <customFilter operator="notEqual" val=" "/>
      </customFilters>
    </filterColumn>
  </autoFilter>
  <sortState xmlns:xlrd2="http://schemas.microsoft.com/office/spreadsheetml/2017/richdata2" ref="A2:G551">
    <sortCondition ref="A3:A551"/>
  </sortState>
  <conditionalFormatting sqref="D1:D551 D1186:D1048576">
    <cfRule type="cellIs" dxfId="11" priority="6" operator="lessThan">
      <formula>100</formula>
    </cfRule>
  </conditionalFormatting>
  <conditionalFormatting sqref="E2:E1048576">
    <cfRule type="cellIs" dxfId="10" priority="1" operator="notBetween">
      <formula>0</formula>
      <formula>54</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DE53-6DE0-4955-8B76-B11C1704D1AB}">
  <sheetPr filterMode="1"/>
  <dimension ref="A1:I551"/>
  <sheetViews>
    <sheetView topLeftCell="C1" zoomScaleNormal="100" workbookViewId="0">
      <selection activeCell="I1" sqref="I1:I547"/>
    </sheetView>
  </sheetViews>
  <sheetFormatPr defaultRowHeight="15" x14ac:dyDescent="0.25"/>
  <cols>
    <col min="1" max="1" width="29.7109375" customWidth="1"/>
    <col min="2" max="2" width="33.42578125" customWidth="1"/>
    <col min="4" max="4" width="10.7109375" bestFit="1" customWidth="1"/>
    <col min="7" max="8" width="11.140625" bestFit="1" customWidth="1"/>
    <col min="9" max="9" width="112.85546875" bestFit="1" customWidth="1"/>
  </cols>
  <sheetData>
    <row r="1" spans="1:9" s="1" customFormat="1" x14ac:dyDescent="0.25">
      <c r="A1" s="1" t="s">
        <v>0</v>
      </c>
      <c r="B1" s="1" t="s">
        <v>610</v>
      </c>
      <c r="C1" s="1" t="s">
        <v>1</v>
      </c>
      <c r="D1" s="1" t="s">
        <v>2</v>
      </c>
      <c r="E1" s="1" t="s">
        <v>3</v>
      </c>
      <c r="F1" s="1" t="s">
        <v>4</v>
      </c>
      <c r="G1" s="1" t="s">
        <v>5</v>
      </c>
      <c r="H1" s="1" t="s">
        <v>608</v>
      </c>
      <c r="I1" s="11" t="s">
        <v>612</v>
      </c>
    </row>
    <row r="2" spans="1:9" hidden="1" x14ac:dyDescent="0.25">
      <c r="A2" t="s">
        <v>6</v>
      </c>
      <c r="B2" t="s">
        <v>7</v>
      </c>
      <c r="C2">
        <v>4.7</v>
      </c>
      <c r="D2">
        <v>17350</v>
      </c>
      <c r="E2">
        <v>8</v>
      </c>
      <c r="F2">
        <v>2016</v>
      </c>
      <c r="G2" t="s">
        <v>8</v>
      </c>
      <c r="H2">
        <f>MAX(C:C)</f>
        <v>4.9000000000000004</v>
      </c>
      <c r="I2" t="str" cm="1">
        <f t="array" ref="I2:I551">IF(C2:C551=H2,A2:A551,"")</f>
        <v/>
      </c>
    </row>
    <row r="3" spans="1:9" hidden="1" x14ac:dyDescent="0.25">
      <c r="A3" t="s">
        <v>606</v>
      </c>
      <c r="B3" t="s">
        <v>9</v>
      </c>
      <c r="C3">
        <v>4.5999999999999996</v>
      </c>
      <c r="D3">
        <v>2052</v>
      </c>
      <c r="E3">
        <v>22</v>
      </c>
      <c r="F3">
        <v>2011</v>
      </c>
      <c r="G3" t="s">
        <v>10</v>
      </c>
      <c r="I3" t="str">
        <v/>
      </c>
    </row>
    <row r="4" spans="1:9" hidden="1" x14ac:dyDescent="0.25">
      <c r="A4" t="s">
        <v>11</v>
      </c>
      <c r="B4" t="s">
        <v>12</v>
      </c>
      <c r="C4">
        <v>4.7</v>
      </c>
      <c r="D4">
        <v>18979</v>
      </c>
      <c r="E4">
        <v>15</v>
      </c>
      <c r="F4">
        <v>2018</v>
      </c>
      <c r="G4" t="s">
        <v>8</v>
      </c>
      <c r="H4" s="1" t="s">
        <v>8</v>
      </c>
      <c r="I4" s="1" t="str">
        <v/>
      </c>
    </row>
    <row r="5" spans="1:9" hidden="1" x14ac:dyDescent="0.25">
      <c r="A5" t="s">
        <v>13</v>
      </c>
      <c r="B5" t="s">
        <v>14</v>
      </c>
      <c r="C5">
        <v>4.7</v>
      </c>
      <c r="D5">
        <v>21424</v>
      </c>
      <c r="E5">
        <v>6</v>
      </c>
      <c r="F5">
        <v>2017</v>
      </c>
      <c r="G5" t="s">
        <v>10</v>
      </c>
      <c r="H5" s="1" t="s">
        <v>10</v>
      </c>
      <c r="I5" s="1" t="str">
        <v/>
      </c>
    </row>
    <row r="6" spans="1:9" hidden="1" x14ac:dyDescent="0.25">
      <c r="A6" t="s">
        <v>15</v>
      </c>
      <c r="B6" t="s">
        <v>16</v>
      </c>
      <c r="C6">
        <v>4.8</v>
      </c>
      <c r="D6">
        <v>7665</v>
      </c>
      <c r="E6">
        <v>12</v>
      </c>
      <c r="F6">
        <v>2019</v>
      </c>
      <c r="G6" t="s">
        <v>8</v>
      </c>
      <c r="I6" t="str">
        <v/>
      </c>
    </row>
    <row r="7" spans="1:9" hidden="1" x14ac:dyDescent="0.25">
      <c r="A7" t="s">
        <v>17</v>
      </c>
      <c r="B7" t="s">
        <v>18</v>
      </c>
      <c r="C7">
        <v>4.4000000000000004</v>
      </c>
      <c r="D7">
        <v>12643</v>
      </c>
      <c r="E7">
        <v>11</v>
      </c>
      <c r="F7">
        <v>2011</v>
      </c>
      <c r="G7" t="s">
        <v>10</v>
      </c>
      <c r="H7" s="2" t="s">
        <v>608</v>
      </c>
      <c r="I7" s="2" t="str">
        <v/>
      </c>
    </row>
    <row r="8" spans="1:9" hidden="1" x14ac:dyDescent="0.25">
      <c r="A8" t="s">
        <v>19</v>
      </c>
      <c r="B8" t="s">
        <v>18</v>
      </c>
      <c r="C8">
        <v>4.7</v>
      </c>
      <c r="D8">
        <v>19735</v>
      </c>
      <c r="E8">
        <v>30</v>
      </c>
      <c r="F8">
        <v>2014</v>
      </c>
      <c r="G8" t="s">
        <v>10</v>
      </c>
      <c r="H8" s="2">
        <f>MAX(D:D)</f>
        <v>87841</v>
      </c>
      <c r="I8" s="2" t="str">
        <v/>
      </c>
    </row>
    <row r="9" spans="1:9" hidden="1" x14ac:dyDescent="0.25">
      <c r="A9" t="s">
        <v>20</v>
      </c>
      <c r="B9" t="s">
        <v>21</v>
      </c>
      <c r="C9">
        <v>4.7</v>
      </c>
      <c r="D9">
        <v>19699</v>
      </c>
      <c r="E9">
        <v>15</v>
      </c>
      <c r="F9">
        <v>2017</v>
      </c>
      <c r="G9" t="s">
        <v>10</v>
      </c>
      <c r="I9" t="str">
        <v/>
      </c>
    </row>
    <row r="10" spans="1:9" hidden="1" x14ac:dyDescent="0.25">
      <c r="A10" t="s">
        <v>22</v>
      </c>
      <c r="B10" t="s">
        <v>23</v>
      </c>
      <c r="C10">
        <v>4.7</v>
      </c>
      <c r="D10">
        <v>5983</v>
      </c>
      <c r="E10">
        <v>3</v>
      </c>
      <c r="F10">
        <v>2018</v>
      </c>
      <c r="G10" t="s">
        <v>8</v>
      </c>
      <c r="I10" t="str">
        <v/>
      </c>
    </row>
    <row r="11" spans="1:9" hidden="1" x14ac:dyDescent="0.25">
      <c r="A11" t="s">
        <v>24</v>
      </c>
      <c r="B11" t="s">
        <v>25</v>
      </c>
      <c r="C11">
        <v>4.5999999999999996</v>
      </c>
      <c r="D11">
        <v>23848</v>
      </c>
      <c r="E11">
        <v>8</v>
      </c>
      <c r="F11">
        <v>2016</v>
      </c>
      <c r="G11" t="s">
        <v>10</v>
      </c>
      <c r="I11" t="str">
        <v/>
      </c>
    </row>
    <row r="12" spans="1:9" hidden="1" x14ac:dyDescent="0.25">
      <c r="A12" t="s">
        <v>24</v>
      </c>
      <c r="B12" t="s">
        <v>25</v>
      </c>
      <c r="C12">
        <v>4.5999999999999996</v>
      </c>
      <c r="D12">
        <v>23848</v>
      </c>
      <c r="E12">
        <v>8</v>
      </c>
      <c r="F12">
        <v>2017</v>
      </c>
      <c r="G12" t="s">
        <v>10</v>
      </c>
      <c r="I12" t="str">
        <v/>
      </c>
    </row>
    <row r="13" spans="1:9" hidden="1" x14ac:dyDescent="0.25">
      <c r="A13" t="s">
        <v>26</v>
      </c>
      <c r="B13" t="s">
        <v>27</v>
      </c>
      <c r="C13">
        <v>4.5999999999999996</v>
      </c>
      <c r="D13">
        <v>460</v>
      </c>
      <c r="E13">
        <v>2</v>
      </c>
      <c r="F13">
        <v>2010</v>
      </c>
      <c r="G13" t="s">
        <v>8</v>
      </c>
      <c r="I13" t="str">
        <v/>
      </c>
    </row>
    <row r="14" spans="1:9" hidden="1" x14ac:dyDescent="0.25">
      <c r="A14" t="s">
        <v>28</v>
      </c>
      <c r="B14" t="s">
        <v>29</v>
      </c>
      <c r="C14">
        <v>4.5999999999999996</v>
      </c>
      <c r="D14">
        <v>4149</v>
      </c>
      <c r="E14">
        <v>32</v>
      </c>
      <c r="F14">
        <v>2011</v>
      </c>
      <c r="G14" t="s">
        <v>8</v>
      </c>
      <c r="I14" t="str">
        <v/>
      </c>
    </row>
    <row r="15" spans="1:9" hidden="1" x14ac:dyDescent="0.25">
      <c r="A15" t="s">
        <v>30</v>
      </c>
      <c r="B15" t="s">
        <v>31</v>
      </c>
      <c r="C15">
        <v>4.5</v>
      </c>
      <c r="D15">
        <v>5153</v>
      </c>
      <c r="E15">
        <v>5</v>
      </c>
      <c r="F15">
        <v>2018</v>
      </c>
      <c r="G15" t="s">
        <v>10</v>
      </c>
      <c r="I15" t="str">
        <v/>
      </c>
    </row>
    <row r="16" spans="1:9" hidden="1" x14ac:dyDescent="0.25">
      <c r="A16" t="s">
        <v>32</v>
      </c>
      <c r="B16" t="s">
        <v>33</v>
      </c>
      <c r="C16">
        <v>4.5999999999999996</v>
      </c>
      <c r="D16">
        <v>5013</v>
      </c>
      <c r="E16">
        <v>17</v>
      </c>
      <c r="F16">
        <v>2009</v>
      </c>
      <c r="G16" t="s">
        <v>8</v>
      </c>
      <c r="I16" t="str">
        <v/>
      </c>
    </row>
    <row r="17" spans="1:9" hidden="1" x14ac:dyDescent="0.25">
      <c r="A17" t="s">
        <v>34</v>
      </c>
      <c r="B17" t="s">
        <v>35</v>
      </c>
      <c r="C17">
        <v>4.5</v>
      </c>
      <c r="D17">
        <v>2313</v>
      </c>
      <c r="E17">
        <v>4</v>
      </c>
      <c r="F17">
        <v>2016</v>
      </c>
      <c r="G17" t="s">
        <v>8</v>
      </c>
      <c r="I17" t="str">
        <v/>
      </c>
    </row>
    <row r="18" spans="1:9" hidden="1" x14ac:dyDescent="0.25">
      <c r="A18" t="s">
        <v>36</v>
      </c>
      <c r="B18" t="s">
        <v>37</v>
      </c>
      <c r="C18">
        <v>4.5999999999999996</v>
      </c>
      <c r="D18">
        <v>2925</v>
      </c>
      <c r="E18">
        <v>6</v>
      </c>
      <c r="F18">
        <v>2015</v>
      </c>
      <c r="G18" t="s">
        <v>8</v>
      </c>
      <c r="I18" t="str">
        <v/>
      </c>
    </row>
    <row r="19" spans="1:9" hidden="1" x14ac:dyDescent="0.25">
      <c r="A19" t="s">
        <v>38</v>
      </c>
      <c r="B19" t="s">
        <v>37</v>
      </c>
      <c r="C19">
        <v>4.4000000000000004</v>
      </c>
      <c r="D19">
        <v>2951</v>
      </c>
      <c r="E19">
        <v>6</v>
      </c>
      <c r="F19">
        <v>2015</v>
      </c>
      <c r="G19" t="s">
        <v>8</v>
      </c>
      <c r="I19" t="str">
        <v/>
      </c>
    </row>
    <row r="20" spans="1:9" hidden="1" x14ac:dyDescent="0.25">
      <c r="A20" t="s">
        <v>39</v>
      </c>
      <c r="B20" t="s">
        <v>40</v>
      </c>
      <c r="C20">
        <v>4.5</v>
      </c>
      <c r="D20">
        <v>2426</v>
      </c>
      <c r="E20">
        <v>8</v>
      </c>
      <c r="F20">
        <v>2015</v>
      </c>
      <c r="G20" t="s">
        <v>8</v>
      </c>
      <c r="I20" t="str">
        <v/>
      </c>
    </row>
    <row r="21" spans="1:9" hidden="1" x14ac:dyDescent="0.25">
      <c r="A21" t="s">
        <v>41</v>
      </c>
      <c r="B21" t="s">
        <v>42</v>
      </c>
      <c r="C21">
        <v>4.8</v>
      </c>
      <c r="D21">
        <v>9198</v>
      </c>
      <c r="E21">
        <v>13</v>
      </c>
      <c r="F21">
        <v>2016</v>
      </c>
      <c r="G21" t="s">
        <v>8</v>
      </c>
      <c r="I21" t="str">
        <v/>
      </c>
    </row>
    <row r="22" spans="1:9" hidden="1" x14ac:dyDescent="0.25">
      <c r="A22" t="s">
        <v>43</v>
      </c>
      <c r="B22" t="s">
        <v>44</v>
      </c>
      <c r="C22">
        <v>4.5999999999999996</v>
      </c>
      <c r="D22">
        <v>36348</v>
      </c>
      <c r="E22">
        <v>14</v>
      </c>
      <c r="F22">
        <v>2014</v>
      </c>
      <c r="G22" t="s">
        <v>10</v>
      </c>
      <c r="I22" t="str">
        <v/>
      </c>
    </row>
    <row r="23" spans="1:9" hidden="1" x14ac:dyDescent="0.25">
      <c r="A23" t="s">
        <v>43</v>
      </c>
      <c r="B23" t="s">
        <v>44</v>
      </c>
      <c r="C23">
        <v>4.5999999999999996</v>
      </c>
      <c r="D23">
        <v>36348</v>
      </c>
      <c r="E23">
        <v>14</v>
      </c>
      <c r="F23">
        <v>2015</v>
      </c>
      <c r="G23" t="s">
        <v>10</v>
      </c>
      <c r="I23" t="str">
        <v/>
      </c>
    </row>
    <row r="24" spans="1:9" hidden="1" x14ac:dyDescent="0.25">
      <c r="A24" t="s">
        <v>45</v>
      </c>
      <c r="B24" t="s">
        <v>46</v>
      </c>
      <c r="C24">
        <v>3.9</v>
      </c>
      <c r="D24">
        <v>6310</v>
      </c>
      <c r="E24">
        <v>13</v>
      </c>
      <c r="F24">
        <v>2013</v>
      </c>
      <c r="G24" t="s">
        <v>10</v>
      </c>
      <c r="I24" t="str">
        <v/>
      </c>
    </row>
    <row r="25" spans="1:9" hidden="1" x14ac:dyDescent="0.25">
      <c r="A25" t="s">
        <v>47</v>
      </c>
      <c r="B25" t="s">
        <v>48</v>
      </c>
      <c r="C25">
        <v>4.5999999999999996</v>
      </c>
      <c r="D25">
        <v>15921</v>
      </c>
      <c r="E25">
        <v>9</v>
      </c>
      <c r="F25">
        <v>2015</v>
      </c>
      <c r="G25" t="s">
        <v>8</v>
      </c>
      <c r="I25" t="str">
        <v/>
      </c>
    </row>
    <row r="26" spans="1:9" hidden="1" x14ac:dyDescent="0.25">
      <c r="A26" t="s">
        <v>49</v>
      </c>
      <c r="B26" t="s">
        <v>50</v>
      </c>
      <c r="C26">
        <v>4.3</v>
      </c>
      <c r="D26">
        <v>12159</v>
      </c>
      <c r="E26">
        <v>13</v>
      </c>
      <c r="F26">
        <v>2013</v>
      </c>
      <c r="G26" t="s">
        <v>10</v>
      </c>
      <c r="I26" t="str">
        <v/>
      </c>
    </row>
    <row r="27" spans="1:9" hidden="1" x14ac:dyDescent="0.25">
      <c r="A27" t="s">
        <v>51</v>
      </c>
      <c r="B27" t="s">
        <v>52</v>
      </c>
      <c r="C27">
        <v>4.5999999999999996</v>
      </c>
      <c r="D27">
        <v>798</v>
      </c>
      <c r="E27">
        <v>5</v>
      </c>
      <c r="F27">
        <v>2009</v>
      </c>
      <c r="G27" t="s">
        <v>8</v>
      </c>
      <c r="I27" t="str">
        <v/>
      </c>
    </row>
    <row r="28" spans="1:9" hidden="1" x14ac:dyDescent="0.25">
      <c r="A28" t="s">
        <v>53</v>
      </c>
      <c r="B28" t="s">
        <v>54</v>
      </c>
      <c r="C28">
        <v>4.7</v>
      </c>
      <c r="D28">
        <v>9374</v>
      </c>
      <c r="E28">
        <v>9</v>
      </c>
      <c r="F28">
        <v>2017</v>
      </c>
      <c r="G28" t="s">
        <v>8</v>
      </c>
      <c r="I28" t="str">
        <v/>
      </c>
    </row>
    <row r="29" spans="1:9" hidden="1" x14ac:dyDescent="0.25">
      <c r="A29" t="s">
        <v>55</v>
      </c>
      <c r="B29" t="s">
        <v>56</v>
      </c>
      <c r="C29">
        <v>4.2</v>
      </c>
      <c r="D29">
        <v>491</v>
      </c>
      <c r="E29">
        <v>14</v>
      </c>
      <c r="F29">
        <v>2010</v>
      </c>
      <c r="G29" t="s">
        <v>8</v>
      </c>
      <c r="I29" t="str">
        <v/>
      </c>
    </row>
    <row r="30" spans="1:9" hidden="1" x14ac:dyDescent="0.25">
      <c r="A30" t="s">
        <v>57</v>
      </c>
      <c r="B30" t="s">
        <v>58</v>
      </c>
      <c r="C30">
        <v>4.5999999999999996</v>
      </c>
      <c r="D30">
        <v>5360</v>
      </c>
      <c r="E30">
        <v>5</v>
      </c>
      <c r="F30">
        <v>2015</v>
      </c>
      <c r="G30" t="s">
        <v>8</v>
      </c>
      <c r="I30" t="str">
        <v/>
      </c>
    </row>
    <row r="31" spans="1:9" hidden="1" x14ac:dyDescent="0.25">
      <c r="A31" t="s">
        <v>59</v>
      </c>
      <c r="B31" t="s">
        <v>60</v>
      </c>
      <c r="C31">
        <v>4.5999999999999996</v>
      </c>
      <c r="D31">
        <v>1909</v>
      </c>
      <c r="E31">
        <v>11</v>
      </c>
      <c r="F31">
        <v>2015</v>
      </c>
      <c r="G31" t="s">
        <v>8</v>
      </c>
      <c r="I31" t="str">
        <v/>
      </c>
    </row>
    <row r="32" spans="1:9" hidden="1" x14ac:dyDescent="0.25">
      <c r="A32" t="s">
        <v>61</v>
      </c>
      <c r="B32" t="s">
        <v>62</v>
      </c>
      <c r="C32">
        <v>4.8</v>
      </c>
      <c r="D32">
        <v>1296</v>
      </c>
      <c r="E32">
        <v>24</v>
      </c>
      <c r="F32">
        <v>2012</v>
      </c>
      <c r="G32" t="s">
        <v>8</v>
      </c>
      <c r="I32" t="str">
        <v/>
      </c>
    </row>
    <row r="33" spans="1:9" hidden="1" x14ac:dyDescent="0.25">
      <c r="A33" t="s">
        <v>63</v>
      </c>
      <c r="B33" t="s">
        <v>62</v>
      </c>
      <c r="C33">
        <v>4.7</v>
      </c>
      <c r="D33">
        <v>615</v>
      </c>
      <c r="E33">
        <v>21</v>
      </c>
      <c r="F33">
        <v>2010</v>
      </c>
      <c r="G33" t="s">
        <v>8</v>
      </c>
      <c r="I33" t="str">
        <v/>
      </c>
    </row>
    <row r="34" spans="1:9" hidden="1" x14ac:dyDescent="0.25">
      <c r="A34" t="s">
        <v>64</v>
      </c>
      <c r="B34" t="s">
        <v>65</v>
      </c>
      <c r="C34">
        <v>4.8</v>
      </c>
      <c r="D34">
        <v>61133</v>
      </c>
      <c r="E34">
        <v>11</v>
      </c>
      <c r="F34">
        <v>2018</v>
      </c>
      <c r="G34" t="s">
        <v>8</v>
      </c>
      <c r="I34" t="str">
        <v/>
      </c>
    </row>
    <row r="35" spans="1:9" hidden="1" x14ac:dyDescent="0.25">
      <c r="A35" t="s">
        <v>64</v>
      </c>
      <c r="B35" t="s">
        <v>65</v>
      </c>
      <c r="C35">
        <v>4.8</v>
      </c>
      <c r="D35">
        <v>61133</v>
      </c>
      <c r="E35">
        <v>11</v>
      </c>
      <c r="F35">
        <v>2019</v>
      </c>
      <c r="G35" t="s">
        <v>8</v>
      </c>
      <c r="I35" t="str">
        <v/>
      </c>
    </row>
    <row r="36" spans="1:9" hidden="1" x14ac:dyDescent="0.25">
      <c r="A36" t="s">
        <v>66</v>
      </c>
      <c r="B36" t="s">
        <v>67</v>
      </c>
      <c r="C36">
        <v>4.8</v>
      </c>
      <c r="D36">
        <v>11113</v>
      </c>
      <c r="E36">
        <v>15</v>
      </c>
      <c r="F36">
        <v>2015</v>
      </c>
      <c r="G36" t="s">
        <v>8</v>
      </c>
      <c r="I36" t="str">
        <v/>
      </c>
    </row>
    <row r="37" spans="1:9" hidden="1" x14ac:dyDescent="0.25">
      <c r="A37" t="s">
        <v>68</v>
      </c>
      <c r="B37" t="s">
        <v>69</v>
      </c>
      <c r="C37">
        <v>4.7</v>
      </c>
      <c r="D37">
        <v>10070</v>
      </c>
      <c r="E37">
        <v>13</v>
      </c>
      <c r="F37">
        <v>2015</v>
      </c>
      <c r="G37" t="s">
        <v>8</v>
      </c>
      <c r="I37" t="str">
        <v/>
      </c>
    </row>
    <row r="38" spans="1:9" hidden="1" x14ac:dyDescent="0.25">
      <c r="A38" t="s">
        <v>68</v>
      </c>
      <c r="B38" t="s">
        <v>69</v>
      </c>
      <c r="C38">
        <v>4.7</v>
      </c>
      <c r="D38">
        <v>10070</v>
      </c>
      <c r="E38">
        <v>13</v>
      </c>
      <c r="F38">
        <v>2016</v>
      </c>
      <c r="G38" t="s">
        <v>8</v>
      </c>
      <c r="I38" t="str">
        <v/>
      </c>
    </row>
    <row r="39" spans="1:9" hidden="1" x14ac:dyDescent="0.25">
      <c r="A39" t="s">
        <v>70</v>
      </c>
      <c r="B39" t="s">
        <v>71</v>
      </c>
      <c r="C39">
        <v>4.7</v>
      </c>
      <c r="D39">
        <v>3729</v>
      </c>
      <c r="E39">
        <v>18</v>
      </c>
      <c r="F39">
        <v>2016</v>
      </c>
      <c r="G39" t="s">
        <v>8</v>
      </c>
      <c r="I39" t="str">
        <v/>
      </c>
    </row>
    <row r="40" spans="1:9" hidden="1" x14ac:dyDescent="0.25">
      <c r="A40" t="s">
        <v>72</v>
      </c>
      <c r="B40" t="s">
        <v>73</v>
      </c>
      <c r="C40">
        <v>4.5999999999999996</v>
      </c>
      <c r="D40">
        <v>9769</v>
      </c>
      <c r="E40">
        <v>13</v>
      </c>
      <c r="F40">
        <v>2009</v>
      </c>
      <c r="G40" t="s">
        <v>10</v>
      </c>
      <c r="I40" t="str">
        <v/>
      </c>
    </row>
    <row r="41" spans="1:9" hidden="1" x14ac:dyDescent="0.25">
      <c r="A41" t="s">
        <v>74</v>
      </c>
      <c r="B41" t="s">
        <v>52</v>
      </c>
      <c r="C41">
        <v>4.5</v>
      </c>
      <c r="D41">
        <v>471</v>
      </c>
      <c r="E41">
        <v>8</v>
      </c>
      <c r="F41">
        <v>2010</v>
      </c>
      <c r="G41" t="s">
        <v>8</v>
      </c>
      <c r="I41" t="str">
        <v/>
      </c>
    </row>
    <row r="42" spans="1:9" x14ac:dyDescent="0.25">
      <c r="A42" t="s">
        <v>75</v>
      </c>
      <c r="B42" t="s">
        <v>76</v>
      </c>
      <c r="C42">
        <v>4.9000000000000004</v>
      </c>
      <c r="D42">
        <v>14344</v>
      </c>
      <c r="E42">
        <v>5</v>
      </c>
      <c r="F42">
        <v>2017</v>
      </c>
      <c r="G42" t="s">
        <v>10</v>
      </c>
      <c r="I42" s="4" t="str">
        <v>Brown Bear, Brown Bear, What Do You See?</v>
      </c>
    </row>
    <row r="43" spans="1:9" x14ac:dyDescent="0.25">
      <c r="A43" t="s">
        <v>75</v>
      </c>
      <c r="B43" t="s">
        <v>76</v>
      </c>
      <c r="C43">
        <v>4.9000000000000004</v>
      </c>
      <c r="D43">
        <v>14344</v>
      </c>
      <c r="E43">
        <v>5</v>
      </c>
      <c r="F43">
        <v>2019</v>
      </c>
      <c r="G43" t="s">
        <v>10</v>
      </c>
      <c r="I43" s="4" t="str">
        <v>Brown Bear, Brown Bear, What Do You See?</v>
      </c>
    </row>
    <row r="44" spans="1:9" hidden="1" x14ac:dyDescent="0.25">
      <c r="A44" t="s">
        <v>77</v>
      </c>
      <c r="B44" t="s">
        <v>78</v>
      </c>
      <c r="C44">
        <v>4.8</v>
      </c>
      <c r="D44">
        <v>4505</v>
      </c>
      <c r="E44">
        <v>0</v>
      </c>
      <c r="F44">
        <v>2011</v>
      </c>
      <c r="G44" t="s">
        <v>10</v>
      </c>
      <c r="I44" t="str">
        <v/>
      </c>
    </row>
    <row r="45" spans="1:9" hidden="1" x14ac:dyDescent="0.25">
      <c r="A45" t="s">
        <v>79</v>
      </c>
      <c r="B45" t="s">
        <v>80</v>
      </c>
      <c r="C45">
        <v>4.5999999999999996</v>
      </c>
      <c r="D45">
        <v>10369</v>
      </c>
      <c r="E45">
        <v>4</v>
      </c>
      <c r="F45">
        <v>2016</v>
      </c>
      <c r="G45" t="s">
        <v>8</v>
      </c>
      <c r="I45" t="str">
        <v/>
      </c>
    </row>
    <row r="46" spans="1:9" hidden="1" x14ac:dyDescent="0.25">
      <c r="A46" t="s">
        <v>81</v>
      </c>
      <c r="B46" t="s">
        <v>82</v>
      </c>
      <c r="C46">
        <v>4.8</v>
      </c>
      <c r="D46">
        <v>16244</v>
      </c>
      <c r="E46">
        <v>18</v>
      </c>
      <c r="F46">
        <v>2019</v>
      </c>
      <c r="G46" t="s">
        <v>8</v>
      </c>
      <c r="I46" t="str">
        <v/>
      </c>
    </row>
    <row r="47" spans="1:9" hidden="1" x14ac:dyDescent="0.25">
      <c r="A47" t="s">
        <v>83</v>
      </c>
      <c r="B47" t="s">
        <v>84</v>
      </c>
      <c r="C47">
        <v>4.5</v>
      </c>
      <c r="D47">
        <v>2884</v>
      </c>
      <c r="E47">
        <v>28</v>
      </c>
      <c r="F47">
        <v>2014</v>
      </c>
      <c r="G47" t="s">
        <v>8</v>
      </c>
      <c r="I47" t="str">
        <v/>
      </c>
    </row>
    <row r="48" spans="1:9" hidden="1" x14ac:dyDescent="0.25">
      <c r="A48" t="s">
        <v>85</v>
      </c>
      <c r="B48" t="s">
        <v>86</v>
      </c>
      <c r="C48">
        <v>4.7</v>
      </c>
      <c r="D48">
        <v>22614</v>
      </c>
      <c r="E48">
        <v>11</v>
      </c>
      <c r="F48">
        <v>2010</v>
      </c>
      <c r="G48" t="s">
        <v>10</v>
      </c>
      <c r="I48" t="str">
        <v/>
      </c>
    </row>
    <row r="49" spans="1:9" hidden="1" x14ac:dyDescent="0.25">
      <c r="A49" t="s">
        <v>85</v>
      </c>
      <c r="B49" t="s">
        <v>86</v>
      </c>
      <c r="C49">
        <v>4.7</v>
      </c>
      <c r="D49">
        <v>22614</v>
      </c>
      <c r="E49">
        <v>11</v>
      </c>
      <c r="F49">
        <v>2011</v>
      </c>
      <c r="G49" t="s">
        <v>10</v>
      </c>
      <c r="I49" t="str">
        <v/>
      </c>
    </row>
    <row r="50" spans="1:9" hidden="1" x14ac:dyDescent="0.25">
      <c r="A50" t="s">
        <v>85</v>
      </c>
      <c r="B50" t="s">
        <v>86</v>
      </c>
      <c r="C50">
        <v>4.7</v>
      </c>
      <c r="D50">
        <v>22614</v>
      </c>
      <c r="E50">
        <v>11</v>
      </c>
      <c r="F50">
        <v>2012</v>
      </c>
      <c r="G50" t="s">
        <v>10</v>
      </c>
      <c r="I50" t="str">
        <v/>
      </c>
    </row>
    <row r="51" spans="1:9" hidden="1" x14ac:dyDescent="0.25">
      <c r="A51" t="s">
        <v>87</v>
      </c>
      <c r="B51" t="s">
        <v>88</v>
      </c>
      <c r="C51">
        <v>4.7</v>
      </c>
      <c r="D51">
        <v>4761</v>
      </c>
      <c r="E51">
        <v>16</v>
      </c>
      <c r="F51">
        <v>2016</v>
      </c>
      <c r="G51" t="s">
        <v>8</v>
      </c>
      <c r="I51" t="str">
        <v/>
      </c>
    </row>
    <row r="52" spans="1:9" hidden="1" x14ac:dyDescent="0.25">
      <c r="A52" t="s">
        <v>89</v>
      </c>
      <c r="B52" t="s">
        <v>90</v>
      </c>
      <c r="C52">
        <v>4.7</v>
      </c>
      <c r="D52">
        <v>1542</v>
      </c>
      <c r="E52">
        <v>14</v>
      </c>
      <c r="F52">
        <v>2009</v>
      </c>
      <c r="G52" t="s">
        <v>8</v>
      </c>
      <c r="I52" t="str">
        <v/>
      </c>
    </row>
    <row r="53" spans="1:9" hidden="1" x14ac:dyDescent="0.25">
      <c r="A53" t="s">
        <v>89</v>
      </c>
      <c r="B53" t="s">
        <v>90</v>
      </c>
      <c r="C53">
        <v>4.7</v>
      </c>
      <c r="D53">
        <v>1542</v>
      </c>
      <c r="E53">
        <v>14</v>
      </c>
      <c r="F53">
        <v>2010</v>
      </c>
      <c r="G53" t="s">
        <v>8</v>
      </c>
      <c r="I53" t="str">
        <v/>
      </c>
    </row>
    <row r="54" spans="1:9" hidden="1" x14ac:dyDescent="0.25">
      <c r="A54" t="s">
        <v>89</v>
      </c>
      <c r="B54" t="s">
        <v>90</v>
      </c>
      <c r="C54">
        <v>4.7</v>
      </c>
      <c r="D54">
        <v>1542</v>
      </c>
      <c r="E54">
        <v>14</v>
      </c>
      <c r="F54">
        <v>2011</v>
      </c>
      <c r="G54" t="s">
        <v>8</v>
      </c>
      <c r="I54" t="str">
        <v/>
      </c>
    </row>
    <row r="55" spans="1:9" hidden="1" x14ac:dyDescent="0.25">
      <c r="A55" t="s">
        <v>91</v>
      </c>
      <c r="B55" t="s">
        <v>92</v>
      </c>
      <c r="C55">
        <v>4.3</v>
      </c>
      <c r="D55">
        <v>6143</v>
      </c>
      <c r="E55">
        <v>8</v>
      </c>
      <c r="F55">
        <v>2018</v>
      </c>
      <c r="G55" t="s">
        <v>10</v>
      </c>
      <c r="I55" t="str">
        <v/>
      </c>
    </row>
    <row r="56" spans="1:9" hidden="1" x14ac:dyDescent="0.25">
      <c r="A56" t="s">
        <v>93</v>
      </c>
      <c r="B56" t="s">
        <v>94</v>
      </c>
      <c r="C56">
        <v>4.8</v>
      </c>
      <c r="D56">
        <v>4022</v>
      </c>
      <c r="E56">
        <v>4</v>
      </c>
      <c r="F56">
        <v>2015</v>
      </c>
      <c r="G56" t="s">
        <v>8</v>
      </c>
      <c r="I56" t="str">
        <v/>
      </c>
    </row>
    <row r="57" spans="1:9" hidden="1" x14ac:dyDescent="0.25">
      <c r="A57" t="s">
        <v>95</v>
      </c>
      <c r="B57" t="s">
        <v>94</v>
      </c>
      <c r="C57">
        <v>4.8</v>
      </c>
      <c r="D57">
        <v>3871</v>
      </c>
      <c r="E57">
        <v>5</v>
      </c>
      <c r="F57">
        <v>2015</v>
      </c>
      <c r="G57" t="s">
        <v>8</v>
      </c>
      <c r="I57" t="str">
        <v/>
      </c>
    </row>
    <row r="58" spans="1:9" hidden="1" x14ac:dyDescent="0.25">
      <c r="A58" t="s">
        <v>96</v>
      </c>
      <c r="B58" t="s">
        <v>97</v>
      </c>
      <c r="C58">
        <v>4.5999999999999996</v>
      </c>
      <c r="D58">
        <v>4866</v>
      </c>
      <c r="E58">
        <v>11</v>
      </c>
      <c r="F58">
        <v>2010</v>
      </c>
      <c r="G58" t="s">
        <v>10</v>
      </c>
      <c r="I58" t="str">
        <v/>
      </c>
    </row>
    <row r="59" spans="1:9" hidden="1" x14ac:dyDescent="0.25">
      <c r="A59" t="s">
        <v>96</v>
      </c>
      <c r="B59" t="s">
        <v>97</v>
      </c>
      <c r="C59">
        <v>4.5999999999999996</v>
      </c>
      <c r="D59">
        <v>4866</v>
      </c>
      <c r="E59">
        <v>11</v>
      </c>
      <c r="F59">
        <v>2011</v>
      </c>
      <c r="G59" t="s">
        <v>10</v>
      </c>
      <c r="I59" t="str">
        <v/>
      </c>
    </row>
    <row r="60" spans="1:9" hidden="1" x14ac:dyDescent="0.25">
      <c r="A60" t="s">
        <v>98</v>
      </c>
      <c r="B60" t="s">
        <v>99</v>
      </c>
      <c r="C60">
        <v>4.8</v>
      </c>
      <c r="D60">
        <v>1329</v>
      </c>
      <c r="E60">
        <v>10</v>
      </c>
      <c r="F60">
        <v>2013</v>
      </c>
      <c r="G60" t="s">
        <v>8</v>
      </c>
      <c r="I60" t="str">
        <v/>
      </c>
    </row>
    <row r="61" spans="1:9" hidden="1" x14ac:dyDescent="0.25">
      <c r="A61" t="s">
        <v>100</v>
      </c>
      <c r="B61" t="s">
        <v>101</v>
      </c>
      <c r="C61">
        <v>4.4000000000000004</v>
      </c>
      <c r="D61">
        <v>4642</v>
      </c>
      <c r="E61">
        <v>13</v>
      </c>
      <c r="F61">
        <v>2013</v>
      </c>
      <c r="G61" t="s">
        <v>8</v>
      </c>
      <c r="I61" t="str">
        <v/>
      </c>
    </row>
    <row r="62" spans="1:9" hidden="1" x14ac:dyDescent="0.25">
      <c r="A62" t="s">
        <v>102</v>
      </c>
      <c r="B62" t="s">
        <v>103</v>
      </c>
      <c r="C62">
        <v>4.5999999999999996</v>
      </c>
      <c r="D62">
        <v>1541</v>
      </c>
      <c r="E62">
        <v>4</v>
      </c>
      <c r="F62">
        <v>2009</v>
      </c>
      <c r="G62" t="s">
        <v>10</v>
      </c>
      <c r="I62" t="str">
        <v/>
      </c>
    </row>
    <row r="63" spans="1:9" hidden="1" x14ac:dyDescent="0.25">
      <c r="A63" t="s">
        <v>104</v>
      </c>
      <c r="B63" t="s">
        <v>103</v>
      </c>
      <c r="C63">
        <v>4.3</v>
      </c>
      <c r="D63">
        <v>1924</v>
      </c>
      <c r="E63">
        <v>8</v>
      </c>
      <c r="F63">
        <v>2010</v>
      </c>
      <c r="G63" t="s">
        <v>10</v>
      </c>
      <c r="I63" t="str">
        <v/>
      </c>
    </row>
    <row r="64" spans="1:9" hidden="1" x14ac:dyDescent="0.25">
      <c r="A64" t="s">
        <v>105</v>
      </c>
      <c r="B64" t="s">
        <v>103</v>
      </c>
      <c r="C64">
        <v>4.2</v>
      </c>
      <c r="D64">
        <v>2094</v>
      </c>
      <c r="E64">
        <v>4</v>
      </c>
      <c r="F64">
        <v>2011</v>
      </c>
      <c r="G64" t="s">
        <v>10</v>
      </c>
      <c r="I64" t="str">
        <v/>
      </c>
    </row>
    <row r="65" spans="1:9" hidden="1" x14ac:dyDescent="0.25">
      <c r="A65" t="s">
        <v>106</v>
      </c>
      <c r="B65" t="s">
        <v>107</v>
      </c>
      <c r="C65">
        <v>4.8</v>
      </c>
      <c r="D65">
        <v>10922</v>
      </c>
      <c r="E65">
        <v>5</v>
      </c>
      <c r="F65">
        <v>2015</v>
      </c>
      <c r="G65" t="s">
        <v>10</v>
      </c>
      <c r="I65" t="str">
        <v/>
      </c>
    </row>
    <row r="66" spans="1:9" hidden="1" x14ac:dyDescent="0.25">
      <c r="A66" t="s">
        <v>106</v>
      </c>
      <c r="B66" t="s">
        <v>107</v>
      </c>
      <c r="C66">
        <v>4.8</v>
      </c>
      <c r="D66">
        <v>10922</v>
      </c>
      <c r="E66">
        <v>5</v>
      </c>
      <c r="F66">
        <v>2016</v>
      </c>
      <c r="G66" t="s">
        <v>10</v>
      </c>
      <c r="I66" t="str">
        <v/>
      </c>
    </row>
    <row r="67" spans="1:9" hidden="1" x14ac:dyDescent="0.25">
      <c r="A67" t="s">
        <v>106</v>
      </c>
      <c r="B67" t="s">
        <v>107</v>
      </c>
      <c r="C67">
        <v>4.8</v>
      </c>
      <c r="D67">
        <v>10922</v>
      </c>
      <c r="E67">
        <v>5</v>
      </c>
      <c r="F67">
        <v>2017</v>
      </c>
      <c r="G67" t="s">
        <v>10</v>
      </c>
      <c r="I67" t="str">
        <v/>
      </c>
    </row>
    <row r="68" spans="1:9" hidden="1" x14ac:dyDescent="0.25">
      <c r="A68" t="s">
        <v>106</v>
      </c>
      <c r="B68" t="s">
        <v>107</v>
      </c>
      <c r="C68">
        <v>4.8</v>
      </c>
      <c r="D68">
        <v>10922</v>
      </c>
      <c r="E68">
        <v>5</v>
      </c>
      <c r="F68">
        <v>2018</v>
      </c>
      <c r="G68" t="s">
        <v>10</v>
      </c>
      <c r="I68" t="str">
        <v/>
      </c>
    </row>
    <row r="69" spans="1:9" hidden="1" x14ac:dyDescent="0.25">
      <c r="A69" t="s">
        <v>108</v>
      </c>
      <c r="B69" t="s">
        <v>109</v>
      </c>
      <c r="C69">
        <v>4.5999999999999996</v>
      </c>
      <c r="D69">
        <v>2137</v>
      </c>
      <c r="E69">
        <v>17</v>
      </c>
      <c r="F69">
        <v>2010</v>
      </c>
      <c r="G69" t="s">
        <v>8</v>
      </c>
      <c r="I69" t="str">
        <v/>
      </c>
    </row>
    <row r="70" spans="1:9" hidden="1" x14ac:dyDescent="0.25">
      <c r="A70" t="s">
        <v>110</v>
      </c>
      <c r="B70" t="s">
        <v>111</v>
      </c>
      <c r="C70">
        <v>4.5999999999999996</v>
      </c>
      <c r="D70">
        <v>1651</v>
      </c>
      <c r="E70">
        <v>15</v>
      </c>
      <c r="F70">
        <v>2010</v>
      </c>
      <c r="G70" t="s">
        <v>8</v>
      </c>
      <c r="I70" t="str">
        <v/>
      </c>
    </row>
    <row r="71" spans="1:9" hidden="1" x14ac:dyDescent="0.25">
      <c r="A71" t="s">
        <v>112</v>
      </c>
      <c r="B71" t="s">
        <v>113</v>
      </c>
      <c r="C71">
        <v>4.5</v>
      </c>
      <c r="D71">
        <v>6679</v>
      </c>
      <c r="E71">
        <v>105</v>
      </c>
      <c r="F71">
        <v>2013</v>
      </c>
      <c r="G71" t="s">
        <v>8</v>
      </c>
      <c r="I71" t="str">
        <v/>
      </c>
    </row>
    <row r="72" spans="1:9" hidden="1" x14ac:dyDescent="0.25">
      <c r="A72" t="s">
        <v>112</v>
      </c>
      <c r="B72" t="s">
        <v>113</v>
      </c>
      <c r="C72">
        <v>4.5</v>
      </c>
      <c r="D72">
        <v>6679</v>
      </c>
      <c r="E72">
        <v>105</v>
      </c>
      <c r="F72">
        <v>2014</v>
      </c>
      <c r="G72" t="s">
        <v>8</v>
      </c>
      <c r="I72" t="str">
        <v/>
      </c>
    </row>
    <row r="73" spans="1:9" hidden="1" x14ac:dyDescent="0.25">
      <c r="A73" t="s">
        <v>114</v>
      </c>
      <c r="B73" t="s">
        <v>78</v>
      </c>
      <c r="C73">
        <v>4.8</v>
      </c>
      <c r="D73">
        <v>6812</v>
      </c>
      <c r="E73">
        <v>0</v>
      </c>
      <c r="F73">
        <v>2013</v>
      </c>
      <c r="G73" t="s">
        <v>10</v>
      </c>
      <c r="I73" t="str">
        <v/>
      </c>
    </row>
    <row r="74" spans="1:9" hidden="1" x14ac:dyDescent="0.25">
      <c r="A74" t="s">
        <v>115</v>
      </c>
      <c r="B74" t="s">
        <v>78</v>
      </c>
      <c r="C74">
        <v>4.8</v>
      </c>
      <c r="D74">
        <v>3837</v>
      </c>
      <c r="E74">
        <v>15</v>
      </c>
      <c r="F74">
        <v>2009</v>
      </c>
      <c r="G74" t="s">
        <v>10</v>
      </c>
      <c r="I74" t="str">
        <v/>
      </c>
    </row>
    <row r="75" spans="1:9" hidden="1" x14ac:dyDescent="0.25">
      <c r="A75" t="s">
        <v>116</v>
      </c>
      <c r="B75" t="s">
        <v>78</v>
      </c>
      <c r="C75">
        <v>4.8</v>
      </c>
      <c r="D75">
        <v>6540</v>
      </c>
      <c r="E75">
        <v>22</v>
      </c>
      <c r="F75">
        <v>2014</v>
      </c>
      <c r="G75" t="s">
        <v>10</v>
      </c>
      <c r="I75" t="str">
        <v/>
      </c>
    </row>
    <row r="76" spans="1:9" hidden="1" x14ac:dyDescent="0.25">
      <c r="A76" t="s">
        <v>117</v>
      </c>
      <c r="B76" t="s">
        <v>118</v>
      </c>
      <c r="C76">
        <v>4.5999999999999996</v>
      </c>
      <c r="D76">
        <v>7955</v>
      </c>
      <c r="E76">
        <v>5</v>
      </c>
      <c r="F76">
        <v>2019</v>
      </c>
      <c r="G76" t="s">
        <v>8</v>
      </c>
      <c r="I76" t="str">
        <v/>
      </c>
    </row>
    <row r="77" spans="1:9" hidden="1" x14ac:dyDescent="0.25">
      <c r="A77" t="s">
        <v>119</v>
      </c>
      <c r="B77" t="s">
        <v>46</v>
      </c>
      <c r="C77">
        <v>4.5999999999999996</v>
      </c>
      <c r="D77">
        <v>27098</v>
      </c>
      <c r="E77">
        <v>15</v>
      </c>
      <c r="F77">
        <v>2013</v>
      </c>
      <c r="G77" t="s">
        <v>10</v>
      </c>
      <c r="I77" t="str">
        <v/>
      </c>
    </row>
    <row r="78" spans="1:9" hidden="1" x14ac:dyDescent="0.25">
      <c r="A78" t="s">
        <v>119</v>
      </c>
      <c r="B78" t="s">
        <v>46</v>
      </c>
      <c r="C78">
        <v>4.5999999999999996</v>
      </c>
      <c r="D78">
        <v>27098</v>
      </c>
      <c r="E78">
        <v>15</v>
      </c>
      <c r="F78">
        <v>2014</v>
      </c>
      <c r="G78" t="s">
        <v>10</v>
      </c>
      <c r="I78" t="str">
        <v/>
      </c>
    </row>
    <row r="79" spans="1:9" hidden="1" x14ac:dyDescent="0.25">
      <c r="A79" t="s">
        <v>120</v>
      </c>
      <c r="B79" t="s">
        <v>46</v>
      </c>
      <c r="C79">
        <v>4.5</v>
      </c>
      <c r="D79">
        <v>17684</v>
      </c>
      <c r="E79">
        <v>6</v>
      </c>
      <c r="F79">
        <v>2014</v>
      </c>
      <c r="G79" t="s">
        <v>10</v>
      </c>
      <c r="I79" t="str">
        <v/>
      </c>
    </row>
    <row r="80" spans="1:9" hidden="1" x14ac:dyDescent="0.25">
      <c r="A80" t="s">
        <v>121</v>
      </c>
      <c r="B80" t="s">
        <v>122</v>
      </c>
      <c r="C80">
        <v>4.5999999999999996</v>
      </c>
      <c r="D80">
        <v>37</v>
      </c>
      <c r="E80">
        <v>6</v>
      </c>
      <c r="F80">
        <v>2009</v>
      </c>
      <c r="G80" t="s">
        <v>8</v>
      </c>
      <c r="I80" t="str">
        <v/>
      </c>
    </row>
    <row r="81" spans="1:9" hidden="1" x14ac:dyDescent="0.25">
      <c r="A81" t="s">
        <v>123</v>
      </c>
      <c r="B81" t="s">
        <v>9</v>
      </c>
      <c r="C81">
        <v>4.7</v>
      </c>
      <c r="D81">
        <v>15845</v>
      </c>
      <c r="E81">
        <v>13</v>
      </c>
      <c r="F81">
        <v>2013</v>
      </c>
      <c r="G81" t="s">
        <v>10</v>
      </c>
      <c r="I81" t="str">
        <v/>
      </c>
    </row>
    <row r="82" spans="1:9" hidden="1" x14ac:dyDescent="0.25">
      <c r="A82" t="s">
        <v>124</v>
      </c>
      <c r="B82" t="s">
        <v>78</v>
      </c>
      <c r="C82">
        <v>4.8</v>
      </c>
      <c r="D82">
        <v>3181</v>
      </c>
      <c r="E82">
        <v>12</v>
      </c>
      <c r="F82">
        <v>2009</v>
      </c>
      <c r="G82" t="s">
        <v>10</v>
      </c>
      <c r="I82" t="str">
        <v/>
      </c>
    </row>
    <row r="83" spans="1:9" x14ac:dyDescent="0.25">
      <c r="A83" t="s">
        <v>125</v>
      </c>
      <c r="B83" t="s">
        <v>126</v>
      </c>
      <c r="C83">
        <v>4.9000000000000004</v>
      </c>
      <c r="D83">
        <v>5062</v>
      </c>
      <c r="E83">
        <v>6</v>
      </c>
      <c r="F83">
        <v>2018</v>
      </c>
      <c r="G83" t="s">
        <v>10</v>
      </c>
      <c r="I83" s="4" t="str">
        <v>Dog Man and Cat Kid: From the Creator of Captain Underpants (Dog Man #4)</v>
      </c>
    </row>
    <row r="84" spans="1:9" x14ac:dyDescent="0.25">
      <c r="A84" t="s">
        <v>127</v>
      </c>
      <c r="B84" t="s">
        <v>126</v>
      </c>
      <c r="C84">
        <v>4.9000000000000004</v>
      </c>
      <c r="D84">
        <v>4786</v>
      </c>
      <c r="E84">
        <v>8</v>
      </c>
      <c r="F84">
        <v>2017</v>
      </c>
      <c r="G84" t="s">
        <v>10</v>
      </c>
      <c r="I84" s="4" t="str">
        <v>Dog Man: A Tale of Two Kitties: From the Creator of Captain Underpants (Dog Man #3)</v>
      </c>
    </row>
    <row r="85" spans="1:9" x14ac:dyDescent="0.25">
      <c r="A85" t="s">
        <v>128</v>
      </c>
      <c r="B85" t="s">
        <v>126</v>
      </c>
      <c r="C85">
        <v>4.9000000000000004</v>
      </c>
      <c r="D85">
        <v>7235</v>
      </c>
      <c r="E85">
        <v>4</v>
      </c>
      <c r="F85">
        <v>2018</v>
      </c>
      <c r="G85" t="s">
        <v>10</v>
      </c>
      <c r="I85" s="4" t="str">
        <v>Dog Man: Brawl of the Wild: From the Creator of Captain Underpants (Dog Man #6)</v>
      </c>
    </row>
    <row r="86" spans="1:9" x14ac:dyDescent="0.25">
      <c r="A86" t="s">
        <v>128</v>
      </c>
      <c r="B86" t="s">
        <v>126</v>
      </c>
      <c r="C86">
        <v>4.9000000000000004</v>
      </c>
      <c r="D86">
        <v>7235</v>
      </c>
      <c r="E86">
        <v>4</v>
      </c>
      <c r="F86">
        <v>2019</v>
      </c>
      <c r="G86" t="s">
        <v>10</v>
      </c>
      <c r="I86" s="4" t="str">
        <v>Dog Man: Brawl of the Wild: From the Creator of Captain Underpants (Dog Man #6)</v>
      </c>
    </row>
    <row r="87" spans="1:9" x14ac:dyDescent="0.25">
      <c r="A87" t="s">
        <v>129</v>
      </c>
      <c r="B87" t="s">
        <v>126</v>
      </c>
      <c r="C87">
        <v>4.9000000000000004</v>
      </c>
      <c r="D87">
        <v>12619</v>
      </c>
      <c r="E87">
        <v>8</v>
      </c>
      <c r="F87">
        <v>2019</v>
      </c>
      <c r="G87" t="s">
        <v>10</v>
      </c>
      <c r="I87" s="4" t="str">
        <v>Dog Man: Fetch-22: From the Creator of Captain Underpants (Dog Man #8)</v>
      </c>
    </row>
    <row r="88" spans="1:9" x14ac:dyDescent="0.25">
      <c r="A88" t="s">
        <v>130</v>
      </c>
      <c r="B88" t="s">
        <v>126</v>
      </c>
      <c r="C88">
        <v>4.9000000000000004</v>
      </c>
      <c r="D88">
        <v>9089</v>
      </c>
      <c r="E88">
        <v>8</v>
      </c>
      <c r="F88">
        <v>2019</v>
      </c>
      <c r="G88" t="s">
        <v>10</v>
      </c>
      <c r="I88" s="4" t="str">
        <v>Dog Man: For Whom the Ball Rolls: From the Creator of Captain Underpants (Dog Man #7)</v>
      </c>
    </row>
    <row r="89" spans="1:9" x14ac:dyDescent="0.25">
      <c r="A89" t="s">
        <v>131</v>
      </c>
      <c r="B89" t="s">
        <v>126</v>
      </c>
      <c r="C89">
        <v>4.9000000000000004</v>
      </c>
      <c r="D89">
        <v>5470</v>
      </c>
      <c r="E89">
        <v>6</v>
      </c>
      <c r="F89">
        <v>2018</v>
      </c>
      <c r="G89" t="s">
        <v>10</v>
      </c>
      <c r="I89" s="4" t="str">
        <v>Dog Man: Lord of the Fleas: From the Creator of Captain Underpants (Dog Man #5)</v>
      </c>
    </row>
    <row r="90" spans="1:9" hidden="1" x14ac:dyDescent="0.25">
      <c r="A90" t="s">
        <v>132</v>
      </c>
      <c r="B90" t="s">
        <v>78</v>
      </c>
      <c r="C90">
        <v>4.8</v>
      </c>
      <c r="D90">
        <v>5118</v>
      </c>
      <c r="E90">
        <v>20</v>
      </c>
      <c r="F90">
        <v>2016</v>
      </c>
      <c r="G90" t="s">
        <v>10</v>
      </c>
      <c r="I90" t="str">
        <v/>
      </c>
    </row>
    <row r="91" spans="1:9" hidden="1" x14ac:dyDescent="0.25">
      <c r="A91" t="s">
        <v>133</v>
      </c>
      <c r="B91" t="s">
        <v>134</v>
      </c>
      <c r="C91">
        <v>4.5999999999999996</v>
      </c>
      <c r="D91">
        <v>2134</v>
      </c>
      <c r="E91">
        <v>5</v>
      </c>
      <c r="F91">
        <v>2015</v>
      </c>
      <c r="G91" t="s">
        <v>8</v>
      </c>
      <c r="I91" t="str">
        <v/>
      </c>
    </row>
    <row r="92" spans="1:9" hidden="1" x14ac:dyDescent="0.25">
      <c r="A92" t="s">
        <v>135</v>
      </c>
      <c r="B92" t="s">
        <v>136</v>
      </c>
      <c r="C92">
        <v>4.5</v>
      </c>
      <c r="D92">
        <v>2525</v>
      </c>
      <c r="E92">
        <v>16</v>
      </c>
      <c r="F92">
        <v>2010</v>
      </c>
      <c r="G92" t="s">
        <v>8</v>
      </c>
      <c r="I92" t="str">
        <v/>
      </c>
    </row>
    <row r="93" spans="1:9" hidden="1" x14ac:dyDescent="0.25">
      <c r="A93" t="s">
        <v>137</v>
      </c>
      <c r="B93" t="s">
        <v>138</v>
      </c>
      <c r="C93">
        <v>4.5</v>
      </c>
      <c r="D93">
        <v>720</v>
      </c>
      <c r="E93">
        <v>1</v>
      </c>
      <c r="F93">
        <v>2009</v>
      </c>
      <c r="G93" t="s">
        <v>8</v>
      </c>
      <c r="I93" t="str">
        <v/>
      </c>
    </row>
    <row r="94" spans="1:9" hidden="1" x14ac:dyDescent="0.25">
      <c r="A94" t="s">
        <v>139</v>
      </c>
      <c r="B94" t="s">
        <v>138</v>
      </c>
      <c r="C94">
        <v>4.3</v>
      </c>
      <c r="D94">
        <v>956</v>
      </c>
      <c r="E94">
        <v>14</v>
      </c>
      <c r="F94">
        <v>2009</v>
      </c>
      <c r="G94" t="s">
        <v>8</v>
      </c>
      <c r="I94" t="str">
        <v/>
      </c>
    </row>
    <row r="95" spans="1:9" hidden="1" x14ac:dyDescent="0.25">
      <c r="A95" t="s">
        <v>140</v>
      </c>
      <c r="B95" t="s">
        <v>141</v>
      </c>
      <c r="C95">
        <v>4.5</v>
      </c>
      <c r="D95">
        <v>6346</v>
      </c>
      <c r="E95">
        <v>9</v>
      </c>
      <c r="F95">
        <v>2011</v>
      </c>
      <c r="G95" t="s">
        <v>8</v>
      </c>
      <c r="I95" t="str">
        <v/>
      </c>
    </row>
    <row r="96" spans="1:9" hidden="1" x14ac:dyDescent="0.25">
      <c r="A96" t="s">
        <v>140</v>
      </c>
      <c r="B96" t="s">
        <v>141</v>
      </c>
      <c r="C96">
        <v>4.5</v>
      </c>
      <c r="D96">
        <v>6346</v>
      </c>
      <c r="E96">
        <v>9</v>
      </c>
      <c r="F96">
        <v>2012</v>
      </c>
      <c r="G96" t="s">
        <v>8</v>
      </c>
      <c r="I96" t="str">
        <v/>
      </c>
    </row>
    <row r="97" spans="1:9" hidden="1" x14ac:dyDescent="0.25">
      <c r="A97" t="s">
        <v>142</v>
      </c>
      <c r="B97" t="s">
        <v>73</v>
      </c>
      <c r="C97">
        <v>4.7</v>
      </c>
      <c r="D97">
        <v>5505</v>
      </c>
      <c r="E97">
        <v>7</v>
      </c>
      <c r="F97">
        <v>2009</v>
      </c>
      <c r="G97" t="s">
        <v>10</v>
      </c>
      <c r="I97" t="str">
        <v/>
      </c>
    </row>
    <row r="98" spans="1:9" hidden="1" x14ac:dyDescent="0.25">
      <c r="A98" t="s">
        <v>143</v>
      </c>
      <c r="B98" t="s">
        <v>73</v>
      </c>
      <c r="C98">
        <v>4.7</v>
      </c>
      <c r="D98">
        <v>5505</v>
      </c>
      <c r="E98">
        <v>18</v>
      </c>
      <c r="F98">
        <v>2009</v>
      </c>
      <c r="G98" t="s">
        <v>10</v>
      </c>
      <c r="I98" t="str">
        <v/>
      </c>
    </row>
    <row r="99" spans="1:9" hidden="1" x14ac:dyDescent="0.25">
      <c r="A99" t="s">
        <v>144</v>
      </c>
      <c r="B99" t="s">
        <v>145</v>
      </c>
      <c r="C99">
        <v>4.7</v>
      </c>
      <c r="D99">
        <v>28729</v>
      </c>
      <c r="E99">
        <v>15</v>
      </c>
      <c r="F99">
        <v>2018</v>
      </c>
      <c r="G99" t="s">
        <v>8</v>
      </c>
      <c r="I99" t="str">
        <v/>
      </c>
    </row>
    <row r="100" spans="1:9" hidden="1" x14ac:dyDescent="0.25">
      <c r="A100" t="s">
        <v>144</v>
      </c>
      <c r="B100" t="s">
        <v>145</v>
      </c>
      <c r="C100">
        <v>4.7</v>
      </c>
      <c r="D100">
        <v>28729</v>
      </c>
      <c r="E100">
        <v>15</v>
      </c>
      <c r="F100">
        <v>2019</v>
      </c>
      <c r="G100" t="s">
        <v>8</v>
      </c>
      <c r="I100" t="str">
        <v/>
      </c>
    </row>
    <row r="101" spans="1:9" hidden="1" x14ac:dyDescent="0.25">
      <c r="A101" t="s">
        <v>146</v>
      </c>
      <c r="B101" t="s">
        <v>147</v>
      </c>
      <c r="C101">
        <v>4.7</v>
      </c>
      <c r="D101">
        <v>5413</v>
      </c>
      <c r="E101">
        <v>9</v>
      </c>
      <c r="F101">
        <v>2015</v>
      </c>
      <c r="G101" t="s">
        <v>8</v>
      </c>
      <c r="I101" t="str">
        <v/>
      </c>
    </row>
    <row r="102" spans="1:9" hidden="1" x14ac:dyDescent="0.25">
      <c r="A102" t="s">
        <v>148</v>
      </c>
      <c r="B102" t="s">
        <v>149</v>
      </c>
      <c r="C102">
        <v>4.5999999999999996</v>
      </c>
      <c r="D102">
        <v>10721</v>
      </c>
      <c r="E102">
        <v>8</v>
      </c>
      <c r="F102">
        <v>2016</v>
      </c>
      <c r="G102" t="s">
        <v>10</v>
      </c>
      <c r="I102" t="str">
        <v/>
      </c>
    </row>
    <row r="103" spans="1:9" hidden="1" x14ac:dyDescent="0.25">
      <c r="A103" t="s">
        <v>148</v>
      </c>
      <c r="B103" t="s">
        <v>149</v>
      </c>
      <c r="C103">
        <v>4.5999999999999996</v>
      </c>
      <c r="D103">
        <v>10721</v>
      </c>
      <c r="E103">
        <v>8</v>
      </c>
      <c r="F103">
        <v>2018</v>
      </c>
      <c r="G103" t="s">
        <v>10</v>
      </c>
      <c r="I103" t="str">
        <v/>
      </c>
    </row>
    <row r="104" spans="1:9" hidden="1" x14ac:dyDescent="0.25">
      <c r="A104" t="s">
        <v>150</v>
      </c>
      <c r="B104" t="s">
        <v>151</v>
      </c>
      <c r="C104">
        <v>4.7</v>
      </c>
      <c r="D104">
        <v>4370</v>
      </c>
      <c r="E104">
        <v>15</v>
      </c>
      <c r="F104">
        <v>2016</v>
      </c>
      <c r="G104" t="s">
        <v>10</v>
      </c>
      <c r="I104" t="str">
        <v/>
      </c>
    </row>
    <row r="105" spans="1:9" hidden="1" x14ac:dyDescent="0.25">
      <c r="A105" t="s">
        <v>152</v>
      </c>
      <c r="B105" t="s">
        <v>153</v>
      </c>
      <c r="C105">
        <v>4.4000000000000004</v>
      </c>
      <c r="D105">
        <v>6042</v>
      </c>
      <c r="E105">
        <v>2</v>
      </c>
      <c r="F105">
        <v>2018</v>
      </c>
      <c r="G105" t="s">
        <v>8</v>
      </c>
      <c r="I105" t="str">
        <v/>
      </c>
    </row>
    <row r="106" spans="1:9" hidden="1" x14ac:dyDescent="0.25">
      <c r="A106" t="s">
        <v>154</v>
      </c>
      <c r="B106" t="s">
        <v>155</v>
      </c>
      <c r="C106">
        <v>4.4000000000000004</v>
      </c>
      <c r="D106">
        <v>23631</v>
      </c>
      <c r="E106">
        <v>7</v>
      </c>
      <c r="F106">
        <v>2012</v>
      </c>
      <c r="G106" t="s">
        <v>10</v>
      </c>
      <c r="I106" t="str">
        <v/>
      </c>
    </row>
    <row r="107" spans="1:9" hidden="1" x14ac:dyDescent="0.25">
      <c r="A107" t="s">
        <v>156</v>
      </c>
      <c r="B107" t="s">
        <v>155</v>
      </c>
      <c r="C107">
        <v>4.5</v>
      </c>
      <c r="D107">
        <v>20262</v>
      </c>
      <c r="E107">
        <v>11</v>
      </c>
      <c r="F107">
        <v>2012</v>
      </c>
      <c r="G107" t="s">
        <v>10</v>
      </c>
      <c r="I107" t="str">
        <v/>
      </c>
    </row>
    <row r="108" spans="1:9" hidden="1" x14ac:dyDescent="0.25">
      <c r="A108" t="s">
        <v>157</v>
      </c>
      <c r="B108" t="s">
        <v>155</v>
      </c>
      <c r="C108">
        <v>3.8</v>
      </c>
      <c r="D108">
        <v>47265</v>
      </c>
      <c r="E108">
        <v>14</v>
      </c>
      <c r="F108">
        <v>2012</v>
      </c>
      <c r="G108" t="s">
        <v>10</v>
      </c>
      <c r="I108" t="str">
        <v/>
      </c>
    </row>
    <row r="109" spans="1:9" hidden="1" x14ac:dyDescent="0.25">
      <c r="A109" t="s">
        <v>157</v>
      </c>
      <c r="B109" t="s">
        <v>155</v>
      </c>
      <c r="C109">
        <v>3.8</v>
      </c>
      <c r="D109">
        <v>47265</v>
      </c>
      <c r="E109">
        <v>14</v>
      </c>
      <c r="F109">
        <v>2013</v>
      </c>
      <c r="G109" t="s">
        <v>10</v>
      </c>
      <c r="I109" t="str">
        <v/>
      </c>
    </row>
    <row r="110" spans="1:9" hidden="1" x14ac:dyDescent="0.25">
      <c r="A110" t="s">
        <v>158</v>
      </c>
      <c r="B110" t="s">
        <v>155</v>
      </c>
      <c r="C110">
        <v>4.5</v>
      </c>
      <c r="D110">
        <v>13964</v>
      </c>
      <c r="E110">
        <v>32</v>
      </c>
      <c r="F110">
        <v>2012</v>
      </c>
      <c r="G110" t="s">
        <v>10</v>
      </c>
      <c r="I110" t="str">
        <v/>
      </c>
    </row>
    <row r="111" spans="1:9" hidden="1" x14ac:dyDescent="0.25">
      <c r="A111" t="s">
        <v>159</v>
      </c>
      <c r="B111" t="s">
        <v>160</v>
      </c>
      <c r="C111">
        <v>4.2</v>
      </c>
      <c r="D111">
        <v>13677</v>
      </c>
      <c r="E111">
        <v>6</v>
      </c>
      <c r="F111">
        <v>2018</v>
      </c>
      <c r="G111" t="s">
        <v>8</v>
      </c>
      <c r="I111" t="str">
        <v/>
      </c>
    </row>
    <row r="112" spans="1:9" hidden="1" x14ac:dyDescent="0.25">
      <c r="A112" t="s">
        <v>161</v>
      </c>
      <c r="B112" t="s">
        <v>162</v>
      </c>
      <c r="C112">
        <v>4.7</v>
      </c>
      <c r="D112">
        <v>17323</v>
      </c>
      <c r="E112">
        <v>4</v>
      </c>
      <c r="F112">
        <v>2014</v>
      </c>
      <c r="G112" t="s">
        <v>8</v>
      </c>
      <c r="I112" t="str">
        <v/>
      </c>
    </row>
    <row r="113" spans="1:9" hidden="1" x14ac:dyDescent="0.25">
      <c r="A113" t="s">
        <v>161</v>
      </c>
      <c r="B113" t="s">
        <v>162</v>
      </c>
      <c r="C113">
        <v>4.7</v>
      </c>
      <c r="D113">
        <v>17323</v>
      </c>
      <c r="E113">
        <v>4</v>
      </c>
      <c r="F113">
        <v>2015</v>
      </c>
      <c r="G113" t="s">
        <v>8</v>
      </c>
      <c r="I113" t="str">
        <v/>
      </c>
    </row>
    <row r="114" spans="1:9" hidden="1" x14ac:dyDescent="0.25">
      <c r="A114" t="s">
        <v>161</v>
      </c>
      <c r="B114" t="s">
        <v>162</v>
      </c>
      <c r="C114">
        <v>4.7</v>
      </c>
      <c r="D114">
        <v>17323</v>
      </c>
      <c r="E114">
        <v>4</v>
      </c>
      <c r="F114">
        <v>2016</v>
      </c>
      <c r="G114" t="s">
        <v>8</v>
      </c>
      <c r="I114" t="str">
        <v/>
      </c>
    </row>
    <row r="115" spans="1:9" hidden="1" x14ac:dyDescent="0.25">
      <c r="A115" t="s">
        <v>161</v>
      </c>
      <c r="B115" t="s">
        <v>162</v>
      </c>
      <c r="C115">
        <v>4.7</v>
      </c>
      <c r="D115">
        <v>17323</v>
      </c>
      <c r="E115">
        <v>4</v>
      </c>
      <c r="F115">
        <v>2017</v>
      </c>
      <c r="G115" t="s">
        <v>8</v>
      </c>
      <c r="I115" t="str">
        <v/>
      </c>
    </row>
    <row r="116" spans="1:9" hidden="1" x14ac:dyDescent="0.25">
      <c r="A116" t="s">
        <v>161</v>
      </c>
      <c r="B116" t="s">
        <v>162</v>
      </c>
      <c r="C116">
        <v>4.7</v>
      </c>
      <c r="D116">
        <v>17323</v>
      </c>
      <c r="E116">
        <v>4</v>
      </c>
      <c r="F116">
        <v>2018</v>
      </c>
      <c r="G116" t="s">
        <v>8</v>
      </c>
      <c r="I116" t="str">
        <v/>
      </c>
    </row>
    <row r="117" spans="1:9" hidden="1" x14ac:dyDescent="0.25">
      <c r="A117" t="s">
        <v>163</v>
      </c>
      <c r="B117" t="s">
        <v>164</v>
      </c>
      <c r="C117">
        <v>4.4000000000000004</v>
      </c>
      <c r="D117">
        <v>1555</v>
      </c>
      <c r="E117">
        <v>9</v>
      </c>
      <c r="F117">
        <v>2010</v>
      </c>
      <c r="G117" t="s">
        <v>8</v>
      </c>
      <c r="I117" t="str">
        <v/>
      </c>
    </row>
    <row r="118" spans="1:9" hidden="1" x14ac:dyDescent="0.25">
      <c r="A118" t="s">
        <v>165</v>
      </c>
      <c r="B118" t="s">
        <v>166</v>
      </c>
      <c r="C118">
        <v>4.7</v>
      </c>
      <c r="D118">
        <v>3642</v>
      </c>
      <c r="E118">
        <v>0</v>
      </c>
      <c r="F118">
        <v>2014</v>
      </c>
      <c r="G118" t="s">
        <v>10</v>
      </c>
      <c r="I118" t="str">
        <v/>
      </c>
    </row>
    <row r="119" spans="1:9" hidden="1" x14ac:dyDescent="0.25">
      <c r="A119" t="s">
        <v>167</v>
      </c>
      <c r="B119" t="s">
        <v>168</v>
      </c>
      <c r="C119">
        <v>4.4000000000000004</v>
      </c>
      <c r="D119">
        <v>1215</v>
      </c>
      <c r="E119">
        <v>9</v>
      </c>
      <c r="F119">
        <v>2010</v>
      </c>
      <c r="G119" t="s">
        <v>8</v>
      </c>
      <c r="I119" t="str">
        <v/>
      </c>
    </row>
    <row r="120" spans="1:9" hidden="1" x14ac:dyDescent="0.25">
      <c r="A120" t="s">
        <v>169</v>
      </c>
      <c r="B120" t="s">
        <v>170</v>
      </c>
      <c r="C120">
        <v>4.5999999999999996</v>
      </c>
      <c r="D120">
        <v>5594</v>
      </c>
      <c r="E120">
        <v>5</v>
      </c>
      <c r="F120">
        <v>2011</v>
      </c>
      <c r="G120" t="s">
        <v>10</v>
      </c>
      <c r="I120" t="str">
        <v/>
      </c>
    </row>
    <row r="121" spans="1:9" hidden="1" x14ac:dyDescent="0.25">
      <c r="A121" t="s">
        <v>169</v>
      </c>
      <c r="B121" t="s">
        <v>170</v>
      </c>
      <c r="C121">
        <v>4.5999999999999996</v>
      </c>
      <c r="D121">
        <v>5594</v>
      </c>
      <c r="E121">
        <v>5</v>
      </c>
      <c r="F121">
        <v>2012</v>
      </c>
      <c r="G121" t="s">
        <v>10</v>
      </c>
      <c r="I121" t="str">
        <v/>
      </c>
    </row>
    <row r="122" spans="1:9" hidden="1" x14ac:dyDescent="0.25">
      <c r="A122" t="s">
        <v>169</v>
      </c>
      <c r="B122" t="s">
        <v>170</v>
      </c>
      <c r="C122">
        <v>4.5999999999999996</v>
      </c>
      <c r="D122">
        <v>5594</v>
      </c>
      <c r="E122">
        <v>5</v>
      </c>
      <c r="F122">
        <v>2013</v>
      </c>
      <c r="G122" t="s">
        <v>10</v>
      </c>
      <c r="I122" t="str">
        <v/>
      </c>
    </row>
    <row r="123" spans="1:9" hidden="1" x14ac:dyDescent="0.25">
      <c r="A123" t="s">
        <v>171</v>
      </c>
      <c r="B123" t="s">
        <v>172</v>
      </c>
      <c r="C123">
        <v>4.5</v>
      </c>
      <c r="D123">
        <v>408</v>
      </c>
      <c r="E123">
        <v>20</v>
      </c>
      <c r="F123">
        <v>2010</v>
      </c>
      <c r="G123" t="s">
        <v>8</v>
      </c>
      <c r="I123" t="str">
        <v/>
      </c>
    </row>
    <row r="124" spans="1:9" hidden="1" x14ac:dyDescent="0.25">
      <c r="A124" t="s">
        <v>173</v>
      </c>
      <c r="B124" t="s">
        <v>174</v>
      </c>
      <c r="C124">
        <v>4.5999999999999996</v>
      </c>
      <c r="D124">
        <v>4799</v>
      </c>
      <c r="E124">
        <v>16</v>
      </c>
      <c r="F124">
        <v>2013</v>
      </c>
      <c r="G124" t="s">
        <v>8</v>
      </c>
      <c r="I124" t="str">
        <v/>
      </c>
    </row>
    <row r="125" spans="1:9" hidden="1" x14ac:dyDescent="0.25">
      <c r="A125" t="s">
        <v>175</v>
      </c>
      <c r="B125" t="s">
        <v>176</v>
      </c>
      <c r="C125">
        <v>4.8</v>
      </c>
      <c r="D125">
        <v>14038</v>
      </c>
      <c r="E125">
        <v>4</v>
      </c>
      <c r="F125">
        <v>2015</v>
      </c>
      <c r="G125" t="s">
        <v>10</v>
      </c>
      <c r="I125" t="str">
        <v/>
      </c>
    </row>
    <row r="126" spans="1:9" hidden="1" x14ac:dyDescent="0.25">
      <c r="A126" t="s">
        <v>175</v>
      </c>
      <c r="B126" t="s">
        <v>176</v>
      </c>
      <c r="C126">
        <v>4.8</v>
      </c>
      <c r="D126">
        <v>14038</v>
      </c>
      <c r="E126">
        <v>4</v>
      </c>
      <c r="F126">
        <v>2016</v>
      </c>
      <c r="G126" t="s">
        <v>10</v>
      </c>
      <c r="I126" t="str">
        <v/>
      </c>
    </row>
    <row r="127" spans="1:9" hidden="1" x14ac:dyDescent="0.25">
      <c r="A127" t="s">
        <v>175</v>
      </c>
      <c r="B127" t="s">
        <v>176</v>
      </c>
      <c r="C127">
        <v>4.8</v>
      </c>
      <c r="D127">
        <v>14038</v>
      </c>
      <c r="E127">
        <v>4</v>
      </c>
      <c r="F127">
        <v>2017</v>
      </c>
      <c r="G127" t="s">
        <v>10</v>
      </c>
      <c r="I127" t="str">
        <v/>
      </c>
    </row>
    <row r="128" spans="1:9" hidden="1" x14ac:dyDescent="0.25">
      <c r="A128" t="s">
        <v>175</v>
      </c>
      <c r="B128" t="s">
        <v>176</v>
      </c>
      <c r="C128">
        <v>4.8</v>
      </c>
      <c r="D128">
        <v>14038</v>
      </c>
      <c r="E128">
        <v>4</v>
      </c>
      <c r="F128">
        <v>2018</v>
      </c>
      <c r="G128" t="s">
        <v>10</v>
      </c>
      <c r="I128" t="str">
        <v/>
      </c>
    </row>
    <row r="129" spans="1:9" hidden="1" x14ac:dyDescent="0.25">
      <c r="A129" t="s">
        <v>175</v>
      </c>
      <c r="B129" t="s">
        <v>176</v>
      </c>
      <c r="C129">
        <v>4.8</v>
      </c>
      <c r="D129">
        <v>14038</v>
      </c>
      <c r="E129">
        <v>4</v>
      </c>
      <c r="F129">
        <v>2019</v>
      </c>
      <c r="G129" t="s">
        <v>10</v>
      </c>
      <c r="I129" t="str">
        <v/>
      </c>
    </row>
    <row r="130" spans="1:9" hidden="1" x14ac:dyDescent="0.25">
      <c r="A130" t="s">
        <v>177</v>
      </c>
      <c r="B130" t="s">
        <v>178</v>
      </c>
      <c r="C130">
        <v>4.5999999999999996</v>
      </c>
      <c r="D130">
        <v>7660</v>
      </c>
      <c r="E130">
        <v>12</v>
      </c>
      <c r="F130">
        <v>2019</v>
      </c>
      <c r="G130" t="s">
        <v>8</v>
      </c>
      <c r="I130" t="str">
        <v/>
      </c>
    </row>
    <row r="131" spans="1:9" hidden="1" x14ac:dyDescent="0.25">
      <c r="A131" t="s">
        <v>179</v>
      </c>
      <c r="B131" t="s">
        <v>178</v>
      </c>
      <c r="C131">
        <v>4.5999999999999996</v>
      </c>
      <c r="D131">
        <v>22288</v>
      </c>
      <c r="E131">
        <v>12</v>
      </c>
      <c r="F131">
        <v>2018</v>
      </c>
      <c r="G131" t="s">
        <v>8</v>
      </c>
      <c r="I131" t="str">
        <v/>
      </c>
    </row>
    <row r="132" spans="1:9" hidden="1" x14ac:dyDescent="0.25">
      <c r="A132" t="s">
        <v>179</v>
      </c>
      <c r="B132" t="s">
        <v>178</v>
      </c>
      <c r="C132">
        <v>4.5999999999999996</v>
      </c>
      <c r="D132">
        <v>22288</v>
      </c>
      <c r="E132">
        <v>12</v>
      </c>
      <c r="F132">
        <v>2019</v>
      </c>
      <c r="G132" t="s">
        <v>8</v>
      </c>
      <c r="I132" t="str">
        <v/>
      </c>
    </row>
    <row r="133" spans="1:9" hidden="1" x14ac:dyDescent="0.25">
      <c r="A133" t="s">
        <v>180</v>
      </c>
      <c r="B133" t="s">
        <v>52</v>
      </c>
      <c r="C133">
        <v>4.5999999999999996</v>
      </c>
      <c r="D133">
        <v>1365</v>
      </c>
      <c r="E133">
        <v>11</v>
      </c>
      <c r="F133">
        <v>2009</v>
      </c>
      <c r="G133" t="s">
        <v>8</v>
      </c>
      <c r="I133" t="str">
        <v/>
      </c>
    </row>
    <row r="134" spans="1:9" hidden="1" x14ac:dyDescent="0.25">
      <c r="A134" t="s">
        <v>181</v>
      </c>
      <c r="B134" t="s">
        <v>182</v>
      </c>
      <c r="C134">
        <v>3.6</v>
      </c>
      <c r="D134">
        <v>14982</v>
      </c>
      <c r="E134">
        <v>19</v>
      </c>
      <c r="F134">
        <v>2015</v>
      </c>
      <c r="G134" t="s">
        <v>10</v>
      </c>
      <c r="I134" t="str">
        <v/>
      </c>
    </row>
    <row r="135" spans="1:9" hidden="1" x14ac:dyDescent="0.25">
      <c r="A135" t="s">
        <v>183</v>
      </c>
      <c r="B135" t="s">
        <v>184</v>
      </c>
      <c r="C135">
        <v>4.8</v>
      </c>
      <c r="D135">
        <v>9568</v>
      </c>
      <c r="E135">
        <v>9</v>
      </c>
      <c r="F135">
        <v>2011</v>
      </c>
      <c r="G135" t="s">
        <v>10</v>
      </c>
      <c r="I135" t="str">
        <v/>
      </c>
    </row>
    <row r="136" spans="1:9" hidden="1" x14ac:dyDescent="0.25">
      <c r="A136" t="s">
        <v>185</v>
      </c>
      <c r="B136" t="s">
        <v>186</v>
      </c>
      <c r="C136">
        <v>4.5999999999999996</v>
      </c>
      <c r="D136">
        <v>1636</v>
      </c>
      <c r="E136">
        <v>6</v>
      </c>
      <c r="F136">
        <v>2009</v>
      </c>
      <c r="G136" t="s">
        <v>8</v>
      </c>
      <c r="I136" t="str">
        <v/>
      </c>
    </row>
    <row r="137" spans="1:9" hidden="1" x14ac:dyDescent="0.25">
      <c r="A137" t="s">
        <v>187</v>
      </c>
      <c r="B137" t="s">
        <v>188</v>
      </c>
      <c r="C137">
        <v>4</v>
      </c>
      <c r="D137">
        <v>57271</v>
      </c>
      <c r="E137">
        <v>10</v>
      </c>
      <c r="F137">
        <v>2012</v>
      </c>
      <c r="G137" t="s">
        <v>10</v>
      </c>
      <c r="I137" t="str">
        <v/>
      </c>
    </row>
    <row r="138" spans="1:9" hidden="1" x14ac:dyDescent="0.25">
      <c r="A138" t="s">
        <v>187</v>
      </c>
      <c r="B138" t="s">
        <v>188</v>
      </c>
      <c r="C138">
        <v>4</v>
      </c>
      <c r="D138">
        <v>57271</v>
      </c>
      <c r="E138">
        <v>10</v>
      </c>
      <c r="F138">
        <v>2013</v>
      </c>
      <c r="G138" t="s">
        <v>10</v>
      </c>
      <c r="I138" t="str">
        <v/>
      </c>
    </row>
    <row r="139" spans="1:9" hidden="1" x14ac:dyDescent="0.25">
      <c r="A139" t="s">
        <v>187</v>
      </c>
      <c r="B139" t="s">
        <v>188</v>
      </c>
      <c r="C139">
        <v>4</v>
      </c>
      <c r="D139">
        <v>57271</v>
      </c>
      <c r="E139">
        <v>9</v>
      </c>
      <c r="F139">
        <v>2014</v>
      </c>
      <c r="G139" t="s">
        <v>10</v>
      </c>
      <c r="I139" t="str">
        <v/>
      </c>
    </row>
    <row r="140" spans="1:9" hidden="1" x14ac:dyDescent="0.25">
      <c r="A140" t="s">
        <v>189</v>
      </c>
      <c r="B140" t="s">
        <v>190</v>
      </c>
      <c r="C140">
        <v>4.5999999999999996</v>
      </c>
      <c r="D140">
        <v>10141</v>
      </c>
      <c r="E140">
        <v>6</v>
      </c>
      <c r="F140">
        <v>2019</v>
      </c>
      <c r="G140" t="s">
        <v>8</v>
      </c>
      <c r="I140" t="str">
        <v/>
      </c>
    </row>
    <row r="141" spans="1:9" hidden="1" x14ac:dyDescent="0.25">
      <c r="A141" t="s">
        <v>191</v>
      </c>
      <c r="B141" t="s">
        <v>192</v>
      </c>
      <c r="C141">
        <v>4.5</v>
      </c>
      <c r="D141">
        <v>3457</v>
      </c>
      <c r="E141">
        <v>14</v>
      </c>
      <c r="F141">
        <v>2009</v>
      </c>
      <c r="G141" t="s">
        <v>8</v>
      </c>
      <c r="I141" t="str">
        <v/>
      </c>
    </row>
    <row r="142" spans="1:9" hidden="1" x14ac:dyDescent="0.25">
      <c r="A142" t="s">
        <v>191</v>
      </c>
      <c r="B142" t="s">
        <v>192</v>
      </c>
      <c r="C142">
        <v>4.5</v>
      </c>
      <c r="D142">
        <v>3457</v>
      </c>
      <c r="E142">
        <v>14</v>
      </c>
      <c r="F142">
        <v>2010</v>
      </c>
      <c r="G142" t="s">
        <v>8</v>
      </c>
      <c r="I142" t="str">
        <v/>
      </c>
    </row>
    <row r="143" spans="1:9" hidden="1" x14ac:dyDescent="0.25">
      <c r="A143" t="s">
        <v>191</v>
      </c>
      <c r="B143" t="s">
        <v>192</v>
      </c>
      <c r="C143">
        <v>4.5</v>
      </c>
      <c r="D143">
        <v>3457</v>
      </c>
      <c r="E143">
        <v>14</v>
      </c>
      <c r="F143">
        <v>2011</v>
      </c>
      <c r="G143" t="s">
        <v>8</v>
      </c>
      <c r="I143" t="str">
        <v/>
      </c>
    </row>
    <row r="144" spans="1:9" hidden="1" x14ac:dyDescent="0.25">
      <c r="A144" t="s">
        <v>191</v>
      </c>
      <c r="B144" t="s">
        <v>192</v>
      </c>
      <c r="C144">
        <v>4.5</v>
      </c>
      <c r="D144">
        <v>3457</v>
      </c>
      <c r="E144">
        <v>14</v>
      </c>
      <c r="F144">
        <v>2012</v>
      </c>
      <c r="G144" t="s">
        <v>8</v>
      </c>
      <c r="I144" t="str">
        <v/>
      </c>
    </row>
    <row r="145" spans="1:9" hidden="1" x14ac:dyDescent="0.25">
      <c r="A145" t="s">
        <v>193</v>
      </c>
      <c r="B145" t="s">
        <v>194</v>
      </c>
      <c r="C145">
        <v>4.8</v>
      </c>
      <c r="D145">
        <v>8837</v>
      </c>
      <c r="E145">
        <v>5</v>
      </c>
      <c r="F145">
        <v>2017</v>
      </c>
      <c r="G145" t="s">
        <v>10</v>
      </c>
      <c r="I145" t="str">
        <v/>
      </c>
    </row>
    <row r="146" spans="1:9" hidden="1" x14ac:dyDescent="0.25">
      <c r="A146" t="s">
        <v>193</v>
      </c>
      <c r="B146" t="s">
        <v>194</v>
      </c>
      <c r="C146">
        <v>4.8</v>
      </c>
      <c r="D146">
        <v>8837</v>
      </c>
      <c r="E146">
        <v>5</v>
      </c>
      <c r="F146">
        <v>2018</v>
      </c>
      <c r="G146" t="s">
        <v>10</v>
      </c>
      <c r="I146" t="str">
        <v/>
      </c>
    </row>
    <row r="147" spans="1:9" hidden="1" x14ac:dyDescent="0.25">
      <c r="A147" t="s">
        <v>193</v>
      </c>
      <c r="B147" t="s">
        <v>194</v>
      </c>
      <c r="C147">
        <v>4.8</v>
      </c>
      <c r="D147">
        <v>8837</v>
      </c>
      <c r="E147">
        <v>5</v>
      </c>
      <c r="F147">
        <v>2019</v>
      </c>
      <c r="G147" t="s">
        <v>10</v>
      </c>
      <c r="I147" t="str">
        <v/>
      </c>
    </row>
    <row r="148" spans="1:9" x14ac:dyDescent="0.25">
      <c r="A148" t="s">
        <v>195</v>
      </c>
      <c r="B148" t="s">
        <v>196</v>
      </c>
      <c r="C148">
        <v>4.9000000000000004</v>
      </c>
      <c r="D148">
        <v>7038</v>
      </c>
      <c r="E148">
        <v>7</v>
      </c>
      <c r="F148">
        <v>2012</v>
      </c>
      <c r="G148" t="s">
        <v>10</v>
      </c>
      <c r="I148" s="4" t="str">
        <v>Goodnight, Goodnight Construction Site (Hardcover Books for Toddlers, Preschool Books for Kids)</v>
      </c>
    </row>
    <row r="149" spans="1:9" x14ac:dyDescent="0.25">
      <c r="A149" t="s">
        <v>195</v>
      </c>
      <c r="B149" t="s">
        <v>196</v>
      </c>
      <c r="C149">
        <v>4.9000000000000004</v>
      </c>
      <c r="D149">
        <v>7038</v>
      </c>
      <c r="E149">
        <v>7</v>
      </c>
      <c r="F149">
        <v>2013</v>
      </c>
      <c r="G149" t="s">
        <v>10</v>
      </c>
      <c r="I149" s="4" t="str">
        <v>Goodnight, Goodnight Construction Site (Hardcover Books for Toddlers, Preschool Books for Kids)</v>
      </c>
    </row>
    <row r="150" spans="1:9" hidden="1" x14ac:dyDescent="0.25">
      <c r="A150" t="s">
        <v>197</v>
      </c>
      <c r="B150" t="s">
        <v>198</v>
      </c>
      <c r="C150">
        <v>4.5999999999999996</v>
      </c>
      <c r="D150">
        <v>5972</v>
      </c>
      <c r="E150">
        <v>10</v>
      </c>
      <c r="F150">
        <v>2014</v>
      </c>
      <c r="G150" t="s">
        <v>8</v>
      </c>
      <c r="I150" t="str">
        <v/>
      </c>
    </row>
    <row r="151" spans="1:9" hidden="1" x14ac:dyDescent="0.25">
      <c r="A151" t="s">
        <v>199</v>
      </c>
      <c r="B151" t="s">
        <v>155</v>
      </c>
      <c r="C151">
        <v>4.4000000000000004</v>
      </c>
      <c r="D151">
        <v>25624</v>
      </c>
      <c r="E151">
        <v>14</v>
      </c>
      <c r="F151">
        <v>2015</v>
      </c>
      <c r="G151" t="s">
        <v>10</v>
      </c>
      <c r="I151" t="str">
        <v/>
      </c>
    </row>
    <row r="152" spans="1:9" hidden="1" x14ac:dyDescent="0.25">
      <c r="A152" t="s">
        <v>200</v>
      </c>
      <c r="B152" t="s">
        <v>201</v>
      </c>
      <c r="C152">
        <v>4.8</v>
      </c>
      <c r="D152">
        <v>5476</v>
      </c>
      <c r="E152">
        <v>7</v>
      </c>
      <c r="F152">
        <v>2019</v>
      </c>
      <c r="G152" t="s">
        <v>8</v>
      </c>
      <c r="I152" t="str">
        <v/>
      </c>
    </row>
    <row r="153" spans="1:9" x14ac:dyDescent="0.25">
      <c r="A153" t="s">
        <v>202</v>
      </c>
      <c r="B153" t="s">
        <v>203</v>
      </c>
      <c r="C153">
        <v>4.9000000000000004</v>
      </c>
      <c r="D153">
        <v>5867</v>
      </c>
      <c r="E153">
        <v>54</v>
      </c>
      <c r="F153">
        <v>2016</v>
      </c>
      <c r="G153" t="s">
        <v>8</v>
      </c>
      <c r="I153" s="4" t="str">
        <v>Hamilton: The Revolution</v>
      </c>
    </row>
    <row r="154" spans="1:9" hidden="1" x14ac:dyDescent="0.25">
      <c r="A154" t="s">
        <v>204</v>
      </c>
      <c r="B154" t="s">
        <v>205</v>
      </c>
      <c r="C154">
        <v>4.8</v>
      </c>
      <c r="D154">
        <v>4148</v>
      </c>
      <c r="E154">
        <v>11</v>
      </c>
      <c r="F154">
        <v>2013</v>
      </c>
      <c r="G154" t="s">
        <v>8</v>
      </c>
      <c r="I154" t="str">
        <v/>
      </c>
    </row>
    <row r="155" spans="1:9" x14ac:dyDescent="0.25">
      <c r="A155" t="s">
        <v>206</v>
      </c>
      <c r="B155" t="s">
        <v>151</v>
      </c>
      <c r="C155">
        <v>4.9000000000000004</v>
      </c>
      <c r="D155">
        <v>19622</v>
      </c>
      <c r="E155">
        <v>30</v>
      </c>
      <c r="F155">
        <v>2016</v>
      </c>
      <c r="G155" t="s">
        <v>10</v>
      </c>
      <c r="I155" s="4" t="str">
        <v>Harry Potter and the Chamber of Secrets: The Illustrated Edition (Harry Potter, Book 2)</v>
      </c>
    </row>
    <row r="156" spans="1:9" hidden="1" x14ac:dyDescent="0.25">
      <c r="A156" t="s">
        <v>207</v>
      </c>
      <c r="B156" t="s">
        <v>151</v>
      </c>
      <c r="C156">
        <v>4</v>
      </c>
      <c r="D156">
        <v>23973</v>
      </c>
      <c r="E156">
        <v>12</v>
      </c>
      <c r="F156">
        <v>2016</v>
      </c>
      <c r="G156" t="s">
        <v>10</v>
      </c>
      <c r="I156" t="str">
        <v/>
      </c>
    </row>
    <row r="157" spans="1:9" x14ac:dyDescent="0.25">
      <c r="A157" t="s">
        <v>208</v>
      </c>
      <c r="B157" t="s">
        <v>209</v>
      </c>
      <c r="C157">
        <v>4.9000000000000004</v>
      </c>
      <c r="D157">
        <v>7758</v>
      </c>
      <c r="E157">
        <v>18</v>
      </c>
      <c r="F157">
        <v>2019</v>
      </c>
      <c r="G157" t="s">
        <v>10</v>
      </c>
      <c r="I157" s="4" t="str">
        <v>Harry Potter and the Goblet of Fire: The Illustrated Edition (Harry Potter, Book 4) (4)</v>
      </c>
    </row>
    <row r="158" spans="1:9" x14ac:dyDescent="0.25">
      <c r="A158" t="s">
        <v>210</v>
      </c>
      <c r="B158" t="s">
        <v>151</v>
      </c>
      <c r="C158">
        <v>4.9000000000000004</v>
      </c>
      <c r="D158">
        <v>3146</v>
      </c>
      <c r="E158">
        <v>30</v>
      </c>
      <c r="F158">
        <v>2017</v>
      </c>
      <c r="G158" t="s">
        <v>10</v>
      </c>
      <c r="I158" s="4" t="str">
        <v>Harry Potter and the Prisoner of Azkaban: The Illustrated Edition (Harry Potter, Book 3)</v>
      </c>
    </row>
    <row r="159" spans="1:9" x14ac:dyDescent="0.25">
      <c r="A159" t="s">
        <v>211</v>
      </c>
      <c r="B159" t="s">
        <v>151</v>
      </c>
      <c r="C159">
        <v>4.9000000000000004</v>
      </c>
      <c r="D159">
        <v>10052</v>
      </c>
      <c r="E159">
        <v>22</v>
      </c>
      <c r="F159">
        <v>2016</v>
      </c>
      <c r="G159" t="s">
        <v>10</v>
      </c>
      <c r="I159" s="4" t="str">
        <v>Harry Potter and the Sorcerer's Stone: The Illustrated Edition (Harry Potter, Book 1)</v>
      </c>
    </row>
    <row r="160" spans="1:9" hidden="1" x14ac:dyDescent="0.25">
      <c r="A160" t="s">
        <v>212</v>
      </c>
      <c r="B160" t="s">
        <v>213</v>
      </c>
      <c r="C160">
        <v>4.7</v>
      </c>
      <c r="D160">
        <v>3564</v>
      </c>
      <c r="E160">
        <v>9</v>
      </c>
      <c r="F160">
        <v>2015</v>
      </c>
      <c r="G160" t="s">
        <v>8</v>
      </c>
      <c r="I160" t="str">
        <v/>
      </c>
    </row>
    <row r="161" spans="1:9" hidden="1" x14ac:dyDescent="0.25">
      <c r="A161" t="s">
        <v>214</v>
      </c>
      <c r="B161" t="s">
        <v>209</v>
      </c>
      <c r="C161">
        <v>4.8</v>
      </c>
      <c r="D161">
        <v>13471</v>
      </c>
      <c r="E161">
        <v>52</v>
      </c>
      <c r="F161">
        <v>2016</v>
      </c>
      <c r="G161" t="s">
        <v>10</v>
      </c>
      <c r="I161" t="str">
        <v/>
      </c>
    </row>
    <row r="162" spans="1:9" hidden="1" x14ac:dyDescent="0.25">
      <c r="A162" t="s">
        <v>215</v>
      </c>
      <c r="B162" t="s">
        <v>216</v>
      </c>
      <c r="C162">
        <v>4.8</v>
      </c>
      <c r="D162">
        <v>1930</v>
      </c>
      <c r="E162">
        <v>4</v>
      </c>
      <c r="F162">
        <v>2009</v>
      </c>
      <c r="G162" t="s">
        <v>8</v>
      </c>
      <c r="I162" t="str">
        <v/>
      </c>
    </row>
    <row r="163" spans="1:9" hidden="1" x14ac:dyDescent="0.25">
      <c r="A163" t="s">
        <v>217</v>
      </c>
      <c r="B163" t="s">
        <v>218</v>
      </c>
      <c r="C163">
        <v>4.7</v>
      </c>
      <c r="D163">
        <v>15779</v>
      </c>
      <c r="E163">
        <v>10</v>
      </c>
      <c r="F163">
        <v>2011</v>
      </c>
      <c r="G163" t="s">
        <v>8</v>
      </c>
      <c r="I163" t="str">
        <v/>
      </c>
    </row>
    <row r="164" spans="1:9" hidden="1" x14ac:dyDescent="0.25">
      <c r="A164" t="s">
        <v>217</v>
      </c>
      <c r="B164" t="s">
        <v>218</v>
      </c>
      <c r="C164">
        <v>4.7</v>
      </c>
      <c r="D164">
        <v>15779</v>
      </c>
      <c r="E164">
        <v>10</v>
      </c>
      <c r="F164">
        <v>2012</v>
      </c>
      <c r="G164" t="s">
        <v>8</v>
      </c>
      <c r="I164" t="str">
        <v/>
      </c>
    </row>
    <row r="165" spans="1:9" hidden="1" x14ac:dyDescent="0.25">
      <c r="A165" t="s">
        <v>219</v>
      </c>
      <c r="B165" t="s">
        <v>220</v>
      </c>
      <c r="C165">
        <v>4.4000000000000004</v>
      </c>
      <c r="D165">
        <v>15526</v>
      </c>
      <c r="E165">
        <v>14</v>
      </c>
      <c r="F165">
        <v>2016</v>
      </c>
      <c r="G165" t="s">
        <v>8</v>
      </c>
      <c r="I165" t="str">
        <v/>
      </c>
    </row>
    <row r="166" spans="1:9" hidden="1" x14ac:dyDescent="0.25">
      <c r="A166" t="s">
        <v>219</v>
      </c>
      <c r="B166" t="s">
        <v>220</v>
      </c>
      <c r="C166">
        <v>4.4000000000000004</v>
      </c>
      <c r="D166">
        <v>15526</v>
      </c>
      <c r="E166">
        <v>14</v>
      </c>
      <c r="F166">
        <v>2017</v>
      </c>
      <c r="G166" t="s">
        <v>8</v>
      </c>
      <c r="I166" t="str">
        <v/>
      </c>
    </row>
    <row r="167" spans="1:9" hidden="1" x14ac:dyDescent="0.25">
      <c r="A167" t="s">
        <v>221</v>
      </c>
      <c r="B167" t="s">
        <v>222</v>
      </c>
      <c r="C167">
        <v>4.8</v>
      </c>
      <c r="D167">
        <v>3776</v>
      </c>
      <c r="E167">
        <v>22</v>
      </c>
      <c r="F167">
        <v>2018</v>
      </c>
      <c r="G167" t="s">
        <v>8</v>
      </c>
      <c r="I167" t="str">
        <v/>
      </c>
    </row>
    <row r="168" spans="1:9" hidden="1" x14ac:dyDescent="0.25">
      <c r="A168" t="s">
        <v>223</v>
      </c>
      <c r="B168" t="s">
        <v>224</v>
      </c>
      <c r="C168">
        <v>4.7</v>
      </c>
      <c r="D168">
        <v>25001</v>
      </c>
      <c r="E168">
        <v>11</v>
      </c>
      <c r="F168">
        <v>2014</v>
      </c>
      <c r="G168" t="s">
        <v>8</v>
      </c>
      <c r="I168" t="str">
        <v/>
      </c>
    </row>
    <row r="169" spans="1:9" hidden="1" x14ac:dyDescent="0.25">
      <c r="A169" t="s">
        <v>223</v>
      </c>
      <c r="B169" t="s">
        <v>224</v>
      </c>
      <c r="C169">
        <v>4.7</v>
      </c>
      <c r="D169">
        <v>25001</v>
      </c>
      <c r="E169">
        <v>11</v>
      </c>
      <c r="F169">
        <v>2015</v>
      </c>
      <c r="G169" t="s">
        <v>8</v>
      </c>
      <c r="I169" t="str">
        <v/>
      </c>
    </row>
    <row r="170" spans="1:9" hidden="1" x14ac:dyDescent="0.25">
      <c r="A170" t="s">
        <v>223</v>
      </c>
      <c r="B170" t="s">
        <v>224</v>
      </c>
      <c r="C170">
        <v>4.7</v>
      </c>
      <c r="D170">
        <v>25001</v>
      </c>
      <c r="E170">
        <v>11</v>
      </c>
      <c r="F170">
        <v>2016</v>
      </c>
      <c r="G170" t="s">
        <v>8</v>
      </c>
      <c r="I170" t="str">
        <v/>
      </c>
    </row>
    <row r="171" spans="1:9" hidden="1" x14ac:dyDescent="0.25">
      <c r="A171" t="s">
        <v>223</v>
      </c>
      <c r="B171" t="s">
        <v>224</v>
      </c>
      <c r="C171">
        <v>4.7</v>
      </c>
      <c r="D171">
        <v>25001</v>
      </c>
      <c r="E171">
        <v>11</v>
      </c>
      <c r="F171">
        <v>2017</v>
      </c>
      <c r="G171" t="s">
        <v>8</v>
      </c>
      <c r="I171" t="str">
        <v/>
      </c>
    </row>
    <row r="172" spans="1:9" hidden="1" x14ac:dyDescent="0.25">
      <c r="A172" t="s">
        <v>223</v>
      </c>
      <c r="B172" t="s">
        <v>224</v>
      </c>
      <c r="C172">
        <v>4.7</v>
      </c>
      <c r="D172">
        <v>25001</v>
      </c>
      <c r="E172">
        <v>11</v>
      </c>
      <c r="F172">
        <v>2018</v>
      </c>
      <c r="G172" t="s">
        <v>8</v>
      </c>
      <c r="I172" t="str">
        <v/>
      </c>
    </row>
    <row r="173" spans="1:9" hidden="1" x14ac:dyDescent="0.25">
      <c r="A173" t="s">
        <v>225</v>
      </c>
      <c r="B173" t="s">
        <v>226</v>
      </c>
      <c r="C173">
        <v>4.3</v>
      </c>
      <c r="D173">
        <v>5272</v>
      </c>
      <c r="E173">
        <v>16</v>
      </c>
      <c r="F173">
        <v>2019</v>
      </c>
      <c r="G173" t="s">
        <v>8</v>
      </c>
      <c r="I173" t="str">
        <v/>
      </c>
    </row>
    <row r="174" spans="1:9" hidden="1" x14ac:dyDescent="0.25">
      <c r="A174" t="s">
        <v>227</v>
      </c>
      <c r="B174" t="s">
        <v>228</v>
      </c>
      <c r="C174">
        <v>4.8</v>
      </c>
      <c r="D174">
        <v>3490</v>
      </c>
      <c r="E174">
        <v>15</v>
      </c>
      <c r="F174">
        <v>2013</v>
      </c>
      <c r="G174" t="s">
        <v>8</v>
      </c>
      <c r="I174" t="str">
        <v/>
      </c>
    </row>
    <row r="175" spans="1:9" hidden="1" x14ac:dyDescent="0.25">
      <c r="A175" t="s">
        <v>227</v>
      </c>
      <c r="B175" t="s">
        <v>228</v>
      </c>
      <c r="C175">
        <v>4.8</v>
      </c>
      <c r="D175">
        <v>3490</v>
      </c>
      <c r="E175">
        <v>15</v>
      </c>
      <c r="F175">
        <v>2014</v>
      </c>
      <c r="G175" t="s">
        <v>8</v>
      </c>
      <c r="I175" t="str">
        <v/>
      </c>
    </row>
    <row r="176" spans="1:9" x14ac:dyDescent="0.25">
      <c r="A176" t="s">
        <v>229</v>
      </c>
      <c r="B176" t="s">
        <v>228</v>
      </c>
      <c r="C176">
        <v>4.9000000000000004</v>
      </c>
      <c r="D176">
        <v>2812</v>
      </c>
      <c r="E176">
        <v>17</v>
      </c>
      <c r="F176">
        <v>2015</v>
      </c>
      <c r="G176" t="s">
        <v>8</v>
      </c>
      <c r="I176" s="4" t="str">
        <v>Humans of New York : Stories</v>
      </c>
    </row>
    <row r="177" spans="1:9" hidden="1" x14ac:dyDescent="0.25">
      <c r="A177" t="s">
        <v>230</v>
      </c>
      <c r="B177" t="s">
        <v>231</v>
      </c>
      <c r="C177">
        <v>4.7</v>
      </c>
      <c r="D177">
        <v>4896</v>
      </c>
      <c r="E177">
        <v>17</v>
      </c>
      <c r="F177">
        <v>2013</v>
      </c>
      <c r="G177" t="s">
        <v>8</v>
      </c>
      <c r="I177" t="str">
        <v/>
      </c>
    </row>
    <row r="178" spans="1:9" hidden="1" x14ac:dyDescent="0.25">
      <c r="A178" t="s">
        <v>232</v>
      </c>
      <c r="B178" t="s">
        <v>233</v>
      </c>
      <c r="C178">
        <v>4.8</v>
      </c>
      <c r="D178">
        <v>9737</v>
      </c>
      <c r="E178">
        <v>7</v>
      </c>
      <c r="F178">
        <v>2019</v>
      </c>
      <c r="G178" t="s">
        <v>8</v>
      </c>
      <c r="I178" t="str">
        <v/>
      </c>
    </row>
    <row r="179" spans="1:9" hidden="1" x14ac:dyDescent="0.25">
      <c r="A179" t="s">
        <v>234</v>
      </c>
      <c r="B179" t="s">
        <v>235</v>
      </c>
      <c r="C179">
        <v>4.5999999999999996</v>
      </c>
      <c r="D179">
        <v>1320</v>
      </c>
      <c r="E179">
        <v>7</v>
      </c>
      <c r="F179">
        <v>2009</v>
      </c>
      <c r="G179" t="s">
        <v>10</v>
      </c>
      <c r="I179" t="str">
        <v/>
      </c>
    </row>
    <row r="180" spans="1:9" hidden="1" x14ac:dyDescent="0.25">
      <c r="A180" t="s">
        <v>236</v>
      </c>
      <c r="B180" t="s">
        <v>237</v>
      </c>
      <c r="C180">
        <v>4.8</v>
      </c>
      <c r="D180">
        <v>16643</v>
      </c>
      <c r="E180">
        <v>4</v>
      </c>
      <c r="F180">
        <v>2017</v>
      </c>
      <c r="G180" t="s">
        <v>10</v>
      </c>
      <c r="I180" t="str">
        <v/>
      </c>
    </row>
    <row r="181" spans="1:9" hidden="1" x14ac:dyDescent="0.25">
      <c r="A181" t="s">
        <v>236</v>
      </c>
      <c r="B181" t="s">
        <v>237</v>
      </c>
      <c r="C181">
        <v>4.8</v>
      </c>
      <c r="D181">
        <v>16643</v>
      </c>
      <c r="E181">
        <v>4</v>
      </c>
      <c r="F181">
        <v>2019</v>
      </c>
      <c r="G181" t="s">
        <v>10</v>
      </c>
      <c r="I181" t="str">
        <v/>
      </c>
    </row>
    <row r="182" spans="1:9" hidden="1" x14ac:dyDescent="0.25">
      <c r="A182" t="s">
        <v>238</v>
      </c>
      <c r="B182" t="s">
        <v>239</v>
      </c>
      <c r="C182">
        <v>4.3</v>
      </c>
      <c r="D182">
        <v>7153</v>
      </c>
      <c r="E182">
        <v>9</v>
      </c>
      <c r="F182">
        <v>2014</v>
      </c>
      <c r="G182" t="s">
        <v>10</v>
      </c>
      <c r="I182" t="str">
        <v/>
      </c>
    </row>
    <row r="183" spans="1:9" hidden="1" x14ac:dyDescent="0.25">
      <c r="A183" t="s">
        <v>240</v>
      </c>
      <c r="B183" t="s">
        <v>241</v>
      </c>
      <c r="C183">
        <v>4.4000000000000004</v>
      </c>
      <c r="D183">
        <v>4571</v>
      </c>
      <c r="E183">
        <v>21</v>
      </c>
      <c r="F183">
        <v>2011</v>
      </c>
      <c r="G183" t="s">
        <v>8</v>
      </c>
      <c r="I183" t="str">
        <v/>
      </c>
    </row>
    <row r="184" spans="1:9" hidden="1" x14ac:dyDescent="0.25">
      <c r="A184" t="s">
        <v>242</v>
      </c>
      <c r="B184" t="s">
        <v>243</v>
      </c>
      <c r="C184">
        <v>4.0999999999999996</v>
      </c>
      <c r="D184">
        <v>29651</v>
      </c>
      <c r="E184">
        <v>14</v>
      </c>
      <c r="F184">
        <v>2013</v>
      </c>
      <c r="G184" t="s">
        <v>10</v>
      </c>
      <c r="I184" t="str">
        <v/>
      </c>
    </row>
    <row r="185" spans="1:9" hidden="1" x14ac:dyDescent="0.25">
      <c r="A185" t="s">
        <v>244</v>
      </c>
      <c r="B185" t="s">
        <v>245</v>
      </c>
      <c r="C185">
        <v>4.5999999999999996</v>
      </c>
      <c r="D185">
        <v>5299</v>
      </c>
      <c r="E185">
        <v>20</v>
      </c>
      <c r="F185">
        <v>2011</v>
      </c>
      <c r="G185" t="s">
        <v>10</v>
      </c>
      <c r="I185" t="str">
        <v/>
      </c>
    </row>
    <row r="186" spans="1:9" hidden="1" x14ac:dyDescent="0.25">
      <c r="A186" t="s">
        <v>246</v>
      </c>
      <c r="B186" t="s">
        <v>247</v>
      </c>
      <c r="C186">
        <v>4.4000000000000004</v>
      </c>
      <c r="D186">
        <v>7396</v>
      </c>
      <c r="E186">
        <v>13</v>
      </c>
      <c r="F186">
        <v>2019</v>
      </c>
      <c r="G186" t="s">
        <v>8</v>
      </c>
      <c r="I186" t="str">
        <v/>
      </c>
    </row>
    <row r="187" spans="1:9" hidden="1" x14ac:dyDescent="0.25">
      <c r="A187" t="s">
        <v>246</v>
      </c>
      <c r="B187" t="s">
        <v>247</v>
      </c>
      <c r="C187">
        <v>4.4000000000000004</v>
      </c>
      <c r="D187">
        <v>7396</v>
      </c>
      <c r="E187">
        <v>13</v>
      </c>
      <c r="F187">
        <v>2018</v>
      </c>
      <c r="G187" t="s">
        <v>8</v>
      </c>
      <c r="I187" t="str">
        <v/>
      </c>
    </row>
    <row r="188" spans="1:9" hidden="1" x14ac:dyDescent="0.25">
      <c r="A188" t="s">
        <v>248</v>
      </c>
      <c r="B188" t="s">
        <v>249</v>
      </c>
      <c r="C188">
        <v>4.8</v>
      </c>
      <c r="D188">
        <v>7062</v>
      </c>
      <c r="E188">
        <v>12</v>
      </c>
      <c r="F188">
        <v>2019</v>
      </c>
      <c r="G188" t="s">
        <v>8</v>
      </c>
      <c r="I188" t="str">
        <v/>
      </c>
    </row>
    <row r="189" spans="1:9" x14ac:dyDescent="0.25">
      <c r="A189" t="s">
        <v>250</v>
      </c>
      <c r="B189" t="s">
        <v>251</v>
      </c>
      <c r="C189">
        <v>4.9000000000000004</v>
      </c>
      <c r="D189">
        <v>19576</v>
      </c>
      <c r="E189">
        <v>8</v>
      </c>
      <c r="F189">
        <v>2011</v>
      </c>
      <c r="G189" t="s">
        <v>8</v>
      </c>
      <c r="I189" s="4" t="str">
        <v>Jesus Calling: Enjoying Peace in His Presence (with Scripture References)</v>
      </c>
    </row>
    <row r="190" spans="1:9" x14ac:dyDescent="0.25">
      <c r="A190" t="s">
        <v>250</v>
      </c>
      <c r="B190" t="s">
        <v>251</v>
      </c>
      <c r="C190">
        <v>4.9000000000000004</v>
      </c>
      <c r="D190">
        <v>19576</v>
      </c>
      <c r="E190">
        <v>8</v>
      </c>
      <c r="F190">
        <v>2012</v>
      </c>
      <c r="G190" t="s">
        <v>8</v>
      </c>
      <c r="I190" s="4" t="str">
        <v>Jesus Calling: Enjoying Peace in His Presence (with Scripture References)</v>
      </c>
    </row>
    <row r="191" spans="1:9" x14ac:dyDescent="0.25">
      <c r="A191" t="s">
        <v>250</v>
      </c>
      <c r="B191" t="s">
        <v>251</v>
      </c>
      <c r="C191">
        <v>4.9000000000000004</v>
      </c>
      <c r="D191">
        <v>19576</v>
      </c>
      <c r="E191">
        <v>8</v>
      </c>
      <c r="F191">
        <v>2013</v>
      </c>
      <c r="G191" t="s">
        <v>8</v>
      </c>
      <c r="I191" s="4" t="str">
        <v>Jesus Calling: Enjoying Peace in His Presence (with Scripture References)</v>
      </c>
    </row>
    <row r="192" spans="1:9" x14ac:dyDescent="0.25">
      <c r="A192" t="s">
        <v>250</v>
      </c>
      <c r="B192" t="s">
        <v>251</v>
      </c>
      <c r="C192">
        <v>4.9000000000000004</v>
      </c>
      <c r="D192">
        <v>19576</v>
      </c>
      <c r="E192">
        <v>8</v>
      </c>
      <c r="F192">
        <v>2014</v>
      </c>
      <c r="G192" t="s">
        <v>8</v>
      </c>
      <c r="I192" s="4" t="str">
        <v>Jesus Calling: Enjoying Peace in His Presence (with Scripture References)</v>
      </c>
    </row>
    <row r="193" spans="1:9" x14ac:dyDescent="0.25">
      <c r="A193" t="s">
        <v>250</v>
      </c>
      <c r="B193" t="s">
        <v>251</v>
      </c>
      <c r="C193">
        <v>4.9000000000000004</v>
      </c>
      <c r="D193">
        <v>19576</v>
      </c>
      <c r="E193">
        <v>8</v>
      </c>
      <c r="F193">
        <v>2015</v>
      </c>
      <c r="G193" t="s">
        <v>8</v>
      </c>
      <c r="I193" s="4" t="str">
        <v>Jesus Calling: Enjoying Peace in His Presence (with Scripture References)</v>
      </c>
    </row>
    <row r="194" spans="1:9" x14ac:dyDescent="0.25">
      <c r="A194" t="s">
        <v>250</v>
      </c>
      <c r="B194" t="s">
        <v>251</v>
      </c>
      <c r="C194">
        <v>4.9000000000000004</v>
      </c>
      <c r="D194">
        <v>19576</v>
      </c>
      <c r="E194">
        <v>8</v>
      </c>
      <c r="F194">
        <v>2016</v>
      </c>
      <c r="G194" t="s">
        <v>8</v>
      </c>
      <c r="I194" s="4" t="str">
        <v>Jesus Calling: Enjoying Peace in His Presence (with Scripture References)</v>
      </c>
    </row>
    <row r="195" spans="1:9" hidden="1" x14ac:dyDescent="0.25">
      <c r="A195" t="s">
        <v>252</v>
      </c>
      <c r="B195" t="s">
        <v>166</v>
      </c>
      <c r="C195">
        <v>4.5999999999999996</v>
      </c>
      <c r="D195">
        <v>978</v>
      </c>
      <c r="E195">
        <v>0</v>
      </c>
      <c r="F195">
        <v>2014</v>
      </c>
      <c r="G195" t="s">
        <v>10</v>
      </c>
      <c r="I195" t="str">
        <v/>
      </c>
    </row>
    <row r="196" spans="1:9" hidden="1" x14ac:dyDescent="0.25">
      <c r="A196" t="s">
        <v>253</v>
      </c>
      <c r="B196" t="s">
        <v>9</v>
      </c>
      <c r="C196">
        <v>4.5</v>
      </c>
      <c r="D196">
        <v>4748</v>
      </c>
      <c r="E196">
        <v>12</v>
      </c>
      <c r="F196">
        <v>2013</v>
      </c>
      <c r="G196" t="s">
        <v>10</v>
      </c>
      <c r="I196" t="str">
        <v/>
      </c>
    </row>
    <row r="197" spans="1:9" hidden="1" x14ac:dyDescent="0.25">
      <c r="A197" t="s">
        <v>254</v>
      </c>
      <c r="B197" t="s">
        <v>255</v>
      </c>
      <c r="C197">
        <v>4.5999999999999996</v>
      </c>
      <c r="D197">
        <v>8393</v>
      </c>
      <c r="E197">
        <v>17</v>
      </c>
      <c r="F197">
        <v>2017</v>
      </c>
      <c r="G197" t="s">
        <v>8</v>
      </c>
      <c r="I197" t="str">
        <v/>
      </c>
    </row>
    <row r="198" spans="1:9" hidden="1" x14ac:dyDescent="0.25">
      <c r="A198" t="s">
        <v>256</v>
      </c>
      <c r="B198" t="s">
        <v>257</v>
      </c>
      <c r="C198">
        <v>4.5</v>
      </c>
      <c r="D198">
        <v>11391</v>
      </c>
      <c r="E198">
        <v>12</v>
      </c>
      <c r="F198">
        <v>2013</v>
      </c>
      <c r="G198" t="s">
        <v>8</v>
      </c>
      <c r="I198" t="str">
        <v/>
      </c>
    </row>
    <row r="199" spans="1:9" hidden="1" x14ac:dyDescent="0.25">
      <c r="A199" t="s">
        <v>258</v>
      </c>
      <c r="B199" t="s">
        <v>257</v>
      </c>
      <c r="C199">
        <v>4.5999999999999996</v>
      </c>
      <c r="D199">
        <v>8634</v>
      </c>
      <c r="E199">
        <v>25</v>
      </c>
      <c r="F199">
        <v>2012</v>
      </c>
      <c r="G199" t="s">
        <v>8</v>
      </c>
      <c r="I199" t="str">
        <v/>
      </c>
    </row>
    <row r="200" spans="1:9" hidden="1" x14ac:dyDescent="0.25">
      <c r="A200" t="s">
        <v>259</v>
      </c>
      <c r="B200" t="s">
        <v>257</v>
      </c>
      <c r="C200">
        <v>4.7</v>
      </c>
      <c r="D200">
        <v>9342</v>
      </c>
      <c r="E200">
        <v>10</v>
      </c>
      <c r="F200">
        <v>2011</v>
      </c>
      <c r="G200" t="s">
        <v>8</v>
      </c>
      <c r="I200" t="str">
        <v/>
      </c>
    </row>
    <row r="201" spans="1:9" hidden="1" x14ac:dyDescent="0.25">
      <c r="A201" t="s">
        <v>259</v>
      </c>
      <c r="B201" t="s">
        <v>257</v>
      </c>
      <c r="C201">
        <v>4.7</v>
      </c>
      <c r="D201">
        <v>9342</v>
      </c>
      <c r="E201">
        <v>10</v>
      </c>
      <c r="F201">
        <v>2012</v>
      </c>
      <c r="G201" t="s">
        <v>8</v>
      </c>
      <c r="I201" t="str">
        <v/>
      </c>
    </row>
    <row r="202" spans="1:9" hidden="1" x14ac:dyDescent="0.25">
      <c r="A202" t="s">
        <v>260</v>
      </c>
      <c r="B202" t="s">
        <v>257</v>
      </c>
      <c r="C202">
        <v>4.5999999999999996</v>
      </c>
      <c r="D202">
        <v>10927</v>
      </c>
      <c r="E202">
        <v>6</v>
      </c>
      <c r="F202">
        <v>2014</v>
      </c>
      <c r="G202" t="s">
        <v>8</v>
      </c>
      <c r="I202" t="str">
        <v/>
      </c>
    </row>
    <row r="203" spans="1:9" hidden="1" x14ac:dyDescent="0.25">
      <c r="A203" t="s">
        <v>261</v>
      </c>
      <c r="B203" t="s">
        <v>257</v>
      </c>
      <c r="C203">
        <v>4.5999999999999996</v>
      </c>
      <c r="D203">
        <v>5235</v>
      </c>
      <c r="E203">
        <v>5</v>
      </c>
      <c r="F203">
        <v>2015</v>
      </c>
      <c r="G203" t="s">
        <v>8</v>
      </c>
      <c r="I203" t="str">
        <v/>
      </c>
    </row>
    <row r="204" spans="1:9" hidden="1" x14ac:dyDescent="0.25">
      <c r="A204" t="s">
        <v>262</v>
      </c>
      <c r="B204" t="s">
        <v>257</v>
      </c>
      <c r="C204">
        <v>4.8</v>
      </c>
      <c r="D204">
        <v>8916</v>
      </c>
      <c r="E204">
        <v>6</v>
      </c>
      <c r="F204">
        <v>2016</v>
      </c>
      <c r="G204" t="s">
        <v>8</v>
      </c>
      <c r="I204" t="str">
        <v/>
      </c>
    </row>
    <row r="205" spans="1:9" hidden="1" x14ac:dyDescent="0.25">
      <c r="A205" t="s">
        <v>263</v>
      </c>
      <c r="B205" t="s">
        <v>264</v>
      </c>
      <c r="C205">
        <v>4.8</v>
      </c>
      <c r="D205">
        <v>2507</v>
      </c>
      <c r="E205">
        <v>8</v>
      </c>
      <c r="F205">
        <v>2018</v>
      </c>
      <c r="G205" t="s">
        <v>8</v>
      </c>
      <c r="I205" t="str">
        <v/>
      </c>
    </row>
    <row r="206" spans="1:9" hidden="1" x14ac:dyDescent="0.25">
      <c r="A206" t="s">
        <v>265</v>
      </c>
      <c r="B206" t="s">
        <v>266</v>
      </c>
      <c r="C206">
        <v>4.5</v>
      </c>
      <c r="D206">
        <v>3673</v>
      </c>
      <c r="E206">
        <v>4</v>
      </c>
      <c r="F206">
        <v>2013</v>
      </c>
      <c r="G206" t="s">
        <v>8</v>
      </c>
      <c r="I206" t="str">
        <v/>
      </c>
    </row>
    <row r="207" spans="1:9" hidden="1" x14ac:dyDescent="0.25">
      <c r="A207" t="s">
        <v>265</v>
      </c>
      <c r="B207" t="s">
        <v>266</v>
      </c>
      <c r="C207">
        <v>4.5</v>
      </c>
      <c r="D207">
        <v>3673</v>
      </c>
      <c r="E207">
        <v>4</v>
      </c>
      <c r="F207">
        <v>2014</v>
      </c>
      <c r="G207" t="s">
        <v>8</v>
      </c>
      <c r="I207" t="str">
        <v/>
      </c>
    </row>
    <row r="208" spans="1:9" hidden="1" x14ac:dyDescent="0.25">
      <c r="A208" t="s">
        <v>265</v>
      </c>
      <c r="B208" t="s">
        <v>266</v>
      </c>
      <c r="C208">
        <v>4.5</v>
      </c>
      <c r="D208">
        <v>3673</v>
      </c>
      <c r="E208">
        <v>4</v>
      </c>
      <c r="F208">
        <v>2015</v>
      </c>
      <c r="G208" t="s">
        <v>8</v>
      </c>
      <c r="I208" t="str">
        <v/>
      </c>
    </row>
    <row r="209" spans="1:9" x14ac:dyDescent="0.25">
      <c r="A209" t="s">
        <v>267</v>
      </c>
      <c r="B209" t="s">
        <v>268</v>
      </c>
      <c r="C209">
        <v>4.9000000000000004</v>
      </c>
      <c r="D209">
        <v>11881</v>
      </c>
      <c r="E209">
        <v>13</v>
      </c>
      <c r="F209">
        <v>2018</v>
      </c>
      <c r="G209" t="s">
        <v>10</v>
      </c>
      <c r="I209" s="4" t="str">
        <v>Last Week Tonight with John Oliver Presents A Day in the Life of Marlon Bundo (Better Bundo Book, LGBT ChildrenÂ’s Book)</v>
      </c>
    </row>
    <row r="210" spans="1:9" hidden="1" x14ac:dyDescent="0.25">
      <c r="A210" t="s">
        <v>269</v>
      </c>
      <c r="B210" t="s">
        <v>266</v>
      </c>
      <c r="C210">
        <v>4.5999999999999996</v>
      </c>
      <c r="D210">
        <v>6990</v>
      </c>
      <c r="E210">
        <v>4</v>
      </c>
      <c r="F210">
        <v>2013</v>
      </c>
      <c r="G210" t="s">
        <v>8</v>
      </c>
      <c r="I210" t="str">
        <v/>
      </c>
    </row>
    <row r="211" spans="1:9" hidden="1" x14ac:dyDescent="0.25">
      <c r="A211" t="s">
        <v>269</v>
      </c>
      <c r="B211" t="s">
        <v>266</v>
      </c>
      <c r="C211">
        <v>4.5999999999999996</v>
      </c>
      <c r="D211">
        <v>6990</v>
      </c>
      <c r="E211">
        <v>4</v>
      </c>
      <c r="F211">
        <v>2014</v>
      </c>
      <c r="G211" t="s">
        <v>8</v>
      </c>
      <c r="I211" t="str">
        <v/>
      </c>
    </row>
    <row r="212" spans="1:9" hidden="1" x14ac:dyDescent="0.25">
      <c r="A212" t="s">
        <v>269</v>
      </c>
      <c r="B212" t="s">
        <v>266</v>
      </c>
      <c r="C212">
        <v>4.5999999999999996</v>
      </c>
      <c r="D212">
        <v>6990</v>
      </c>
      <c r="E212">
        <v>4</v>
      </c>
      <c r="F212">
        <v>2015</v>
      </c>
      <c r="G212" t="s">
        <v>8</v>
      </c>
      <c r="I212" t="str">
        <v/>
      </c>
    </row>
    <row r="213" spans="1:9" hidden="1" x14ac:dyDescent="0.25">
      <c r="A213" t="s">
        <v>269</v>
      </c>
      <c r="B213" t="s">
        <v>266</v>
      </c>
      <c r="C213">
        <v>4.5999999999999996</v>
      </c>
      <c r="D213">
        <v>6990</v>
      </c>
      <c r="E213">
        <v>4</v>
      </c>
      <c r="F213">
        <v>2016</v>
      </c>
      <c r="G213" t="s">
        <v>8</v>
      </c>
      <c r="I213" t="str">
        <v/>
      </c>
    </row>
    <row r="214" spans="1:9" hidden="1" x14ac:dyDescent="0.25">
      <c r="A214" t="s">
        <v>269</v>
      </c>
      <c r="B214" t="s">
        <v>266</v>
      </c>
      <c r="C214">
        <v>4.5999999999999996</v>
      </c>
      <c r="D214">
        <v>6990</v>
      </c>
      <c r="E214">
        <v>4</v>
      </c>
      <c r="F214">
        <v>2017</v>
      </c>
      <c r="G214" t="s">
        <v>8</v>
      </c>
      <c r="I214" t="str">
        <v/>
      </c>
    </row>
    <row r="215" spans="1:9" hidden="1" x14ac:dyDescent="0.25">
      <c r="A215" t="s">
        <v>270</v>
      </c>
      <c r="B215" t="s">
        <v>271</v>
      </c>
      <c r="C215">
        <v>4.5</v>
      </c>
      <c r="D215">
        <v>6132</v>
      </c>
      <c r="E215">
        <v>13</v>
      </c>
      <c r="F215">
        <v>2013</v>
      </c>
      <c r="G215" t="s">
        <v>8</v>
      </c>
      <c r="I215" t="str">
        <v/>
      </c>
    </row>
    <row r="216" spans="1:9" hidden="1" x14ac:dyDescent="0.25">
      <c r="A216" t="s">
        <v>272</v>
      </c>
      <c r="B216" t="s">
        <v>273</v>
      </c>
      <c r="C216">
        <v>4.5</v>
      </c>
      <c r="D216">
        <v>3014</v>
      </c>
      <c r="E216">
        <v>21</v>
      </c>
      <c r="F216">
        <v>2017</v>
      </c>
      <c r="G216" t="s">
        <v>8</v>
      </c>
      <c r="I216" t="str">
        <v/>
      </c>
    </row>
    <row r="217" spans="1:9" hidden="1" x14ac:dyDescent="0.25">
      <c r="A217" t="s">
        <v>274</v>
      </c>
      <c r="B217" t="s">
        <v>275</v>
      </c>
      <c r="C217">
        <v>4.4000000000000004</v>
      </c>
      <c r="D217">
        <v>7550</v>
      </c>
      <c r="E217">
        <v>6</v>
      </c>
      <c r="F217">
        <v>2018</v>
      </c>
      <c r="G217" t="s">
        <v>8</v>
      </c>
      <c r="I217" t="str">
        <v/>
      </c>
    </row>
    <row r="218" spans="1:9" hidden="1" x14ac:dyDescent="0.25">
      <c r="A218" t="s">
        <v>276</v>
      </c>
      <c r="B218" t="s">
        <v>277</v>
      </c>
      <c r="C218">
        <v>4.8</v>
      </c>
      <c r="D218">
        <v>3828</v>
      </c>
      <c r="E218">
        <v>15</v>
      </c>
      <c r="F218">
        <v>2009</v>
      </c>
      <c r="G218" t="s">
        <v>8</v>
      </c>
      <c r="I218" t="str">
        <v/>
      </c>
    </row>
    <row r="219" spans="1:9" hidden="1" x14ac:dyDescent="0.25">
      <c r="A219" t="s">
        <v>278</v>
      </c>
      <c r="B219" t="s">
        <v>279</v>
      </c>
      <c r="C219">
        <v>4.5</v>
      </c>
      <c r="D219">
        <v>2752</v>
      </c>
      <c r="E219">
        <v>18</v>
      </c>
      <c r="F219">
        <v>2010</v>
      </c>
      <c r="G219" t="s">
        <v>8</v>
      </c>
      <c r="I219" t="str">
        <v/>
      </c>
    </row>
    <row r="220" spans="1:9" hidden="1" x14ac:dyDescent="0.25">
      <c r="A220" t="s">
        <v>280</v>
      </c>
      <c r="B220" t="s">
        <v>281</v>
      </c>
      <c r="C220">
        <v>4.0999999999999996</v>
      </c>
      <c r="D220">
        <v>1467</v>
      </c>
      <c r="E220">
        <v>10</v>
      </c>
      <c r="F220">
        <v>2010</v>
      </c>
      <c r="G220" t="s">
        <v>10</v>
      </c>
      <c r="I220" t="str">
        <v/>
      </c>
    </row>
    <row r="221" spans="1:9" x14ac:dyDescent="0.25">
      <c r="A221" t="s">
        <v>282</v>
      </c>
      <c r="B221" t="s">
        <v>283</v>
      </c>
      <c r="C221">
        <v>4.9000000000000004</v>
      </c>
      <c r="D221">
        <v>1884</v>
      </c>
      <c r="E221">
        <v>0</v>
      </c>
      <c r="F221">
        <v>2014</v>
      </c>
      <c r="G221" t="s">
        <v>10</v>
      </c>
      <c r="I221" s="4" t="str">
        <v>Little Blue Truck</v>
      </c>
    </row>
    <row r="222" spans="1:9" hidden="1" x14ac:dyDescent="0.25">
      <c r="A222" t="s">
        <v>284</v>
      </c>
      <c r="B222" t="s">
        <v>285</v>
      </c>
      <c r="C222">
        <v>4.5</v>
      </c>
      <c r="D222">
        <v>25706</v>
      </c>
      <c r="E222">
        <v>12</v>
      </c>
      <c r="F222">
        <v>2018</v>
      </c>
      <c r="G222" t="s">
        <v>10</v>
      </c>
      <c r="I222" t="str">
        <v/>
      </c>
    </row>
    <row r="223" spans="1:9" hidden="1" x14ac:dyDescent="0.25">
      <c r="A223" t="s">
        <v>286</v>
      </c>
      <c r="B223" t="s">
        <v>287</v>
      </c>
      <c r="C223">
        <v>4.5</v>
      </c>
      <c r="D223">
        <v>8491</v>
      </c>
      <c r="E223">
        <v>7</v>
      </c>
      <c r="F223">
        <v>2014</v>
      </c>
      <c r="G223" t="s">
        <v>10</v>
      </c>
      <c r="I223" t="str">
        <v/>
      </c>
    </row>
    <row r="224" spans="1:9" hidden="1" x14ac:dyDescent="0.25">
      <c r="A224" t="s">
        <v>288</v>
      </c>
      <c r="B224" t="s">
        <v>289</v>
      </c>
      <c r="C224">
        <v>4.2</v>
      </c>
      <c r="D224">
        <v>1649</v>
      </c>
      <c r="E224">
        <v>13</v>
      </c>
      <c r="F224">
        <v>2011</v>
      </c>
      <c r="G224" t="s">
        <v>8</v>
      </c>
      <c r="I224" t="str">
        <v/>
      </c>
    </row>
    <row r="225" spans="1:9" hidden="1" x14ac:dyDescent="0.25">
      <c r="A225" t="s">
        <v>290</v>
      </c>
      <c r="B225" t="s">
        <v>291</v>
      </c>
      <c r="C225">
        <v>4.8</v>
      </c>
      <c r="D225">
        <v>18613</v>
      </c>
      <c r="E225">
        <v>5</v>
      </c>
      <c r="F225">
        <v>2014</v>
      </c>
      <c r="G225" t="s">
        <v>10</v>
      </c>
      <c r="I225" t="str">
        <v/>
      </c>
    </row>
    <row r="226" spans="1:9" hidden="1" x14ac:dyDescent="0.25">
      <c r="A226" t="s">
        <v>290</v>
      </c>
      <c r="B226" t="s">
        <v>291</v>
      </c>
      <c r="C226">
        <v>4.8</v>
      </c>
      <c r="D226">
        <v>18613</v>
      </c>
      <c r="E226">
        <v>5</v>
      </c>
      <c r="F226">
        <v>2015</v>
      </c>
      <c r="G226" t="s">
        <v>10</v>
      </c>
      <c r="I226" t="str">
        <v/>
      </c>
    </row>
    <row r="227" spans="1:9" hidden="1" x14ac:dyDescent="0.25">
      <c r="A227" t="s">
        <v>292</v>
      </c>
      <c r="B227" t="s">
        <v>222</v>
      </c>
      <c r="C227">
        <v>4.8</v>
      </c>
      <c r="D227">
        <v>9867</v>
      </c>
      <c r="E227">
        <v>16</v>
      </c>
      <c r="F227">
        <v>2018</v>
      </c>
      <c r="G227" t="s">
        <v>8</v>
      </c>
      <c r="I227" t="str">
        <v/>
      </c>
    </row>
    <row r="228" spans="1:9" hidden="1" x14ac:dyDescent="0.25">
      <c r="A228" t="s">
        <v>293</v>
      </c>
      <c r="B228" t="s">
        <v>62</v>
      </c>
      <c r="C228">
        <v>4.5</v>
      </c>
      <c r="D228">
        <v>1386</v>
      </c>
      <c r="E228">
        <v>20</v>
      </c>
      <c r="F228">
        <v>2014</v>
      </c>
      <c r="G228" t="s">
        <v>8</v>
      </c>
      <c r="I228" t="str">
        <v/>
      </c>
    </row>
    <row r="229" spans="1:9" hidden="1" x14ac:dyDescent="0.25">
      <c r="A229" t="s">
        <v>294</v>
      </c>
      <c r="B229" t="s">
        <v>295</v>
      </c>
      <c r="C229">
        <v>4.7</v>
      </c>
      <c r="D229">
        <v>10199</v>
      </c>
      <c r="E229">
        <v>11</v>
      </c>
      <c r="F229">
        <v>2017</v>
      </c>
      <c r="G229" t="s">
        <v>8</v>
      </c>
      <c r="I229" t="str">
        <v/>
      </c>
    </row>
    <row r="230" spans="1:9" hidden="1" x14ac:dyDescent="0.25">
      <c r="A230" t="s">
        <v>296</v>
      </c>
      <c r="B230" t="s">
        <v>297</v>
      </c>
      <c r="C230">
        <v>4.8</v>
      </c>
      <c r="D230">
        <v>2926</v>
      </c>
      <c r="E230">
        <v>27</v>
      </c>
      <c r="F230">
        <v>2009</v>
      </c>
      <c r="G230" t="s">
        <v>8</v>
      </c>
      <c r="I230" t="str">
        <v/>
      </c>
    </row>
    <row r="231" spans="1:9" hidden="1" x14ac:dyDescent="0.25">
      <c r="A231" t="s">
        <v>298</v>
      </c>
      <c r="B231" t="s">
        <v>299</v>
      </c>
      <c r="C231">
        <v>4.7</v>
      </c>
      <c r="D231">
        <v>17739</v>
      </c>
      <c r="E231">
        <v>8</v>
      </c>
      <c r="F231">
        <v>2016</v>
      </c>
      <c r="G231" t="s">
        <v>8</v>
      </c>
      <c r="I231" t="str">
        <v/>
      </c>
    </row>
    <row r="232" spans="1:9" hidden="1" x14ac:dyDescent="0.25">
      <c r="A232" t="s">
        <v>298</v>
      </c>
      <c r="B232" t="s">
        <v>299</v>
      </c>
      <c r="C232">
        <v>4.7</v>
      </c>
      <c r="D232">
        <v>17739</v>
      </c>
      <c r="E232">
        <v>8</v>
      </c>
      <c r="F232">
        <v>2017</v>
      </c>
      <c r="G232" t="s">
        <v>8</v>
      </c>
      <c r="I232" t="str">
        <v/>
      </c>
    </row>
    <row r="233" spans="1:9" hidden="1" x14ac:dyDescent="0.25">
      <c r="A233" t="s">
        <v>298</v>
      </c>
      <c r="B233" t="s">
        <v>299</v>
      </c>
      <c r="C233">
        <v>4.7</v>
      </c>
      <c r="D233">
        <v>17739</v>
      </c>
      <c r="E233">
        <v>8</v>
      </c>
      <c r="F233">
        <v>2018</v>
      </c>
      <c r="G233" t="s">
        <v>8</v>
      </c>
      <c r="I233" t="str">
        <v/>
      </c>
    </row>
    <row r="234" spans="1:9" hidden="1" x14ac:dyDescent="0.25">
      <c r="A234" t="s">
        <v>300</v>
      </c>
      <c r="B234" t="s">
        <v>301</v>
      </c>
      <c r="C234">
        <v>4.4000000000000004</v>
      </c>
      <c r="D234">
        <v>3113</v>
      </c>
      <c r="E234">
        <v>6</v>
      </c>
      <c r="F234">
        <v>2017</v>
      </c>
      <c r="G234" t="s">
        <v>8</v>
      </c>
      <c r="I234" t="str">
        <v/>
      </c>
    </row>
    <row r="235" spans="1:9" hidden="1" x14ac:dyDescent="0.25">
      <c r="A235" t="s">
        <v>302</v>
      </c>
      <c r="B235" t="s">
        <v>303</v>
      </c>
      <c r="C235">
        <v>4.5999999999999996</v>
      </c>
      <c r="D235">
        <v>5542</v>
      </c>
      <c r="E235">
        <v>10</v>
      </c>
      <c r="F235">
        <v>2014</v>
      </c>
      <c r="G235" t="s">
        <v>8</v>
      </c>
      <c r="I235" t="str">
        <v/>
      </c>
    </row>
    <row r="236" spans="1:9" hidden="1" x14ac:dyDescent="0.25">
      <c r="A236" t="s">
        <v>302</v>
      </c>
      <c r="B236" t="s">
        <v>303</v>
      </c>
      <c r="C236">
        <v>4.5999999999999996</v>
      </c>
      <c r="D236">
        <v>5542</v>
      </c>
      <c r="E236">
        <v>10</v>
      </c>
      <c r="F236">
        <v>2015</v>
      </c>
      <c r="G236" t="s">
        <v>8</v>
      </c>
      <c r="I236" t="str">
        <v/>
      </c>
    </row>
    <row r="237" spans="1:9" hidden="1" x14ac:dyDescent="0.25">
      <c r="A237" t="s">
        <v>302</v>
      </c>
      <c r="B237" t="s">
        <v>303</v>
      </c>
      <c r="C237">
        <v>4.5999999999999996</v>
      </c>
      <c r="D237">
        <v>5542</v>
      </c>
      <c r="E237">
        <v>10</v>
      </c>
      <c r="F237">
        <v>2016</v>
      </c>
      <c r="G237" t="s">
        <v>8</v>
      </c>
      <c r="I237" t="str">
        <v/>
      </c>
    </row>
    <row r="238" spans="1:9" hidden="1" x14ac:dyDescent="0.25">
      <c r="A238" t="s">
        <v>304</v>
      </c>
      <c r="B238" t="s">
        <v>86</v>
      </c>
      <c r="C238">
        <v>4.5</v>
      </c>
      <c r="D238">
        <v>26741</v>
      </c>
      <c r="E238">
        <v>8</v>
      </c>
      <c r="F238">
        <v>2010</v>
      </c>
      <c r="G238" t="s">
        <v>10</v>
      </c>
      <c r="I238" t="str">
        <v/>
      </c>
    </row>
    <row r="239" spans="1:9" hidden="1" x14ac:dyDescent="0.25">
      <c r="A239" t="s">
        <v>304</v>
      </c>
      <c r="B239" t="s">
        <v>86</v>
      </c>
      <c r="C239">
        <v>4.5</v>
      </c>
      <c r="D239">
        <v>26741</v>
      </c>
      <c r="E239">
        <v>8</v>
      </c>
      <c r="F239">
        <v>2011</v>
      </c>
      <c r="G239" t="s">
        <v>10</v>
      </c>
      <c r="I239" t="str">
        <v/>
      </c>
    </row>
    <row r="240" spans="1:9" hidden="1" x14ac:dyDescent="0.25">
      <c r="A240" t="s">
        <v>304</v>
      </c>
      <c r="B240" t="s">
        <v>86</v>
      </c>
      <c r="C240">
        <v>4.5</v>
      </c>
      <c r="D240">
        <v>26741</v>
      </c>
      <c r="E240">
        <v>8</v>
      </c>
      <c r="F240">
        <v>2012</v>
      </c>
      <c r="G240" t="s">
        <v>10</v>
      </c>
      <c r="I240" t="str">
        <v/>
      </c>
    </row>
    <row r="241" spans="1:9" hidden="1" x14ac:dyDescent="0.25">
      <c r="A241" t="s">
        <v>305</v>
      </c>
      <c r="B241" t="s">
        <v>306</v>
      </c>
      <c r="C241">
        <v>4.8</v>
      </c>
      <c r="D241">
        <v>5347</v>
      </c>
      <c r="E241">
        <v>16</v>
      </c>
      <c r="F241">
        <v>2019</v>
      </c>
      <c r="G241" t="s">
        <v>8</v>
      </c>
      <c r="I241" t="str">
        <v/>
      </c>
    </row>
    <row r="242" spans="1:9" hidden="1" x14ac:dyDescent="0.25">
      <c r="A242" t="s">
        <v>307</v>
      </c>
      <c r="B242" t="s">
        <v>308</v>
      </c>
      <c r="C242">
        <v>4.8</v>
      </c>
      <c r="D242">
        <v>7866</v>
      </c>
      <c r="E242">
        <v>11</v>
      </c>
      <c r="F242">
        <v>2019</v>
      </c>
      <c r="G242" t="s">
        <v>8</v>
      </c>
      <c r="I242" t="str">
        <v/>
      </c>
    </row>
    <row r="243" spans="1:9" hidden="1" x14ac:dyDescent="0.25">
      <c r="A243" t="s">
        <v>309</v>
      </c>
      <c r="B243" t="s">
        <v>73</v>
      </c>
      <c r="C243">
        <v>4.5999999999999996</v>
      </c>
      <c r="D243">
        <v>5680</v>
      </c>
      <c r="E243">
        <v>10</v>
      </c>
      <c r="F243">
        <v>2009</v>
      </c>
      <c r="G243" t="s">
        <v>10</v>
      </c>
      <c r="I243" t="str">
        <v/>
      </c>
    </row>
    <row r="244" spans="1:9" hidden="1" x14ac:dyDescent="0.25">
      <c r="A244" t="s">
        <v>310</v>
      </c>
      <c r="B244" t="s">
        <v>311</v>
      </c>
      <c r="C244">
        <v>4.7</v>
      </c>
      <c r="D244">
        <v>5178</v>
      </c>
      <c r="E244">
        <v>9</v>
      </c>
      <c r="F244">
        <v>2016</v>
      </c>
      <c r="G244" t="s">
        <v>8</v>
      </c>
      <c r="I244" t="str">
        <v/>
      </c>
    </row>
    <row r="245" spans="1:9" hidden="1" x14ac:dyDescent="0.25">
      <c r="A245" t="s">
        <v>312</v>
      </c>
      <c r="B245" t="s">
        <v>313</v>
      </c>
      <c r="C245">
        <v>4.5999999999999996</v>
      </c>
      <c r="D245">
        <v>8093</v>
      </c>
      <c r="E245">
        <v>14</v>
      </c>
      <c r="F245">
        <v>2012</v>
      </c>
      <c r="G245" t="s">
        <v>8</v>
      </c>
      <c r="I245" t="str">
        <v/>
      </c>
    </row>
    <row r="246" spans="1:9" x14ac:dyDescent="0.25">
      <c r="A246" t="s">
        <v>314</v>
      </c>
      <c r="B246" t="s">
        <v>315</v>
      </c>
      <c r="C246">
        <v>4.9000000000000004</v>
      </c>
      <c r="D246">
        <v>3192</v>
      </c>
      <c r="E246">
        <v>22</v>
      </c>
      <c r="F246">
        <v>2017</v>
      </c>
      <c r="G246" t="s">
        <v>8</v>
      </c>
      <c r="I246" s="4" t="str">
        <v>Obama: An Intimate Portrait</v>
      </c>
    </row>
    <row r="247" spans="1:9" x14ac:dyDescent="0.25">
      <c r="A247" t="s">
        <v>316</v>
      </c>
      <c r="B247" t="s">
        <v>317</v>
      </c>
      <c r="C247">
        <v>4.9000000000000004</v>
      </c>
      <c r="D247">
        <v>21834</v>
      </c>
      <c r="E247">
        <v>8</v>
      </c>
      <c r="F247">
        <v>2012</v>
      </c>
      <c r="G247" t="s">
        <v>10</v>
      </c>
      <c r="I247" s="4" t="str">
        <v>Oh, the Places You'll Go!</v>
      </c>
    </row>
    <row r="248" spans="1:9" x14ac:dyDescent="0.25">
      <c r="A248" t="s">
        <v>316</v>
      </c>
      <c r="B248" t="s">
        <v>317</v>
      </c>
      <c r="C248">
        <v>4.9000000000000004</v>
      </c>
      <c r="D248">
        <v>21834</v>
      </c>
      <c r="E248">
        <v>8</v>
      </c>
      <c r="F248">
        <v>2013</v>
      </c>
      <c r="G248" t="s">
        <v>10</v>
      </c>
      <c r="I248" s="4" t="str">
        <v>Oh, the Places You'll Go!</v>
      </c>
    </row>
    <row r="249" spans="1:9" x14ac:dyDescent="0.25">
      <c r="A249" t="s">
        <v>316</v>
      </c>
      <c r="B249" t="s">
        <v>317</v>
      </c>
      <c r="C249">
        <v>4.9000000000000004</v>
      </c>
      <c r="D249">
        <v>21834</v>
      </c>
      <c r="E249">
        <v>8</v>
      </c>
      <c r="F249">
        <v>2014</v>
      </c>
      <c r="G249" t="s">
        <v>10</v>
      </c>
      <c r="I249" s="4" t="str">
        <v>Oh, the Places You'll Go!</v>
      </c>
    </row>
    <row r="250" spans="1:9" x14ac:dyDescent="0.25">
      <c r="A250" t="s">
        <v>316</v>
      </c>
      <c r="B250" t="s">
        <v>317</v>
      </c>
      <c r="C250">
        <v>4.9000000000000004</v>
      </c>
      <c r="D250">
        <v>21834</v>
      </c>
      <c r="E250">
        <v>8</v>
      </c>
      <c r="F250">
        <v>2015</v>
      </c>
      <c r="G250" t="s">
        <v>10</v>
      </c>
      <c r="I250" s="4" t="str">
        <v>Oh, the Places You'll Go!</v>
      </c>
    </row>
    <row r="251" spans="1:9" x14ac:dyDescent="0.25">
      <c r="A251" t="s">
        <v>316</v>
      </c>
      <c r="B251" t="s">
        <v>317</v>
      </c>
      <c r="C251">
        <v>4.9000000000000004</v>
      </c>
      <c r="D251">
        <v>21834</v>
      </c>
      <c r="E251">
        <v>8</v>
      </c>
      <c r="F251">
        <v>2016</v>
      </c>
      <c r="G251" t="s">
        <v>10</v>
      </c>
      <c r="I251" s="4" t="str">
        <v>Oh, the Places You'll Go!</v>
      </c>
    </row>
    <row r="252" spans="1:9" x14ac:dyDescent="0.25">
      <c r="A252" t="s">
        <v>316</v>
      </c>
      <c r="B252" t="s">
        <v>317</v>
      </c>
      <c r="C252">
        <v>4.9000000000000004</v>
      </c>
      <c r="D252">
        <v>21834</v>
      </c>
      <c r="E252">
        <v>8</v>
      </c>
      <c r="F252">
        <v>2017</v>
      </c>
      <c r="G252" t="s">
        <v>10</v>
      </c>
      <c r="I252" s="4" t="str">
        <v>Oh, the Places You'll Go!</v>
      </c>
    </row>
    <row r="253" spans="1:9" x14ac:dyDescent="0.25">
      <c r="A253" t="s">
        <v>316</v>
      </c>
      <c r="B253" t="s">
        <v>317</v>
      </c>
      <c r="C253">
        <v>4.9000000000000004</v>
      </c>
      <c r="D253">
        <v>21834</v>
      </c>
      <c r="E253">
        <v>8</v>
      </c>
      <c r="F253">
        <v>2018</v>
      </c>
      <c r="G253" t="s">
        <v>10</v>
      </c>
      <c r="I253" s="4" t="str">
        <v>Oh, the Places You'll Go!</v>
      </c>
    </row>
    <row r="254" spans="1:9" x14ac:dyDescent="0.25">
      <c r="A254" t="s">
        <v>316</v>
      </c>
      <c r="B254" t="s">
        <v>317</v>
      </c>
      <c r="C254">
        <v>4.9000000000000004</v>
      </c>
      <c r="D254">
        <v>21834</v>
      </c>
      <c r="E254">
        <v>8</v>
      </c>
      <c r="F254">
        <v>2019</v>
      </c>
      <c r="G254" t="s">
        <v>10</v>
      </c>
      <c r="I254" s="4" t="str">
        <v>Oh, the Places You'll Go!</v>
      </c>
    </row>
    <row r="255" spans="1:9" hidden="1" x14ac:dyDescent="0.25">
      <c r="A255" t="s">
        <v>318</v>
      </c>
      <c r="B255" t="s">
        <v>78</v>
      </c>
      <c r="C255">
        <v>4.8</v>
      </c>
      <c r="D255">
        <v>6169</v>
      </c>
      <c r="E255">
        <v>7</v>
      </c>
      <c r="F255">
        <v>2015</v>
      </c>
      <c r="G255" t="s">
        <v>10</v>
      </c>
      <c r="I255" t="str">
        <v/>
      </c>
    </row>
    <row r="256" spans="1:9" hidden="1" x14ac:dyDescent="0.25">
      <c r="A256" t="s">
        <v>319</v>
      </c>
      <c r="B256" t="s">
        <v>320</v>
      </c>
      <c r="C256">
        <v>4.2</v>
      </c>
      <c r="D256">
        <v>4519</v>
      </c>
      <c r="E256">
        <v>12</v>
      </c>
      <c r="F256">
        <v>2009</v>
      </c>
      <c r="G256" t="s">
        <v>10</v>
      </c>
      <c r="I256" t="str">
        <v/>
      </c>
    </row>
    <row r="257" spans="1:9" hidden="1" x14ac:dyDescent="0.25">
      <c r="A257" t="s">
        <v>321</v>
      </c>
      <c r="B257" t="s">
        <v>322</v>
      </c>
      <c r="C257">
        <v>4.5999999999999996</v>
      </c>
      <c r="D257">
        <v>3163</v>
      </c>
      <c r="E257">
        <v>13</v>
      </c>
      <c r="F257">
        <v>2011</v>
      </c>
      <c r="G257" t="s">
        <v>8</v>
      </c>
      <c r="I257" t="str">
        <v/>
      </c>
    </row>
    <row r="258" spans="1:9" hidden="1" x14ac:dyDescent="0.25">
      <c r="A258" t="s">
        <v>321</v>
      </c>
      <c r="B258" t="s">
        <v>322</v>
      </c>
      <c r="C258">
        <v>4.5999999999999996</v>
      </c>
      <c r="D258">
        <v>3163</v>
      </c>
      <c r="E258">
        <v>13</v>
      </c>
      <c r="F258">
        <v>2012</v>
      </c>
      <c r="G258" t="s">
        <v>8</v>
      </c>
      <c r="I258" t="str">
        <v/>
      </c>
    </row>
    <row r="259" spans="1:9" hidden="1" x14ac:dyDescent="0.25">
      <c r="A259" t="s">
        <v>323</v>
      </c>
      <c r="B259" t="s">
        <v>271</v>
      </c>
      <c r="C259">
        <v>4.5</v>
      </c>
      <c r="D259">
        <v>1831</v>
      </c>
      <c r="E259">
        <v>9</v>
      </c>
      <c r="F259">
        <v>2017</v>
      </c>
      <c r="G259" t="s">
        <v>8</v>
      </c>
      <c r="I259" t="str">
        <v/>
      </c>
    </row>
    <row r="260" spans="1:9" hidden="1" x14ac:dyDescent="0.25">
      <c r="A260" t="s">
        <v>324</v>
      </c>
      <c r="B260" t="s">
        <v>243</v>
      </c>
      <c r="C260">
        <v>4.3</v>
      </c>
      <c r="D260">
        <v>18904</v>
      </c>
      <c r="E260">
        <v>13</v>
      </c>
      <c r="F260">
        <v>2017</v>
      </c>
      <c r="G260" t="s">
        <v>10</v>
      </c>
      <c r="I260" t="str">
        <v/>
      </c>
    </row>
    <row r="261" spans="1:9" hidden="1" x14ac:dyDescent="0.25">
      <c r="A261" t="s">
        <v>325</v>
      </c>
      <c r="B261" t="s">
        <v>326</v>
      </c>
      <c r="C261">
        <v>4.5999999999999996</v>
      </c>
      <c r="D261">
        <v>21930</v>
      </c>
      <c r="E261">
        <v>11</v>
      </c>
      <c r="F261">
        <v>2014</v>
      </c>
      <c r="G261" t="s">
        <v>10</v>
      </c>
      <c r="I261" t="str">
        <v/>
      </c>
    </row>
    <row r="262" spans="1:9" hidden="1" x14ac:dyDescent="0.25">
      <c r="A262" t="s">
        <v>327</v>
      </c>
      <c r="B262" t="s">
        <v>101</v>
      </c>
      <c r="C262">
        <v>4.5999999999999996</v>
      </c>
      <c r="D262">
        <v>10426</v>
      </c>
      <c r="E262">
        <v>20</v>
      </c>
      <c r="F262">
        <v>2009</v>
      </c>
      <c r="G262" t="s">
        <v>8</v>
      </c>
      <c r="I262" t="str">
        <v/>
      </c>
    </row>
    <row r="263" spans="1:9" hidden="1" x14ac:dyDescent="0.25">
      <c r="A263" t="s">
        <v>327</v>
      </c>
      <c r="B263" t="s">
        <v>101</v>
      </c>
      <c r="C263">
        <v>4.5999999999999996</v>
      </c>
      <c r="D263">
        <v>10426</v>
      </c>
      <c r="E263">
        <v>20</v>
      </c>
      <c r="F263">
        <v>2010</v>
      </c>
      <c r="G263" t="s">
        <v>8</v>
      </c>
      <c r="I263" t="str">
        <v/>
      </c>
    </row>
    <row r="264" spans="1:9" hidden="1" x14ac:dyDescent="0.25">
      <c r="A264" t="s">
        <v>328</v>
      </c>
      <c r="B264" t="s">
        <v>329</v>
      </c>
      <c r="C264">
        <v>4.7</v>
      </c>
      <c r="D264">
        <v>10820</v>
      </c>
      <c r="E264">
        <v>5</v>
      </c>
      <c r="F264">
        <v>2018</v>
      </c>
      <c r="G264" t="s">
        <v>8</v>
      </c>
      <c r="I264" t="str">
        <v/>
      </c>
    </row>
    <row r="265" spans="1:9" hidden="1" x14ac:dyDescent="0.25">
      <c r="A265" t="s">
        <v>328</v>
      </c>
      <c r="B265" t="s">
        <v>329</v>
      </c>
      <c r="C265">
        <v>4.7</v>
      </c>
      <c r="D265">
        <v>10820</v>
      </c>
      <c r="E265">
        <v>5</v>
      </c>
      <c r="F265">
        <v>2019</v>
      </c>
      <c r="G265" t="s">
        <v>8</v>
      </c>
      <c r="I265" t="str">
        <v/>
      </c>
    </row>
    <row r="266" spans="1:9" hidden="1" x14ac:dyDescent="0.25">
      <c r="A266" t="s">
        <v>330</v>
      </c>
      <c r="B266" t="s">
        <v>331</v>
      </c>
      <c r="C266">
        <v>4.8</v>
      </c>
      <c r="D266">
        <v>548</v>
      </c>
      <c r="E266">
        <v>2</v>
      </c>
      <c r="F266">
        <v>2010</v>
      </c>
      <c r="G266" t="s">
        <v>10</v>
      </c>
      <c r="I266" t="str">
        <v/>
      </c>
    </row>
    <row r="267" spans="1:9" hidden="1" x14ac:dyDescent="0.25">
      <c r="A267" t="s">
        <v>332</v>
      </c>
      <c r="B267" t="s">
        <v>333</v>
      </c>
      <c r="C267">
        <v>4.8</v>
      </c>
      <c r="D267">
        <v>16990</v>
      </c>
      <c r="E267">
        <v>27</v>
      </c>
      <c r="F267">
        <v>2017</v>
      </c>
      <c r="G267" t="s">
        <v>10</v>
      </c>
      <c r="I267" t="str">
        <v/>
      </c>
    </row>
    <row r="268" spans="1:9" hidden="1" x14ac:dyDescent="0.25">
      <c r="A268" t="s">
        <v>332</v>
      </c>
      <c r="B268" t="s">
        <v>333</v>
      </c>
      <c r="C268">
        <v>4.8</v>
      </c>
      <c r="D268">
        <v>16990</v>
      </c>
      <c r="E268">
        <v>27</v>
      </c>
      <c r="F268">
        <v>2018</v>
      </c>
      <c r="G268" t="s">
        <v>10</v>
      </c>
      <c r="I268" t="str">
        <v/>
      </c>
    </row>
    <row r="269" spans="1:9" hidden="1" x14ac:dyDescent="0.25">
      <c r="A269" t="s">
        <v>332</v>
      </c>
      <c r="B269" t="s">
        <v>333</v>
      </c>
      <c r="C269">
        <v>4.8</v>
      </c>
      <c r="D269">
        <v>16990</v>
      </c>
      <c r="E269">
        <v>27</v>
      </c>
      <c r="F269">
        <v>2019</v>
      </c>
      <c r="G269" t="s">
        <v>10</v>
      </c>
      <c r="I269" t="str">
        <v/>
      </c>
    </row>
    <row r="270" spans="1:9" hidden="1" x14ac:dyDescent="0.25">
      <c r="A270" t="s">
        <v>334</v>
      </c>
      <c r="B270" t="s">
        <v>213</v>
      </c>
      <c r="C270">
        <v>4.7</v>
      </c>
      <c r="D270">
        <v>3503</v>
      </c>
      <c r="E270">
        <v>9</v>
      </c>
      <c r="F270">
        <v>2016</v>
      </c>
      <c r="G270" t="s">
        <v>10</v>
      </c>
      <c r="I270" t="str">
        <v/>
      </c>
    </row>
    <row r="271" spans="1:9" hidden="1" x14ac:dyDescent="0.25">
      <c r="A271" t="s">
        <v>335</v>
      </c>
      <c r="B271" t="s">
        <v>336</v>
      </c>
      <c r="C271">
        <v>4.3</v>
      </c>
      <c r="D271">
        <v>13616</v>
      </c>
      <c r="E271">
        <v>10</v>
      </c>
      <c r="F271">
        <v>2012</v>
      </c>
      <c r="G271" t="s">
        <v>8</v>
      </c>
      <c r="I271" t="str">
        <v/>
      </c>
    </row>
    <row r="272" spans="1:9" hidden="1" x14ac:dyDescent="0.25">
      <c r="A272" t="s">
        <v>335</v>
      </c>
      <c r="B272" t="s">
        <v>336</v>
      </c>
      <c r="C272">
        <v>4.3</v>
      </c>
      <c r="D272">
        <v>13616</v>
      </c>
      <c r="E272">
        <v>10</v>
      </c>
      <c r="F272">
        <v>2013</v>
      </c>
      <c r="G272" t="s">
        <v>8</v>
      </c>
      <c r="I272" t="str">
        <v/>
      </c>
    </row>
    <row r="273" spans="1:9" hidden="1" x14ac:dyDescent="0.25">
      <c r="A273" t="s">
        <v>337</v>
      </c>
      <c r="B273" t="s">
        <v>338</v>
      </c>
      <c r="C273">
        <v>4.5</v>
      </c>
      <c r="D273">
        <v>8580</v>
      </c>
      <c r="E273">
        <v>46</v>
      </c>
      <c r="F273">
        <v>2009</v>
      </c>
      <c r="G273" t="s">
        <v>8</v>
      </c>
      <c r="I273" t="str">
        <v/>
      </c>
    </row>
    <row r="274" spans="1:9" hidden="1" x14ac:dyDescent="0.25">
      <c r="A274" t="s">
        <v>337</v>
      </c>
      <c r="B274" t="s">
        <v>338</v>
      </c>
      <c r="C274">
        <v>4.5</v>
      </c>
      <c r="D274">
        <v>8580</v>
      </c>
      <c r="E274">
        <v>46</v>
      </c>
      <c r="F274">
        <v>2010</v>
      </c>
      <c r="G274" t="s">
        <v>8</v>
      </c>
      <c r="I274" t="str">
        <v/>
      </c>
    </row>
    <row r="275" spans="1:9" hidden="1" x14ac:dyDescent="0.25">
      <c r="A275" t="s">
        <v>337</v>
      </c>
      <c r="B275" t="s">
        <v>338</v>
      </c>
      <c r="C275">
        <v>4.5</v>
      </c>
      <c r="D275">
        <v>8580</v>
      </c>
      <c r="E275">
        <v>46</v>
      </c>
      <c r="F275">
        <v>2011</v>
      </c>
      <c r="G275" t="s">
        <v>8</v>
      </c>
      <c r="I275" t="str">
        <v/>
      </c>
    </row>
    <row r="276" spans="1:9" hidden="1" x14ac:dyDescent="0.25">
      <c r="A276" t="s">
        <v>337</v>
      </c>
      <c r="B276" t="s">
        <v>338</v>
      </c>
      <c r="C276">
        <v>4.5</v>
      </c>
      <c r="D276">
        <v>8580</v>
      </c>
      <c r="E276">
        <v>46</v>
      </c>
      <c r="F276">
        <v>2012</v>
      </c>
      <c r="G276" t="s">
        <v>8</v>
      </c>
      <c r="I276" t="str">
        <v/>
      </c>
    </row>
    <row r="277" spans="1:9" hidden="1" x14ac:dyDescent="0.25">
      <c r="A277" t="s">
        <v>337</v>
      </c>
      <c r="B277" t="s">
        <v>338</v>
      </c>
      <c r="C277">
        <v>4.5</v>
      </c>
      <c r="D277">
        <v>8580</v>
      </c>
      <c r="E277">
        <v>46</v>
      </c>
      <c r="F277">
        <v>2013</v>
      </c>
      <c r="G277" t="s">
        <v>8</v>
      </c>
      <c r="I277" t="str">
        <v/>
      </c>
    </row>
    <row r="278" spans="1:9" hidden="1" x14ac:dyDescent="0.25">
      <c r="A278" t="s">
        <v>337</v>
      </c>
      <c r="B278" t="s">
        <v>338</v>
      </c>
      <c r="C278">
        <v>4.5</v>
      </c>
      <c r="D278">
        <v>8580</v>
      </c>
      <c r="E278">
        <v>46</v>
      </c>
      <c r="F278">
        <v>2014</v>
      </c>
      <c r="G278" t="s">
        <v>8</v>
      </c>
      <c r="I278" t="str">
        <v/>
      </c>
    </row>
    <row r="279" spans="1:9" hidden="1" x14ac:dyDescent="0.25">
      <c r="A279" t="s">
        <v>337</v>
      </c>
      <c r="B279" t="s">
        <v>338</v>
      </c>
      <c r="C279">
        <v>4.5</v>
      </c>
      <c r="D279">
        <v>8580</v>
      </c>
      <c r="E279">
        <v>46</v>
      </c>
      <c r="F279">
        <v>2015</v>
      </c>
      <c r="G279" t="s">
        <v>8</v>
      </c>
      <c r="I279" t="str">
        <v/>
      </c>
    </row>
    <row r="280" spans="1:9" hidden="1" x14ac:dyDescent="0.25">
      <c r="A280" t="s">
        <v>337</v>
      </c>
      <c r="B280" t="s">
        <v>338</v>
      </c>
      <c r="C280">
        <v>4.5</v>
      </c>
      <c r="D280">
        <v>8580</v>
      </c>
      <c r="E280">
        <v>46</v>
      </c>
      <c r="F280">
        <v>2016</v>
      </c>
      <c r="G280" t="s">
        <v>8</v>
      </c>
      <c r="I280" t="str">
        <v/>
      </c>
    </row>
    <row r="281" spans="1:9" hidden="1" x14ac:dyDescent="0.25">
      <c r="A281" t="s">
        <v>337</v>
      </c>
      <c r="B281" t="s">
        <v>338</v>
      </c>
      <c r="C281">
        <v>4.5</v>
      </c>
      <c r="D281">
        <v>8580</v>
      </c>
      <c r="E281">
        <v>46</v>
      </c>
      <c r="F281">
        <v>2017</v>
      </c>
      <c r="G281" t="s">
        <v>8</v>
      </c>
      <c r="I281" t="str">
        <v/>
      </c>
    </row>
    <row r="282" spans="1:9" hidden="1" x14ac:dyDescent="0.25">
      <c r="A282" t="s">
        <v>337</v>
      </c>
      <c r="B282" t="s">
        <v>338</v>
      </c>
      <c r="C282">
        <v>4.5</v>
      </c>
      <c r="D282">
        <v>8580</v>
      </c>
      <c r="E282">
        <v>46</v>
      </c>
      <c r="F282">
        <v>2018</v>
      </c>
      <c r="G282" t="s">
        <v>8</v>
      </c>
      <c r="I282" t="str">
        <v/>
      </c>
    </row>
    <row r="283" spans="1:9" hidden="1" x14ac:dyDescent="0.25">
      <c r="A283" t="s">
        <v>339</v>
      </c>
      <c r="B283" t="s">
        <v>340</v>
      </c>
      <c r="C283">
        <v>4.8</v>
      </c>
      <c r="D283">
        <v>4757</v>
      </c>
      <c r="E283">
        <v>4</v>
      </c>
      <c r="F283">
        <v>2017</v>
      </c>
      <c r="G283" t="s">
        <v>10</v>
      </c>
      <c r="I283" t="str">
        <v/>
      </c>
    </row>
    <row r="284" spans="1:9" hidden="1" x14ac:dyDescent="0.25">
      <c r="A284" t="s">
        <v>341</v>
      </c>
      <c r="B284" t="s">
        <v>342</v>
      </c>
      <c r="C284">
        <v>4.5999999999999996</v>
      </c>
      <c r="D284">
        <v>10009</v>
      </c>
      <c r="E284">
        <v>20</v>
      </c>
      <c r="F284">
        <v>2012</v>
      </c>
      <c r="G284" t="s">
        <v>8</v>
      </c>
      <c r="I284" t="str">
        <v/>
      </c>
    </row>
    <row r="285" spans="1:9" hidden="1" x14ac:dyDescent="0.25">
      <c r="A285" t="s">
        <v>341</v>
      </c>
      <c r="B285" t="s">
        <v>342</v>
      </c>
      <c r="C285">
        <v>4.5999999999999996</v>
      </c>
      <c r="D285">
        <v>10009</v>
      </c>
      <c r="E285">
        <v>7</v>
      </c>
      <c r="F285">
        <v>2013</v>
      </c>
      <c r="G285" t="s">
        <v>8</v>
      </c>
      <c r="I285" t="str">
        <v/>
      </c>
    </row>
    <row r="286" spans="1:9" hidden="1" x14ac:dyDescent="0.25">
      <c r="A286" t="s">
        <v>343</v>
      </c>
      <c r="B286" t="s">
        <v>344</v>
      </c>
      <c r="C286">
        <v>4.7</v>
      </c>
      <c r="D286">
        <v>1985</v>
      </c>
      <c r="E286">
        <v>9</v>
      </c>
      <c r="F286">
        <v>2010</v>
      </c>
      <c r="G286" t="s">
        <v>8</v>
      </c>
      <c r="I286" t="str">
        <v/>
      </c>
    </row>
    <row r="287" spans="1:9" hidden="1" x14ac:dyDescent="0.25">
      <c r="A287" t="s">
        <v>343</v>
      </c>
      <c r="B287" t="s">
        <v>344</v>
      </c>
      <c r="C287">
        <v>4.7</v>
      </c>
      <c r="D287">
        <v>1985</v>
      </c>
      <c r="E287">
        <v>9</v>
      </c>
      <c r="F287">
        <v>2011</v>
      </c>
      <c r="G287" t="s">
        <v>8</v>
      </c>
      <c r="I287" t="str">
        <v/>
      </c>
    </row>
    <row r="288" spans="1:9" hidden="1" x14ac:dyDescent="0.25">
      <c r="A288" t="s">
        <v>345</v>
      </c>
      <c r="B288" t="s">
        <v>346</v>
      </c>
      <c r="C288">
        <v>4.5999999999999996</v>
      </c>
      <c r="D288">
        <v>22536</v>
      </c>
      <c r="E288">
        <v>12</v>
      </c>
      <c r="F288">
        <v>2017</v>
      </c>
      <c r="G288" t="s">
        <v>10</v>
      </c>
      <c r="I288" t="str">
        <v/>
      </c>
    </row>
    <row r="289" spans="1:9" hidden="1" x14ac:dyDescent="0.25">
      <c r="A289" t="s">
        <v>345</v>
      </c>
      <c r="B289" t="s">
        <v>346</v>
      </c>
      <c r="C289">
        <v>4.5999999999999996</v>
      </c>
      <c r="D289">
        <v>22536</v>
      </c>
      <c r="E289">
        <v>12</v>
      </c>
      <c r="F289">
        <v>2018</v>
      </c>
      <c r="G289" t="s">
        <v>10</v>
      </c>
      <c r="I289" t="str">
        <v/>
      </c>
    </row>
    <row r="290" spans="1:9" x14ac:dyDescent="0.25">
      <c r="A290" t="s">
        <v>347</v>
      </c>
      <c r="B290" t="s">
        <v>348</v>
      </c>
      <c r="C290">
        <v>4.9000000000000004</v>
      </c>
      <c r="D290">
        <v>7150</v>
      </c>
      <c r="E290">
        <v>12</v>
      </c>
      <c r="F290">
        <v>2013</v>
      </c>
      <c r="G290" t="s">
        <v>10</v>
      </c>
      <c r="I290" s="4" t="str">
        <v>Rush Revere and the Brave Pilgrims: Time-Travel Adventures with Exceptional Americans (1)</v>
      </c>
    </row>
    <row r="291" spans="1:9" x14ac:dyDescent="0.25">
      <c r="A291" t="s">
        <v>349</v>
      </c>
      <c r="B291" t="s">
        <v>348</v>
      </c>
      <c r="C291">
        <v>4.9000000000000004</v>
      </c>
      <c r="D291">
        <v>3836</v>
      </c>
      <c r="E291">
        <v>12</v>
      </c>
      <c r="F291">
        <v>2014</v>
      </c>
      <c r="G291" t="s">
        <v>10</v>
      </c>
      <c r="I291" s="4" t="str">
        <v>Rush Revere and the First Patriots: Time-Travel Adventures With Exceptional Americans (2)</v>
      </c>
    </row>
    <row r="292" spans="1:9" hidden="1" x14ac:dyDescent="0.25">
      <c r="A292" t="s">
        <v>350</v>
      </c>
      <c r="B292" t="s">
        <v>351</v>
      </c>
      <c r="C292">
        <v>4.8</v>
      </c>
      <c r="D292">
        <v>7802</v>
      </c>
      <c r="E292">
        <v>20</v>
      </c>
      <c r="F292">
        <v>2018</v>
      </c>
      <c r="G292" t="s">
        <v>8</v>
      </c>
      <c r="I292" t="str">
        <v/>
      </c>
    </row>
    <row r="293" spans="1:9" hidden="1" x14ac:dyDescent="0.25">
      <c r="A293" t="s">
        <v>350</v>
      </c>
      <c r="B293" t="s">
        <v>351</v>
      </c>
      <c r="C293">
        <v>4.8</v>
      </c>
      <c r="D293">
        <v>7802</v>
      </c>
      <c r="E293">
        <v>20</v>
      </c>
      <c r="F293">
        <v>2019</v>
      </c>
      <c r="G293" t="s">
        <v>8</v>
      </c>
      <c r="I293" t="str">
        <v/>
      </c>
    </row>
    <row r="294" spans="1:9" hidden="1" x14ac:dyDescent="0.25">
      <c r="A294" t="s">
        <v>352</v>
      </c>
      <c r="B294" t="s">
        <v>353</v>
      </c>
      <c r="C294">
        <v>4.5999999999999996</v>
      </c>
      <c r="D294">
        <v>3619</v>
      </c>
      <c r="E294">
        <v>10</v>
      </c>
      <c r="F294">
        <v>2010</v>
      </c>
      <c r="G294" t="s">
        <v>10</v>
      </c>
      <c r="I294" t="str">
        <v/>
      </c>
    </row>
    <row r="295" spans="1:9" hidden="1" x14ac:dyDescent="0.25">
      <c r="A295" t="s">
        <v>354</v>
      </c>
      <c r="B295" t="s">
        <v>355</v>
      </c>
      <c r="C295">
        <v>4.8</v>
      </c>
      <c r="D295">
        <v>23047</v>
      </c>
      <c r="E295">
        <v>6</v>
      </c>
      <c r="F295">
        <v>2018</v>
      </c>
      <c r="G295" t="s">
        <v>8</v>
      </c>
      <c r="I295" t="str">
        <v/>
      </c>
    </row>
    <row r="296" spans="1:9" hidden="1" x14ac:dyDescent="0.25">
      <c r="A296" t="s">
        <v>354</v>
      </c>
      <c r="B296" t="s">
        <v>355</v>
      </c>
      <c r="C296">
        <v>4.8</v>
      </c>
      <c r="D296">
        <v>23047</v>
      </c>
      <c r="E296">
        <v>6</v>
      </c>
      <c r="F296">
        <v>2019</v>
      </c>
      <c r="G296" t="s">
        <v>8</v>
      </c>
      <c r="I296" t="str">
        <v/>
      </c>
    </row>
    <row r="297" spans="1:9" hidden="1" x14ac:dyDescent="0.25">
      <c r="A297" t="s">
        <v>356</v>
      </c>
      <c r="B297" t="s">
        <v>147</v>
      </c>
      <c r="C297">
        <v>4.7</v>
      </c>
      <c r="D297">
        <v>9366</v>
      </c>
      <c r="E297">
        <v>9</v>
      </c>
      <c r="F297">
        <v>2015</v>
      </c>
      <c r="G297" t="s">
        <v>8</v>
      </c>
      <c r="I297" t="str">
        <v/>
      </c>
    </row>
    <row r="298" spans="1:9" hidden="1" x14ac:dyDescent="0.25">
      <c r="A298" t="s">
        <v>357</v>
      </c>
      <c r="B298" t="s">
        <v>358</v>
      </c>
      <c r="C298">
        <v>4.7</v>
      </c>
      <c r="D298">
        <v>1265</v>
      </c>
      <c r="E298">
        <v>11</v>
      </c>
      <c r="F298">
        <v>2010</v>
      </c>
      <c r="G298" t="s">
        <v>8</v>
      </c>
      <c r="I298" t="str">
        <v/>
      </c>
    </row>
    <row r="299" spans="1:9" hidden="1" x14ac:dyDescent="0.25">
      <c r="A299" t="s">
        <v>359</v>
      </c>
      <c r="B299" t="s">
        <v>360</v>
      </c>
      <c r="C299">
        <v>4.8</v>
      </c>
      <c r="D299">
        <v>3923</v>
      </c>
      <c r="E299">
        <v>16</v>
      </c>
      <c r="F299">
        <v>2018</v>
      </c>
      <c r="G299" t="s">
        <v>8</v>
      </c>
      <c r="I299" t="str">
        <v/>
      </c>
    </row>
    <row r="300" spans="1:9" hidden="1" x14ac:dyDescent="0.25">
      <c r="A300" t="s">
        <v>361</v>
      </c>
      <c r="B300" t="s">
        <v>362</v>
      </c>
      <c r="C300">
        <v>4.0999999999999996</v>
      </c>
      <c r="D300">
        <v>2272</v>
      </c>
      <c r="E300">
        <v>6</v>
      </c>
      <c r="F300">
        <v>2013</v>
      </c>
      <c r="G300" t="s">
        <v>8</v>
      </c>
      <c r="I300" t="str">
        <v/>
      </c>
    </row>
    <row r="301" spans="1:9" hidden="1" x14ac:dyDescent="0.25">
      <c r="A301" t="s">
        <v>363</v>
      </c>
      <c r="B301" t="s">
        <v>103</v>
      </c>
      <c r="C301">
        <v>4.7</v>
      </c>
      <c r="D301">
        <v>973</v>
      </c>
      <c r="E301">
        <v>25</v>
      </c>
      <c r="F301">
        <v>2009</v>
      </c>
      <c r="G301" t="s">
        <v>10</v>
      </c>
      <c r="I301" t="str">
        <v/>
      </c>
    </row>
    <row r="302" spans="1:9" hidden="1" x14ac:dyDescent="0.25">
      <c r="A302" t="s">
        <v>364</v>
      </c>
      <c r="B302" t="s">
        <v>122</v>
      </c>
      <c r="C302">
        <v>4.5999999999999996</v>
      </c>
      <c r="D302">
        <v>220</v>
      </c>
      <c r="E302">
        <v>17</v>
      </c>
      <c r="F302">
        <v>2013</v>
      </c>
      <c r="G302" t="s">
        <v>8</v>
      </c>
      <c r="I302" t="str">
        <v/>
      </c>
    </row>
    <row r="303" spans="1:9" hidden="1" x14ac:dyDescent="0.25">
      <c r="A303" t="s">
        <v>365</v>
      </c>
      <c r="B303" t="s">
        <v>273</v>
      </c>
      <c r="C303">
        <v>4.5999999999999996</v>
      </c>
      <c r="D303">
        <v>7827</v>
      </c>
      <c r="E303">
        <v>20</v>
      </c>
      <c r="F303">
        <v>2011</v>
      </c>
      <c r="G303" t="s">
        <v>8</v>
      </c>
      <c r="I303" t="str">
        <v/>
      </c>
    </row>
    <row r="304" spans="1:9" hidden="1" x14ac:dyDescent="0.25">
      <c r="A304" t="s">
        <v>365</v>
      </c>
      <c r="B304" t="s">
        <v>273</v>
      </c>
      <c r="C304">
        <v>4.5999999999999996</v>
      </c>
      <c r="D304">
        <v>7827</v>
      </c>
      <c r="E304">
        <v>20</v>
      </c>
      <c r="F304">
        <v>2012</v>
      </c>
      <c r="G304" t="s">
        <v>8</v>
      </c>
      <c r="I304" t="str">
        <v/>
      </c>
    </row>
    <row r="305" spans="1:9" x14ac:dyDescent="0.25">
      <c r="A305" t="s">
        <v>366</v>
      </c>
      <c r="B305" t="s">
        <v>367</v>
      </c>
      <c r="C305">
        <v>4.9000000000000004</v>
      </c>
      <c r="D305">
        <v>9382</v>
      </c>
      <c r="E305">
        <v>6</v>
      </c>
      <c r="F305">
        <v>2019</v>
      </c>
      <c r="G305" t="s">
        <v>10</v>
      </c>
      <c r="I305" s="4" t="str">
        <v>Strange Planet (Strange Planet Series)</v>
      </c>
    </row>
    <row r="306" spans="1:9" hidden="1" x14ac:dyDescent="0.25">
      <c r="A306" t="s">
        <v>368</v>
      </c>
      <c r="B306" t="s">
        <v>369</v>
      </c>
      <c r="C306">
        <v>4</v>
      </c>
      <c r="D306">
        <v>5069</v>
      </c>
      <c r="E306">
        <v>17</v>
      </c>
      <c r="F306">
        <v>2009</v>
      </c>
      <c r="G306" t="s">
        <v>8</v>
      </c>
      <c r="I306" t="str">
        <v/>
      </c>
    </row>
    <row r="307" spans="1:9" hidden="1" x14ac:dyDescent="0.25">
      <c r="A307" t="s">
        <v>368</v>
      </c>
      <c r="B307" t="s">
        <v>369</v>
      </c>
      <c r="C307">
        <v>4</v>
      </c>
      <c r="D307">
        <v>5069</v>
      </c>
      <c r="E307">
        <v>17</v>
      </c>
      <c r="F307">
        <v>2010</v>
      </c>
      <c r="G307" t="s">
        <v>8</v>
      </c>
      <c r="I307" t="str">
        <v/>
      </c>
    </row>
    <row r="308" spans="1:9" hidden="1" x14ac:dyDescent="0.25">
      <c r="A308" t="s">
        <v>368</v>
      </c>
      <c r="B308" t="s">
        <v>369</v>
      </c>
      <c r="C308">
        <v>4</v>
      </c>
      <c r="D308">
        <v>5069</v>
      </c>
      <c r="E308">
        <v>17</v>
      </c>
      <c r="F308">
        <v>2011</v>
      </c>
      <c r="G308" t="s">
        <v>8</v>
      </c>
      <c r="I308" t="str">
        <v/>
      </c>
    </row>
    <row r="309" spans="1:9" hidden="1" x14ac:dyDescent="0.25">
      <c r="A309" t="s">
        <v>368</v>
      </c>
      <c r="B309" t="s">
        <v>369</v>
      </c>
      <c r="C309">
        <v>4</v>
      </c>
      <c r="D309">
        <v>5069</v>
      </c>
      <c r="E309">
        <v>17</v>
      </c>
      <c r="F309">
        <v>2012</v>
      </c>
      <c r="G309" t="s">
        <v>8</v>
      </c>
      <c r="I309" t="str">
        <v/>
      </c>
    </row>
    <row r="310" spans="1:9" hidden="1" x14ac:dyDescent="0.25">
      <c r="A310" t="s">
        <v>368</v>
      </c>
      <c r="B310" t="s">
        <v>369</v>
      </c>
      <c r="C310">
        <v>4</v>
      </c>
      <c r="D310">
        <v>5069</v>
      </c>
      <c r="E310">
        <v>17</v>
      </c>
      <c r="F310">
        <v>2013</v>
      </c>
      <c r="G310" t="s">
        <v>8</v>
      </c>
      <c r="I310" t="str">
        <v/>
      </c>
    </row>
    <row r="311" spans="1:9" hidden="1" x14ac:dyDescent="0.25">
      <c r="A311" t="s">
        <v>368</v>
      </c>
      <c r="B311" t="s">
        <v>369</v>
      </c>
      <c r="C311">
        <v>4</v>
      </c>
      <c r="D311">
        <v>5069</v>
      </c>
      <c r="E311">
        <v>17</v>
      </c>
      <c r="F311">
        <v>2014</v>
      </c>
      <c r="G311" t="s">
        <v>8</v>
      </c>
      <c r="I311" t="str">
        <v/>
      </c>
    </row>
    <row r="312" spans="1:9" hidden="1" x14ac:dyDescent="0.25">
      <c r="A312" t="s">
        <v>368</v>
      </c>
      <c r="B312" t="s">
        <v>369</v>
      </c>
      <c r="C312">
        <v>4</v>
      </c>
      <c r="D312">
        <v>5069</v>
      </c>
      <c r="E312">
        <v>17</v>
      </c>
      <c r="F312">
        <v>2015</v>
      </c>
      <c r="G312" t="s">
        <v>8</v>
      </c>
      <c r="I312" t="str">
        <v/>
      </c>
    </row>
    <row r="313" spans="1:9" hidden="1" x14ac:dyDescent="0.25">
      <c r="A313" t="s">
        <v>368</v>
      </c>
      <c r="B313" t="s">
        <v>369</v>
      </c>
      <c r="C313">
        <v>4</v>
      </c>
      <c r="D313">
        <v>5069</v>
      </c>
      <c r="E313">
        <v>17</v>
      </c>
      <c r="F313">
        <v>2016</v>
      </c>
      <c r="G313" t="s">
        <v>8</v>
      </c>
      <c r="I313" t="str">
        <v/>
      </c>
    </row>
    <row r="314" spans="1:9" hidden="1" x14ac:dyDescent="0.25">
      <c r="A314" t="s">
        <v>368</v>
      </c>
      <c r="B314" t="s">
        <v>369</v>
      </c>
      <c r="C314">
        <v>4</v>
      </c>
      <c r="D314">
        <v>5069</v>
      </c>
      <c r="E314">
        <v>17</v>
      </c>
      <c r="F314">
        <v>2017</v>
      </c>
      <c r="G314" t="s">
        <v>8</v>
      </c>
      <c r="I314" t="str">
        <v/>
      </c>
    </row>
    <row r="315" spans="1:9" hidden="1" x14ac:dyDescent="0.25">
      <c r="A315" t="s">
        <v>370</v>
      </c>
      <c r="B315" t="s">
        <v>371</v>
      </c>
      <c r="C315">
        <v>4.5</v>
      </c>
      <c r="D315">
        <v>1583</v>
      </c>
      <c r="E315">
        <v>18</v>
      </c>
      <c r="F315">
        <v>2009</v>
      </c>
      <c r="G315" t="s">
        <v>8</v>
      </c>
      <c r="I315" t="str">
        <v/>
      </c>
    </row>
    <row r="316" spans="1:9" hidden="1" x14ac:dyDescent="0.25">
      <c r="A316" t="s">
        <v>372</v>
      </c>
      <c r="B316" t="s">
        <v>373</v>
      </c>
      <c r="C316">
        <v>4.5999999999999996</v>
      </c>
      <c r="D316">
        <v>1907</v>
      </c>
      <c r="E316">
        <v>13</v>
      </c>
      <c r="F316">
        <v>2010</v>
      </c>
      <c r="G316" t="s">
        <v>8</v>
      </c>
      <c r="I316" t="str">
        <v/>
      </c>
    </row>
    <row r="317" spans="1:9" hidden="1" x14ac:dyDescent="0.25">
      <c r="A317" t="s">
        <v>374</v>
      </c>
      <c r="B317" t="s">
        <v>375</v>
      </c>
      <c r="C317">
        <v>4.5</v>
      </c>
      <c r="D317">
        <v>23114</v>
      </c>
      <c r="E317">
        <v>18</v>
      </c>
      <c r="F317">
        <v>2013</v>
      </c>
      <c r="G317" t="s">
        <v>10</v>
      </c>
      <c r="I317" t="str">
        <v/>
      </c>
    </row>
    <row r="318" spans="1:9" hidden="1" x14ac:dyDescent="0.25">
      <c r="A318" t="s">
        <v>376</v>
      </c>
      <c r="B318" t="s">
        <v>377</v>
      </c>
      <c r="C318">
        <v>4.4000000000000004</v>
      </c>
      <c r="D318">
        <v>637</v>
      </c>
      <c r="E318">
        <v>20</v>
      </c>
      <c r="F318">
        <v>2010</v>
      </c>
      <c r="G318" t="s">
        <v>8</v>
      </c>
      <c r="I318" t="str">
        <v/>
      </c>
    </row>
    <row r="319" spans="1:9" hidden="1" x14ac:dyDescent="0.25">
      <c r="A319" t="s">
        <v>376</v>
      </c>
      <c r="B319" t="s">
        <v>377</v>
      </c>
      <c r="C319">
        <v>4.4000000000000004</v>
      </c>
      <c r="D319">
        <v>637</v>
      </c>
      <c r="E319">
        <v>20</v>
      </c>
      <c r="F319">
        <v>2011</v>
      </c>
      <c r="G319" t="s">
        <v>8</v>
      </c>
      <c r="I319" t="str">
        <v/>
      </c>
    </row>
    <row r="320" spans="1:9" hidden="1" x14ac:dyDescent="0.25">
      <c r="A320" t="s">
        <v>378</v>
      </c>
      <c r="B320" t="s">
        <v>379</v>
      </c>
      <c r="C320">
        <v>4.3</v>
      </c>
      <c r="D320">
        <v>2314</v>
      </c>
      <c r="E320">
        <v>22</v>
      </c>
      <c r="F320">
        <v>2011</v>
      </c>
      <c r="G320" t="s">
        <v>8</v>
      </c>
      <c r="I320" t="str">
        <v/>
      </c>
    </row>
    <row r="321" spans="1:9" hidden="1" x14ac:dyDescent="0.25">
      <c r="A321" t="s">
        <v>380</v>
      </c>
      <c r="B321" t="s">
        <v>381</v>
      </c>
      <c r="C321">
        <v>4.3</v>
      </c>
      <c r="D321">
        <v>4587</v>
      </c>
      <c r="E321">
        <v>21</v>
      </c>
      <c r="F321">
        <v>2011</v>
      </c>
      <c r="G321" t="s">
        <v>8</v>
      </c>
      <c r="I321" t="str">
        <v/>
      </c>
    </row>
    <row r="322" spans="1:9" hidden="1" x14ac:dyDescent="0.25">
      <c r="A322" t="s">
        <v>382</v>
      </c>
      <c r="B322" t="s">
        <v>383</v>
      </c>
      <c r="C322">
        <v>4.7</v>
      </c>
      <c r="D322">
        <v>3477</v>
      </c>
      <c r="E322">
        <v>28</v>
      </c>
      <c r="F322">
        <v>2010</v>
      </c>
      <c r="G322" t="s">
        <v>8</v>
      </c>
      <c r="I322" t="str">
        <v/>
      </c>
    </row>
    <row r="323" spans="1:9" hidden="1" x14ac:dyDescent="0.25">
      <c r="A323" t="s">
        <v>382</v>
      </c>
      <c r="B323" t="s">
        <v>383</v>
      </c>
      <c r="C323">
        <v>4.7</v>
      </c>
      <c r="D323">
        <v>3477</v>
      </c>
      <c r="E323">
        <v>28</v>
      </c>
      <c r="F323">
        <v>2011</v>
      </c>
      <c r="G323" t="s">
        <v>8</v>
      </c>
      <c r="I323" t="str">
        <v/>
      </c>
    </row>
    <row r="324" spans="1:9" hidden="1" x14ac:dyDescent="0.25">
      <c r="A324" t="s">
        <v>382</v>
      </c>
      <c r="B324" t="s">
        <v>383</v>
      </c>
      <c r="C324">
        <v>4.7</v>
      </c>
      <c r="D324">
        <v>3477</v>
      </c>
      <c r="E324">
        <v>28</v>
      </c>
      <c r="F324">
        <v>2012</v>
      </c>
      <c r="G324" t="s">
        <v>8</v>
      </c>
      <c r="I324" t="str">
        <v/>
      </c>
    </row>
    <row r="325" spans="1:9" hidden="1" x14ac:dyDescent="0.25">
      <c r="A325" t="s">
        <v>382</v>
      </c>
      <c r="B325" t="s">
        <v>383</v>
      </c>
      <c r="C325">
        <v>4.7</v>
      </c>
      <c r="D325">
        <v>3477</v>
      </c>
      <c r="E325">
        <v>28</v>
      </c>
      <c r="F325">
        <v>2013</v>
      </c>
      <c r="G325" t="s">
        <v>8</v>
      </c>
      <c r="I325" t="str">
        <v/>
      </c>
    </row>
    <row r="326" spans="1:9" hidden="1" x14ac:dyDescent="0.25">
      <c r="A326" t="s">
        <v>382</v>
      </c>
      <c r="B326" t="s">
        <v>383</v>
      </c>
      <c r="C326">
        <v>4.7</v>
      </c>
      <c r="D326">
        <v>3477</v>
      </c>
      <c r="E326">
        <v>28</v>
      </c>
      <c r="F326">
        <v>2014</v>
      </c>
      <c r="G326" t="s">
        <v>8</v>
      </c>
      <c r="I326" t="str">
        <v/>
      </c>
    </row>
    <row r="327" spans="1:9" hidden="1" x14ac:dyDescent="0.25">
      <c r="A327" t="s">
        <v>384</v>
      </c>
      <c r="B327" t="s">
        <v>383</v>
      </c>
      <c r="C327">
        <v>4.8</v>
      </c>
      <c r="D327">
        <v>25554</v>
      </c>
      <c r="E327">
        <v>8</v>
      </c>
      <c r="F327">
        <v>2015</v>
      </c>
      <c r="G327" t="s">
        <v>8</v>
      </c>
      <c r="I327" t="str">
        <v/>
      </c>
    </row>
    <row r="328" spans="1:9" hidden="1" x14ac:dyDescent="0.25">
      <c r="A328" t="s">
        <v>384</v>
      </c>
      <c r="B328" t="s">
        <v>383</v>
      </c>
      <c r="C328">
        <v>4.8</v>
      </c>
      <c r="D328">
        <v>25554</v>
      </c>
      <c r="E328">
        <v>8</v>
      </c>
      <c r="F328">
        <v>2016</v>
      </c>
      <c r="G328" t="s">
        <v>8</v>
      </c>
      <c r="I328" t="str">
        <v/>
      </c>
    </row>
    <row r="329" spans="1:9" hidden="1" x14ac:dyDescent="0.25">
      <c r="A329" t="s">
        <v>384</v>
      </c>
      <c r="B329" t="s">
        <v>383</v>
      </c>
      <c r="C329">
        <v>4.8</v>
      </c>
      <c r="D329">
        <v>25554</v>
      </c>
      <c r="E329">
        <v>8</v>
      </c>
      <c r="F329">
        <v>2017</v>
      </c>
      <c r="G329" t="s">
        <v>8</v>
      </c>
      <c r="I329" t="str">
        <v/>
      </c>
    </row>
    <row r="330" spans="1:9" hidden="1" x14ac:dyDescent="0.25">
      <c r="A330" t="s">
        <v>384</v>
      </c>
      <c r="B330" t="s">
        <v>383</v>
      </c>
      <c r="C330">
        <v>4.8</v>
      </c>
      <c r="D330">
        <v>25554</v>
      </c>
      <c r="E330">
        <v>8</v>
      </c>
      <c r="F330">
        <v>2018</v>
      </c>
      <c r="G330" t="s">
        <v>8</v>
      </c>
      <c r="I330" t="str">
        <v/>
      </c>
    </row>
    <row r="331" spans="1:9" hidden="1" x14ac:dyDescent="0.25">
      <c r="A331" t="s">
        <v>384</v>
      </c>
      <c r="B331" t="s">
        <v>383</v>
      </c>
      <c r="C331">
        <v>4.8</v>
      </c>
      <c r="D331">
        <v>25554</v>
      </c>
      <c r="E331">
        <v>8</v>
      </c>
      <c r="F331">
        <v>2019</v>
      </c>
      <c r="G331" t="s">
        <v>8</v>
      </c>
      <c r="I331" t="str">
        <v/>
      </c>
    </row>
    <row r="332" spans="1:9" hidden="1" x14ac:dyDescent="0.25">
      <c r="A332" t="s">
        <v>385</v>
      </c>
      <c r="B332" t="s">
        <v>386</v>
      </c>
      <c r="C332">
        <v>4.8</v>
      </c>
      <c r="D332">
        <v>1680</v>
      </c>
      <c r="E332">
        <v>12</v>
      </c>
      <c r="F332">
        <v>2009</v>
      </c>
      <c r="G332" t="s">
        <v>8</v>
      </c>
      <c r="I332" t="str">
        <v/>
      </c>
    </row>
    <row r="333" spans="1:9" hidden="1" x14ac:dyDescent="0.25">
      <c r="A333" t="s">
        <v>387</v>
      </c>
      <c r="B333" t="s">
        <v>388</v>
      </c>
      <c r="C333">
        <v>4.5999999999999996</v>
      </c>
      <c r="D333">
        <v>9325</v>
      </c>
      <c r="E333">
        <v>24</v>
      </c>
      <c r="F333">
        <v>2009</v>
      </c>
      <c r="G333" t="s">
        <v>8</v>
      </c>
      <c r="I333" t="str">
        <v/>
      </c>
    </row>
    <row r="334" spans="1:9" hidden="1" x14ac:dyDescent="0.25">
      <c r="A334" t="s">
        <v>387</v>
      </c>
      <c r="B334" t="s">
        <v>388</v>
      </c>
      <c r="C334">
        <v>4.5999999999999996</v>
      </c>
      <c r="D334">
        <v>9325</v>
      </c>
      <c r="E334">
        <v>24</v>
      </c>
      <c r="F334">
        <v>2011</v>
      </c>
      <c r="G334" t="s">
        <v>8</v>
      </c>
      <c r="I334" t="str">
        <v/>
      </c>
    </row>
    <row r="335" spans="1:9" hidden="1" x14ac:dyDescent="0.25">
      <c r="A335" t="s">
        <v>387</v>
      </c>
      <c r="B335" t="s">
        <v>388</v>
      </c>
      <c r="C335">
        <v>4.5999999999999996</v>
      </c>
      <c r="D335">
        <v>9325</v>
      </c>
      <c r="E335">
        <v>24</v>
      </c>
      <c r="F335">
        <v>2012</v>
      </c>
      <c r="G335" t="s">
        <v>8</v>
      </c>
      <c r="I335" t="str">
        <v/>
      </c>
    </row>
    <row r="336" spans="1:9" hidden="1" x14ac:dyDescent="0.25">
      <c r="A336" t="s">
        <v>387</v>
      </c>
      <c r="B336" t="s">
        <v>388</v>
      </c>
      <c r="C336">
        <v>4.5999999999999996</v>
      </c>
      <c r="D336">
        <v>9325</v>
      </c>
      <c r="E336">
        <v>24</v>
      </c>
      <c r="F336">
        <v>2013</v>
      </c>
      <c r="G336" t="s">
        <v>8</v>
      </c>
      <c r="I336" t="str">
        <v/>
      </c>
    </row>
    <row r="337" spans="1:9" hidden="1" x14ac:dyDescent="0.25">
      <c r="A337" t="s">
        <v>387</v>
      </c>
      <c r="B337" t="s">
        <v>388</v>
      </c>
      <c r="C337">
        <v>4.7</v>
      </c>
      <c r="D337">
        <v>4725</v>
      </c>
      <c r="E337">
        <v>16</v>
      </c>
      <c r="F337">
        <v>2015</v>
      </c>
      <c r="G337" t="s">
        <v>8</v>
      </c>
      <c r="I337" t="str">
        <v/>
      </c>
    </row>
    <row r="338" spans="1:9" hidden="1" x14ac:dyDescent="0.25">
      <c r="A338" t="s">
        <v>387</v>
      </c>
      <c r="B338" t="s">
        <v>388</v>
      </c>
      <c r="C338">
        <v>4.7</v>
      </c>
      <c r="D338">
        <v>4725</v>
      </c>
      <c r="E338">
        <v>16</v>
      </c>
      <c r="F338">
        <v>2016</v>
      </c>
      <c r="G338" t="s">
        <v>8</v>
      </c>
      <c r="I338" t="str">
        <v/>
      </c>
    </row>
    <row r="339" spans="1:9" hidden="1" x14ac:dyDescent="0.25">
      <c r="A339" t="s">
        <v>387</v>
      </c>
      <c r="B339" t="s">
        <v>388</v>
      </c>
      <c r="C339">
        <v>4.7</v>
      </c>
      <c r="D339">
        <v>4725</v>
      </c>
      <c r="E339">
        <v>16</v>
      </c>
      <c r="F339">
        <v>2017</v>
      </c>
      <c r="G339" t="s">
        <v>8</v>
      </c>
      <c r="I339" t="str">
        <v/>
      </c>
    </row>
    <row r="340" spans="1:9" hidden="1" x14ac:dyDescent="0.25">
      <c r="A340" t="s">
        <v>389</v>
      </c>
      <c r="B340" t="s">
        <v>390</v>
      </c>
      <c r="C340">
        <v>4.7</v>
      </c>
      <c r="D340">
        <v>35799</v>
      </c>
      <c r="E340">
        <v>39</v>
      </c>
      <c r="F340">
        <v>2014</v>
      </c>
      <c r="G340" t="s">
        <v>10</v>
      </c>
      <c r="I340" t="str">
        <v/>
      </c>
    </row>
    <row r="341" spans="1:9" hidden="1" x14ac:dyDescent="0.25">
      <c r="A341" t="s">
        <v>391</v>
      </c>
      <c r="B341" t="s">
        <v>392</v>
      </c>
      <c r="C341">
        <v>4.5999999999999996</v>
      </c>
      <c r="D341">
        <v>2580</v>
      </c>
      <c r="E341">
        <v>9</v>
      </c>
      <c r="F341">
        <v>2012</v>
      </c>
      <c r="G341" t="s">
        <v>8</v>
      </c>
      <c r="I341" t="str">
        <v/>
      </c>
    </row>
    <row r="342" spans="1:9" hidden="1" x14ac:dyDescent="0.25">
      <c r="A342" t="s">
        <v>393</v>
      </c>
      <c r="B342" t="s">
        <v>394</v>
      </c>
      <c r="C342">
        <v>4.7</v>
      </c>
      <c r="D342">
        <v>11813</v>
      </c>
      <c r="E342">
        <v>10</v>
      </c>
      <c r="F342">
        <v>2010</v>
      </c>
      <c r="G342" t="s">
        <v>10</v>
      </c>
      <c r="I342" t="str">
        <v/>
      </c>
    </row>
    <row r="343" spans="1:9" hidden="1" x14ac:dyDescent="0.25">
      <c r="A343" t="s">
        <v>393</v>
      </c>
      <c r="B343" t="s">
        <v>394</v>
      </c>
      <c r="C343">
        <v>4.7</v>
      </c>
      <c r="D343">
        <v>11813</v>
      </c>
      <c r="E343">
        <v>10</v>
      </c>
      <c r="F343">
        <v>2011</v>
      </c>
      <c r="G343" t="s">
        <v>10</v>
      </c>
      <c r="I343" t="str">
        <v/>
      </c>
    </row>
    <row r="344" spans="1:9" hidden="1" x14ac:dyDescent="0.25">
      <c r="A344" t="s">
        <v>395</v>
      </c>
      <c r="B344" t="s">
        <v>396</v>
      </c>
      <c r="C344">
        <v>4.7</v>
      </c>
      <c r="D344">
        <v>3536</v>
      </c>
      <c r="E344">
        <v>17</v>
      </c>
      <c r="F344">
        <v>2010</v>
      </c>
      <c r="G344" t="s">
        <v>8</v>
      </c>
      <c r="I344" t="str">
        <v/>
      </c>
    </row>
    <row r="345" spans="1:9" hidden="1" x14ac:dyDescent="0.25">
      <c r="A345" t="s">
        <v>397</v>
      </c>
      <c r="B345" t="s">
        <v>331</v>
      </c>
      <c r="C345">
        <v>4.8</v>
      </c>
      <c r="D345">
        <v>6600</v>
      </c>
      <c r="E345">
        <v>11</v>
      </c>
      <c r="F345">
        <v>2014</v>
      </c>
      <c r="G345" t="s">
        <v>10</v>
      </c>
      <c r="I345" t="str">
        <v/>
      </c>
    </row>
    <row r="346" spans="1:9" hidden="1" x14ac:dyDescent="0.25">
      <c r="A346" t="s">
        <v>398</v>
      </c>
      <c r="B346" t="s">
        <v>399</v>
      </c>
      <c r="C346">
        <v>4.2</v>
      </c>
      <c r="D346">
        <v>1789</v>
      </c>
      <c r="E346">
        <v>14</v>
      </c>
      <c r="F346">
        <v>2012</v>
      </c>
      <c r="G346" t="s">
        <v>8</v>
      </c>
      <c r="I346" t="str">
        <v/>
      </c>
    </row>
    <row r="347" spans="1:9" hidden="1" x14ac:dyDescent="0.25">
      <c r="A347" t="s">
        <v>400</v>
      </c>
      <c r="B347" t="s">
        <v>401</v>
      </c>
      <c r="C347">
        <v>4.8</v>
      </c>
      <c r="D347">
        <v>12361</v>
      </c>
      <c r="E347">
        <v>12</v>
      </c>
      <c r="F347">
        <v>2019</v>
      </c>
      <c r="G347" t="s">
        <v>8</v>
      </c>
      <c r="I347" t="str">
        <v/>
      </c>
    </row>
    <row r="348" spans="1:9" hidden="1" x14ac:dyDescent="0.25">
      <c r="A348" t="s">
        <v>402</v>
      </c>
      <c r="B348" t="s">
        <v>403</v>
      </c>
      <c r="C348">
        <v>4.7</v>
      </c>
      <c r="D348">
        <v>858</v>
      </c>
      <c r="E348">
        <v>53</v>
      </c>
      <c r="F348">
        <v>2009</v>
      </c>
      <c r="G348" t="s">
        <v>8</v>
      </c>
      <c r="I348" t="str">
        <v/>
      </c>
    </row>
    <row r="349" spans="1:9" hidden="1" x14ac:dyDescent="0.25">
      <c r="A349" t="s">
        <v>404</v>
      </c>
      <c r="B349" t="s">
        <v>405</v>
      </c>
      <c r="C349">
        <v>4.5999999999999996</v>
      </c>
      <c r="D349">
        <v>23148</v>
      </c>
      <c r="E349">
        <v>6</v>
      </c>
      <c r="F349">
        <v>2013</v>
      </c>
      <c r="G349" t="s">
        <v>10</v>
      </c>
      <c r="I349" t="str">
        <v/>
      </c>
    </row>
    <row r="350" spans="1:9" hidden="1" x14ac:dyDescent="0.25">
      <c r="A350" t="s">
        <v>404</v>
      </c>
      <c r="B350" t="s">
        <v>405</v>
      </c>
      <c r="C350">
        <v>4.5999999999999996</v>
      </c>
      <c r="D350">
        <v>23148</v>
      </c>
      <c r="E350">
        <v>6</v>
      </c>
      <c r="F350">
        <v>2014</v>
      </c>
      <c r="G350" t="s">
        <v>10</v>
      </c>
      <c r="I350" t="str">
        <v/>
      </c>
    </row>
    <row r="351" spans="1:9" hidden="1" x14ac:dyDescent="0.25">
      <c r="A351" t="s">
        <v>406</v>
      </c>
      <c r="B351" t="s">
        <v>407</v>
      </c>
      <c r="C351">
        <v>4.8</v>
      </c>
      <c r="D351">
        <v>8081</v>
      </c>
      <c r="E351">
        <v>8</v>
      </c>
      <c r="F351">
        <v>2014</v>
      </c>
      <c r="G351" t="s">
        <v>10</v>
      </c>
      <c r="I351" t="str">
        <v/>
      </c>
    </row>
    <row r="352" spans="1:9" hidden="1" x14ac:dyDescent="0.25">
      <c r="A352" t="s">
        <v>406</v>
      </c>
      <c r="B352" t="s">
        <v>407</v>
      </c>
      <c r="C352">
        <v>4.8</v>
      </c>
      <c r="D352">
        <v>8081</v>
      </c>
      <c r="E352">
        <v>8</v>
      </c>
      <c r="F352">
        <v>2015</v>
      </c>
      <c r="G352" t="s">
        <v>10</v>
      </c>
      <c r="I352" t="str">
        <v/>
      </c>
    </row>
    <row r="353" spans="1:9" hidden="1" x14ac:dyDescent="0.25">
      <c r="A353" t="s">
        <v>408</v>
      </c>
      <c r="B353" t="s">
        <v>409</v>
      </c>
      <c r="C353">
        <v>4.8</v>
      </c>
      <c r="D353">
        <v>23358</v>
      </c>
      <c r="E353">
        <v>12</v>
      </c>
      <c r="F353">
        <v>2014</v>
      </c>
      <c r="G353" t="s">
        <v>8</v>
      </c>
      <c r="I353" t="str">
        <v/>
      </c>
    </row>
    <row r="354" spans="1:9" hidden="1" x14ac:dyDescent="0.25">
      <c r="A354" t="s">
        <v>408</v>
      </c>
      <c r="B354" t="s">
        <v>409</v>
      </c>
      <c r="C354">
        <v>4.8</v>
      </c>
      <c r="D354">
        <v>23358</v>
      </c>
      <c r="E354">
        <v>12</v>
      </c>
      <c r="F354">
        <v>2015</v>
      </c>
      <c r="G354" t="s">
        <v>8</v>
      </c>
      <c r="I354" t="str">
        <v/>
      </c>
    </row>
    <row r="355" spans="1:9" hidden="1" x14ac:dyDescent="0.25">
      <c r="A355" t="s">
        <v>410</v>
      </c>
      <c r="B355" t="s">
        <v>151</v>
      </c>
      <c r="C355">
        <v>3.3</v>
      </c>
      <c r="D355">
        <v>9372</v>
      </c>
      <c r="E355">
        <v>12</v>
      </c>
      <c r="F355">
        <v>2012</v>
      </c>
      <c r="G355" t="s">
        <v>10</v>
      </c>
      <c r="I355" t="str">
        <v/>
      </c>
    </row>
    <row r="356" spans="1:9" hidden="1" x14ac:dyDescent="0.25">
      <c r="A356" t="s">
        <v>411</v>
      </c>
      <c r="B356" t="s">
        <v>412</v>
      </c>
      <c r="C356">
        <v>4.7</v>
      </c>
      <c r="D356">
        <v>4633</v>
      </c>
      <c r="E356">
        <v>21</v>
      </c>
      <c r="F356">
        <v>2011</v>
      </c>
      <c r="G356" t="s">
        <v>8</v>
      </c>
      <c r="I356" t="str">
        <v/>
      </c>
    </row>
    <row r="357" spans="1:9" hidden="1" x14ac:dyDescent="0.25">
      <c r="A357" t="s">
        <v>413</v>
      </c>
      <c r="B357" t="s">
        <v>414</v>
      </c>
      <c r="C357">
        <v>4.3</v>
      </c>
      <c r="D357">
        <v>13061</v>
      </c>
      <c r="E357">
        <v>6</v>
      </c>
      <c r="F357">
        <v>2018</v>
      </c>
      <c r="G357" t="s">
        <v>8</v>
      </c>
      <c r="I357" t="str">
        <v/>
      </c>
    </row>
    <row r="358" spans="1:9" hidden="1" x14ac:dyDescent="0.25">
      <c r="A358" t="s">
        <v>413</v>
      </c>
      <c r="B358" t="s">
        <v>414</v>
      </c>
      <c r="C358">
        <v>4.3</v>
      </c>
      <c r="D358">
        <v>13061</v>
      </c>
      <c r="E358">
        <v>6</v>
      </c>
      <c r="F358">
        <v>2019</v>
      </c>
      <c r="G358" t="s">
        <v>8</v>
      </c>
      <c r="I358" t="str">
        <v/>
      </c>
    </row>
    <row r="359" spans="1:9" hidden="1" x14ac:dyDescent="0.25">
      <c r="A359" t="s">
        <v>415</v>
      </c>
      <c r="B359" t="s">
        <v>375</v>
      </c>
      <c r="C359">
        <v>4.3</v>
      </c>
      <c r="D359">
        <v>3523</v>
      </c>
      <c r="E359">
        <v>13</v>
      </c>
      <c r="F359">
        <v>2010</v>
      </c>
      <c r="G359" t="s">
        <v>10</v>
      </c>
      <c r="I359" t="str">
        <v/>
      </c>
    </row>
    <row r="360" spans="1:9" hidden="1" x14ac:dyDescent="0.25">
      <c r="A360" t="s">
        <v>416</v>
      </c>
      <c r="B360" t="s">
        <v>417</v>
      </c>
      <c r="C360">
        <v>4.8</v>
      </c>
      <c r="D360">
        <v>2774</v>
      </c>
      <c r="E360">
        <v>0</v>
      </c>
      <c r="F360">
        <v>2016</v>
      </c>
      <c r="G360" t="s">
        <v>8</v>
      </c>
      <c r="I360" t="str">
        <v/>
      </c>
    </row>
    <row r="361" spans="1:9" hidden="1" x14ac:dyDescent="0.25">
      <c r="A361" t="s">
        <v>418</v>
      </c>
      <c r="B361" t="s">
        <v>419</v>
      </c>
      <c r="C361">
        <v>4.4000000000000004</v>
      </c>
      <c r="D361">
        <v>440</v>
      </c>
      <c r="E361">
        <v>11</v>
      </c>
      <c r="F361">
        <v>2010</v>
      </c>
      <c r="G361" t="s">
        <v>8</v>
      </c>
      <c r="I361" t="str">
        <v/>
      </c>
    </row>
    <row r="362" spans="1:9" hidden="1" x14ac:dyDescent="0.25">
      <c r="A362" t="s">
        <v>420</v>
      </c>
      <c r="B362" t="s">
        <v>421</v>
      </c>
      <c r="C362">
        <v>4.8</v>
      </c>
      <c r="D362">
        <v>8922</v>
      </c>
      <c r="E362">
        <v>9</v>
      </c>
      <c r="F362">
        <v>2013</v>
      </c>
      <c r="G362" t="s">
        <v>10</v>
      </c>
      <c r="I362" t="str">
        <v/>
      </c>
    </row>
    <row r="363" spans="1:9" hidden="1" x14ac:dyDescent="0.25">
      <c r="A363" t="s">
        <v>420</v>
      </c>
      <c r="B363" t="s">
        <v>421</v>
      </c>
      <c r="C363">
        <v>4.8</v>
      </c>
      <c r="D363">
        <v>8922</v>
      </c>
      <c r="E363">
        <v>9</v>
      </c>
      <c r="F363">
        <v>2014</v>
      </c>
      <c r="G363" t="s">
        <v>10</v>
      </c>
      <c r="I363" t="str">
        <v/>
      </c>
    </row>
    <row r="364" spans="1:9" hidden="1" x14ac:dyDescent="0.25">
      <c r="A364" t="s">
        <v>420</v>
      </c>
      <c r="B364" t="s">
        <v>421</v>
      </c>
      <c r="C364">
        <v>4.8</v>
      </c>
      <c r="D364">
        <v>8922</v>
      </c>
      <c r="E364">
        <v>9</v>
      </c>
      <c r="F364">
        <v>2015</v>
      </c>
      <c r="G364" t="s">
        <v>10</v>
      </c>
      <c r="I364" t="str">
        <v/>
      </c>
    </row>
    <row r="365" spans="1:9" hidden="1" x14ac:dyDescent="0.25">
      <c r="A365" t="s">
        <v>422</v>
      </c>
      <c r="B365" t="s">
        <v>423</v>
      </c>
      <c r="C365">
        <v>4.0999999999999996</v>
      </c>
      <c r="D365">
        <v>2023</v>
      </c>
      <c r="E365">
        <v>15</v>
      </c>
      <c r="F365">
        <v>2011</v>
      </c>
      <c r="G365" t="s">
        <v>8</v>
      </c>
      <c r="I365" t="str">
        <v/>
      </c>
    </row>
    <row r="366" spans="1:9" hidden="1" x14ac:dyDescent="0.25">
      <c r="A366" t="s">
        <v>424</v>
      </c>
      <c r="B366" t="s">
        <v>425</v>
      </c>
      <c r="C366">
        <v>4</v>
      </c>
      <c r="D366">
        <v>1859</v>
      </c>
      <c r="E366">
        <v>11</v>
      </c>
      <c r="F366">
        <v>2009</v>
      </c>
      <c r="G366" t="s">
        <v>10</v>
      </c>
      <c r="I366" t="str">
        <v/>
      </c>
    </row>
    <row r="367" spans="1:9" hidden="1" x14ac:dyDescent="0.25">
      <c r="A367" t="s">
        <v>426</v>
      </c>
      <c r="B367" t="s">
        <v>287</v>
      </c>
      <c r="C367">
        <v>4.7</v>
      </c>
      <c r="D367">
        <v>50482</v>
      </c>
      <c r="E367">
        <v>13</v>
      </c>
      <c r="F367">
        <v>2012</v>
      </c>
      <c r="G367" t="s">
        <v>10</v>
      </c>
      <c r="I367" t="str">
        <v/>
      </c>
    </row>
    <row r="368" spans="1:9" hidden="1" x14ac:dyDescent="0.25">
      <c r="A368" t="s">
        <v>426</v>
      </c>
      <c r="B368" t="s">
        <v>287</v>
      </c>
      <c r="C368">
        <v>4.7</v>
      </c>
      <c r="D368">
        <v>50482</v>
      </c>
      <c r="E368">
        <v>13</v>
      </c>
      <c r="F368">
        <v>2013</v>
      </c>
      <c r="G368" t="s">
        <v>10</v>
      </c>
      <c r="I368" t="str">
        <v/>
      </c>
    </row>
    <row r="369" spans="1:9" hidden="1" x14ac:dyDescent="0.25">
      <c r="A369" t="s">
        <v>426</v>
      </c>
      <c r="B369" t="s">
        <v>287</v>
      </c>
      <c r="C369">
        <v>4.7</v>
      </c>
      <c r="D369">
        <v>50482</v>
      </c>
      <c r="E369">
        <v>7</v>
      </c>
      <c r="F369">
        <v>2014</v>
      </c>
      <c r="G369" t="s">
        <v>10</v>
      </c>
      <c r="I369" t="str">
        <v/>
      </c>
    </row>
    <row r="370" spans="1:9" hidden="1" x14ac:dyDescent="0.25">
      <c r="A370" t="s">
        <v>426</v>
      </c>
      <c r="B370" t="s">
        <v>287</v>
      </c>
      <c r="C370">
        <v>4.7</v>
      </c>
      <c r="D370">
        <v>50482</v>
      </c>
      <c r="E370">
        <v>13</v>
      </c>
      <c r="F370">
        <v>2014</v>
      </c>
      <c r="G370" t="s">
        <v>10</v>
      </c>
      <c r="I370" t="str">
        <v/>
      </c>
    </row>
    <row r="371" spans="1:9" hidden="1" x14ac:dyDescent="0.25">
      <c r="A371" t="s">
        <v>427</v>
      </c>
      <c r="B371" t="s">
        <v>428</v>
      </c>
      <c r="C371">
        <v>4.5999999999999996</v>
      </c>
      <c r="D371">
        <v>3207</v>
      </c>
      <c r="E371">
        <v>6</v>
      </c>
      <c r="F371">
        <v>2009</v>
      </c>
      <c r="G371" t="s">
        <v>8</v>
      </c>
      <c r="I371" t="str">
        <v/>
      </c>
    </row>
    <row r="372" spans="1:9" hidden="1" x14ac:dyDescent="0.25">
      <c r="A372" t="s">
        <v>427</v>
      </c>
      <c r="B372" t="s">
        <v>428</v>
      </c>
      <c r="C372">
        <v>4.5999999999999996</v>
      </c>
      <c r="D372">
        <v>3207</v>
      </c>
      <c r="E372">
        <v>6</v>
      </c>
      <c r="F372">
        <v>2010</v>
      </c>
      <c r="G372" t="s">
        <v>8</v>
      </c>
      <c r="I372" t="str">
        <v/>
      </c>
    </row>
    <row r="373" spans="1:9" hidden="1" x14ac:dyDescent="0.25">
      <c r="A373" t="s">
        <v>427</v>
      </c>
      <c r="B373" t="s">
        <v>428</v>
      </c>
      <c r="C373">
        <v>4.5999999999999996</v>
      </c>
      <c r="D373">
        <v>3207</v>
      </c>
      <c r="E373">
        <v>6</v>
      </c>
      <c r="F373">
        <v>2011</v>
      </c>
      <c r="G373" t="s">
        <v>8</v>
      </c>
      <c r="I373" t="str">
        <v/>
      </c>
    </row>
    <row r="374" spans="1:9" hidden="1" x14ac:dyDescent="0.25">
      <c r="A374" t="s">
        <v>427</v>
      </c>
      <c r="B374" t="s">
        <v>428</v>
      </c>
      <c r="C374">
        <v>4.5999999999999996</v>
      </c>
      <c r="D374">
        <v>3207</v>
      </c>
      <c r="E374">
        <v>6</v>
      </c>
      <c r="F374">
        <v>2012</v>
      </c>
      <c r="G374" t="s">
        <v>8</v>
      </c>
      <c r="I374" t="str">
        <v/>
      </c>
    </row>
    <row r="375" spans="1:9" hidden="1" x14ac:dyDescent="0.25">
      <c r="A375" t="s">
        <v>427</v>
      </c>
      <c r="B375" t="s">
        <v>428</v>
      </c>
      <c r="C375">
        <v>4.5999999999999996</v>
      </c>
      <c r="D375">
        <v>3207</v>
      </c>
      <c r="E375">
        <v>6</v>
      </c>
      <c r="F375">
        <v>2013</v>
      </c>
      <c r="G375" t="s">
        <v>8</v>
      </c>
      <c r="I375" t="str">
        <v/>
      </c>
    </row>
    <row r="376" spans="1:9" hidden="1" x14ac:dyDescent="0.25">
      <c r="A376" t="s">
        <v>429</v>
      </c>
      <c r="B376" t="s">
        <v>383</v>
      </c>
      <c r="C376">
        <v>4.5999999999999996</v>
      </c>
      <c r="D376">
        <v>803</v>
      </c>
      <c r="E376">
        <v>9</v>
      </c>
      <c r="F376">
        <v>2009</v>
      </c>
      <c r="G376" t="s">
        <v>8</v>
      </c>
      <c r="I376" t="str">
        <v/>
      </c>
    </row>
    <row r="377" spans="1:9" hidden="1" x14ac:dyDescent="0.25">
      <c r="A377" t="s">
        <v>430</v>
      </c>
      <c r="B377" t="s">
        <v>431</v>
      </c>
      <c r="C377">
        <v>4.7</v>
      </c>
      <c r="D377">
        <v>23308</v>
      </c>
      <c r="E377">
        <v>6</v>
      </c>
      <c r="F377">
        <v>2013</v>
      </c>
      <c r="G377" t="s">
        <v>8</v>
      </c>
      <c r="I377" t="str">
        <v/>
      </c>
    </row>
    <row r="378" spans="1:9" hidden="1" x14ac:dyDescent="0.25">
      <c r="A378" t="s">
        <v>430</v>
      </c>
      <c r="B378" t="s">
        <v>431</v>
      </c>
      <c r="C378">
        <v>4.7</v>
      </c>
      <c r="D378">
        <v>23308</v>
      </c>
      <c r="E378">
        <v>6</v>
      </c>
      <c r="F378">
        <v>2015</v>
      </c>
      <c r="G378" t="s">
        <v>8</v>
      </c>
      <c r="I378" t="str">
        <v/>
      </c>
    </row>
    <row r="379" spans="1:9" hidden="1" x14ac:dyDescent="0.25">
      <c r="A379" t="s">
        <v>430</v>
      </c>
      <c r="B379" t="s">
        <v>431</v>
      </c>
      <c r="C379">
        <v>4.7</v>
      </c>
      <c r="D379">
        <v>23308</v>
      </c>
      <c r="E379">
        <v>6</v>
      </c>
      <c r="F379">
        <v>2016</v>
      </c>
      <c r="G379" t="s">
        <v>8</v>
      </c>
      <c r="I379" t="str">
        <v/>
      </c>
    </row>
    <row r="380" spans="1:9" hidden="1" x14ac:dyDescent="0.25">
      <c r="A380" t="s">
        <v>430</v>
      </c>
      <c r="B380" t="s">
        <v>431</v>
      </c>
      <c r="C380">
        <v>4.7</v>
      </c>
      <c r="D380">
        <v>23308</v>
      </c>
      <c r="E380">
        <v>6</v>
      </c>
      <c r="F380">
        <v>2017</v>
      </c>
      <c r="G380" t="s">
        <v>8</v>
      </c>
      <c r="I380" t="str">
        <v/>
      </c>
    </row>
    <row r="381" spans="1:9" hidden="1" x14ac:dyDescent="0.25">
      <c r="A381" t="s">
        <v>430</v>
      </c>
      <c r="B381" t="s">
        <v>431</v>
      </c>
      <c r="C381">
        <v>4.7</v>
      </c>
      <c r="D381">
        <v>23308</v>
      </c>
      <c r="E381">
        <v>6</v>
      </c>
      <c r="F381">
        <v>2018</v>
      </c>
      <c r="G381" t="s">
        <v>8</v>
      </c>
      <c r="I381" t="str">
        <v/>
      </c>
    </row>
    <row r="382" spans="1:9" hidden="1" x14ac:dyDescent="0.25">
      <c r="A382" t="s">
        <v>430</v>
      </c>
      <c r="B382" t="s">
        <v>431</v>
      </c>
      <c r="C382">
        <v>4.7</v>
      </c>
      <c r="D382">
        <v>23308</v>
      </c>
      <c r="E382">
        <v>6</v>
      </c>
      <c r="F382">
        <v>2019</v>
      </c>
      <c r="G382" t="s">
        <v>8</v>
      </c>
      <c r="I382" t="str">
        <v/>
      </c>
    </row>
    <row r="383" spans="1:9" hidden="1" x14ac:dyDescent="0.25">
      <c r="A383" t="s">
        <v>432</v>
      </c>
      <c r="B383" t="s">
        <v>78</v>
      </c>
      <c r="C383">
        <v>4.8</v>
      </c>
      <c r="D383">
        <v>5836</v>
      </c>
      <c r="E383">
        <v>0</v>
      </c>
      <c r="F383">
        <v>2017</v>
      </c>
      <c r="G383" t="s">
        <v>10</v>
      </c>
      <c r="I383" t="str">
        <v/>
      </c>
    </row>
    <row r="384" spans="1:9" hidden="1" x14ac:dyDescent="0.25">
      <c r="A384" t="s">
        <v>433</v>
      </c>
      <c r="B384" t="s">
        <v>434</v>
      </c>
      <c r="C384">
        <v>4.0999999999999996</v>
      </c>
      <c r="D384">
        <v>79446</v>
      </c>
      <c r="E384">
        <v>18</v>
      </c>
      <c r="F384">
        <v>2015</v>
      </c>
      <c r="G384" t="s">
        <v>10</v>
      </c>
      <c r="I384" t="str">
        <v/>
      </c>
    </row>
    <row r="385" spans="1:9" hidden="1" x14ac:dyDescent="0.25">
      <c r="A385" t="s">
        <v>433</v>
      </c>
      <c r="B385" t="s">
        <v>434</v>
      </c>
      <c r="C385">
        <v>4.0999999999999996</v>
      </c>
      <c r="D385">
        <v>79446</v>
      </c>
      <c r="E385">
        <v>7</v>
      </c>
      <c r="F385">
        <v>2016</v>
      </c>
      <c r="G385" t="s">
        <v>10</v>
      </c>
      <c r="I385" t="str">
        <v/>
      </c>
    </row>
    <row r="386" spans="1:9" hidden="1" x14ac:dyDescent="0.25">
      <c r="A386" t="s">
        <v>435</v>
      </c>
      <c r="B386" t="s">
        <v>436</v>
      </c>
      <c r="C386">
        <v>4.7</v>
      </c>
      <c r="D386">
        <v>7747</v>
      </c>
      <c r="E386">
        <v>14</v>
      </c>
      <c r="F386">
        <v>2010</v>
      </c>
      <c r="G386" t="s">
        <v>10</v>
      </c>
      <c r="I386" t="str">
        <v/>
      </c>
    </row>
    <row r="387" spans="1:9" hidden="1" x14ac:dyDescent="0.25">
      <c r="A387" t="s">
        <v>435</v>
      </c>
      <c r="B387" t="s">
        <v>436</v>
      </c>
      <c r="C387">
        <v>4.7</v>
      </c>
      <c r="D387">
        <v>7747</v>
      </c>
      <c r="E387">
        <v>14</v>
      </c>
      <c r="F387">
        <v>2011</v>
      </c>
      <c r="G387" t="s">
        <v>10</v>
      </c>
      <c r="I387" t="str">
        <v/>
      </c>
    </row>
    <row r="388" spans="1:9" hidden="1" x14ac:dyDescent="0.25">
      <c r="A388" t="s">
        <v>437</v>
      </c>
      <c r="B388" t="s">
        <v>436</v>
      </c>
      <c r="C388">
        <v>4.7</v>
      </c>
      <c r="D388">
        <v>7251</v>
      </c>
      <c r="E388">
        <v>9</v>
      </c>
      <c r="F388">
        <v>2010</v>
      </c>
      <c r="G388" t="s">
        <v>10</v>
      </c>
      <c r="I388" t="str">
        <v/>
      </c>
    </row>
    <row r="389" spans="1:9" hidden="1" x14ac:dyDescent="0.25">
      <c r="A389" t="s">
        <v>438</v>
      </c>
      <c r="B389" t="s">
        <v>436</v>
      </c>
      <c r="C389">
        <v>4.7</v>
      </c>
      <c r="D389">
        <v>7251</v>
      </c>
      <c r="E389">
        <v>16</v>
      </c>
      <c r="F389">
        <v>2009</v>
      </c>
      <c r="G389" t="s">
        <v>10</v>
      </c>
      <c r="I389" t="str">
        <v/>
      </c>
    </row>
    <row r="390" spans="1:9" hidden="1" x14ac:dyDescent="0.25">
      <c r="A390" t="s">
        <v>439</v>
      </c>
      <c r="B390" t="s">
        <v>436</v>
      </c>
      <c r="C390">
        <v>4.4000000000000004</v>
      </c>
      <c r="D390">
        <v>10559</v>
      </c>
      <c r="E390">
        <v>2</v>
      </c>
      <c r="F390">
        <v>2009</v>
      </c>
      <c r="G390" t="s">
        <v>10</v>
      </c>
      <c r="I390" t="str">
        <v/>
      </c>
    </row>
    <row r="391" spans="1:9" hidden="1" x14ac:dyDescent="0.25">
      <c r="A391" t="s">
        <v>439</v>
      </c>
      <c r="B391" t="s">
        <v>436</v>
      </c>
      <c r="C391">
        <v>4.4000000000000004</v>
      </c>
      <c r="D391">
        <v>10559</v>
      </c>
      <c r="E391">
        <v>2</v>
      </c>
      <c r="F391">
        <v>2010</v>
      </c>
      <c r="G391" t="s">
        <v>10</v>
      </c>
      <c r="I391" t="str">
        <v/>
      </c>
    </row>
    <row r="392" spans="1:9" hidden="1" x14ac:dyDescent="0.25">
      <c r="A392" t="s">
        <v>440</v>
      </c>
      <c r="B392" t="s">
        <v>441</v>
      </c>
      <c r="C392">
        <v>4.8</v>
      </c>
      <c r="D392">
        <v>5249</v>
      </c>
      <c r="E392">
        <v>5</v>
      </c>
      <c r="F392">
        <v>2016</v>
      </c>
      <c r="G392" t="s">
        <v>10</v>
      </c>
      <c r="I392" t="str">
        <v/>
      </c>
    </row>
    <row r="393" spans="1:9" hidden="1" x14ac:dyDescent="0.25">
      <c r="A393" t="s">
        <v>440</v>
      </c>
      <c r="B393" t="s">
        <v>441</v>
      </c>
      <c r="C393">
        <v>4.8</v>
      </c>
      <c r="D393">
        <v>5249</v>
      </c>
      <c r="E393">
        <v>5</v>
      </c>
      <c r="F393">
        <v>2017</v>
      </c>
      <c r="G393" t="s">
        <v>10</v>
      </c>
      <c r="I393" t="str">
        <v/>
      </c>
    </row>
    <row r="394" spans="1:9" hidden="1" x14ac:dyDescent="0.25">
      <c r="A394" t="s">
        <v>442</v>
      </c>
      <c r="B394" t="s">
        <v>443</v>
      </c>
      <c r="C394">
        <v>3.9</v>
      </c>
      <c r="D394">
        <v>33844</v>
      </c>
      <c r="E394">
        <v>20</v>
      </c>
      <c r="F394">
        <v>2013</v>
      </c>
      <c r="G394" t="s">
        <v>10</v>
      </c>
      <c r="I394" t="str">
        <v/>
      </c>
    </row>
    <row r="395" spans="1:9" hidden="1" x14ac:dyDescent="0.25">
      <c r="A395" t="s">
        <v>442</v>
      </c>
      <c r="B395" t="s">
        <v>443</v>
      </c>
      <c r="C395">
        <v>3.9</v>
      </c>
      <c r="D395">
        <v>33844</v>
      </c>
      <c r="E395">
        <v>20</v>
      </c>
      <c r="F395">
        <v>2014</v>
      </c>
      <c r="G395" t="s">
        <v>10</v>
      </c>
      <c r="I395" t="str">
        <v/>
      </c>
    </row>
    <row r="396" spans="1:9" hidden="1" x14ac:dyDescent="0.25">
      <c r="A396" t="s">
        <v>444</v>
      </c>
      <c r="B396" t="s">
        <v>445</v>
      </c>
      <c r="C396">
        <v>4.4000000000000004</v>
      </c>
      <c r="D396">
        <v>11616</v>
      </c>
      <c r="E396">
        <v>7</v>
      </c>
      <c r="F396">
        <v>2012</v>
      </c>
      <c r="G396" t="s">
        <v>10</v>
      </c>
      <c r="I396" t="str">
        <v/>
      </c>
    </row>
    <row r="397" spans="1:9" hidden="1" x14ac:dyDescent="0.25">
      <c r="A397" t="s">
        <v>444</v>
      </c>
      <c r="B397" t="s">
        <v>445</v>
      </c>
      <c r="C397">
        <v>4.4000000000000004</v>
      </c>
      <c r="D397">
        <v>11616</v>
      </c>
      <c r="E397">
        <v>7</v>
      </c>
      <c r="F397">
        <v>2013</v>
      </c>
      <c r="G397" t="s">
        <v>10</v>
      </c>
      <c r="I397" t="str">
        <v/>
      </c>
    </row>
    <row r="398" spans="1:9" hidden="1" x14ac:dyDescent="0.25">
      <c r="A398" t="s">
        <v>444</v>
      </c>
      <c r="B398" t="s">
        <v>445</v>
      </c>
      <c r="C398">
        <v>4.4000000000000004</v>
      </c>
      <c r="D398">
        <v>11616</v>
      </c>
      <c r="E398">
        <v>7</v>
      </c>
      <c r="F398">
        <v>2014</v>
      </c>
      <c r="G398" t="s">
        <v>10</v>
      </c>
      <c r="I398" t="str">
        <v/>
      </c>
    </row>
    <row r="399" spans="1:9" hidden="1" x14ac:dyDescent="0.25">
      <c r="A399" t="s">
        <v>446</v>
      </c>
      <c r="B399" t="s">
        <v>375</v>
      </c>
      <c r="C399">
        <v>4.5</v>
      </c>
      <c r="D399">
        <v>13609</v>
      </c>
      <c r="E399">
        <v>14</v>
      </c>
      <c r="F399">
        <v>2019</v>
      </c>
      <c r="G399" t="s">
        <v>10</v>
      </c>
      <c r="I399" t="str">
        <v/>
      </c>
    </row>
    <row r="400" spans="1:9" hidden="1" x14ac:dyDescent="0.25">
      <c r="A400" t="s">
        <v>447</v>
      </c>
      <c r="B400" t="s">
        <v>448</v>
      </c>
      <c r="C400">
        <v>4.7</v>
      </c>
      <c r="D400">
        <v>8587</v>
      </c>
      <c r="E400">
        <v>10</v>
      </c>
      <c r="F400">
        <v>2009</v>
      </c>
      <c r="G400" t="s">
        <v>10</v>
      </c>
      <c r="I400" t="str">
        <v/>
      </c>
    </row>
    <row r="401" spans="1:9" hidden="1" x14ac:dyDescent="0.25">
      <c r="A401" t="s">
        <v>449</v>
      </c>
      <c r="B401" t="s">
        <v>450</v>
      </c>
      <c r="C401">
        <v>4.3</v>
      </c>
      <c r="D401">
        <v>29442</v>
      </c>
      <c r="E401">
        <v>7</v>
      </c>
      <c r="F401">
        <v>2017</v>
      </c>
      <c r="G401" t="s">
        <v>10</v>
      </c>
      <c r="I401" t="str">
        <v/>
      </c>
    </row>
    <row r="402" spans="1:9" hidden="1" x14ac:dyDescent="0.25">
      <c r="A402" t="s">
        <v>451</v>
      </c>
      <c r="B402" t="s">
        <v>452</v>
      </c>
      <c r="C402">
        <v>4.5999999999999996</v>
      </c>
      <c r="D402">
        <v>11098</v>
      </c>
      <c r="E402">
        <v>13</v>
      </c>
      <c r="F402">
        <v>2012</v>
      </c>
      <c r="G402" t="s">
        <v>10</v>
      </c>
      <c r="I402" t="str">
        <v/>
      </c>
    </row>
    <row r="403" spans="1:9" hidden="1" x14ac:dyDescent="0.25">
      <c r="A403" t="s">
        <v>453</v>
      </c>
      <c r="B403" t="s">
        <v>454</v>
      </c>
      <c r="C403">
        <v>4.8</v>
      </c>
      <c r="D403">
        <v>9947</v>
      </c>
      <c r="E403">
        <v>11</v>
      </c>
      <c r="F403">
        <v>2018</v>
      </c>
      <c r="G403" t="s">
        <v>10</v>
      </c>
      <c r="I403" t="str">
        <v/>
      </c>
    </row>
    <row r="404" spans="1:9" hidden="1" x14ac:dyDescent="0.25">
      <c r="A404" t="s">
        <v>455</v>
      </c>
      <c r="B404" t="s">
        <v>456</v>
      </c>
      <c r="C404">
        <v>4.8</v>
      </c>
      <c r="D404">
        <v>13871</v>
      </c>
      <c r="E404">
        <v>6</v>
      </c>
      <c r="F404">
        <v>2009</v>
      </c>
      <c r="G404" t="s">
        <v>10</v>
      </c>
      <c r="I404" t="str">
        <v/>
      </c>
    </row>
    <row r="405" spans="1:9" hidden="1" x14ac:dyDescent="0.25">
      <c r="A405" t="s">
        <v>455</v>
      </c>
      <c r="B405" t="s">
        <v>456</v>
      </c>
      <c r="C405">
        <v>4.8</v>
      </c>
      <c r="D405">
        <v>13871</v>
      </c>
      <c r="E405">
        <v>6</v>
      </c>
      <c r="F405">
        <v>2010</v>
      </c>
      <c r="G405" t="s">
        <v>10</v>
      </c>
      <c r="I405" t="str">
        <v/>
      </c>
    </row>
    <row r="406" spans="1:9" hidden="1" x14ac:dyDescent="0.25">
      <c r="A406" t="s">
        <v>455</v>
      </c>
      <c r="B406" t="s">
        <v>456</v>
      </c>
      <c r="C406">
        <v>4.8</v>
      </c>
      <c r="D406">
        <v>13871</v>
      </c>
      <c r="E406">
        <v>8</v>
      </c>
      <c r="F406">
        <v>2011</v>
      </c>
      <c r="G406" t="s">
        <v>10</v>
      </c>
      <c r="I406" t="str">
        <v/>
      </c>
    </row>
    <row r="407" spans="1:9" hidden="1" x14ac:dyDescent="0.25">
      <c r="A407" t="s">
        <v>455</v>
      </c>
      <c r="B407" t="s">
        <v>456</v>
      </c>
      <c r="C407">
        <v>4.8</v>
      </c>
      <c r="D407">
        <v>13871</v>
      </c>
      <c r="E407">
        <v>7</v>
      </c>
      <c r="F407">
        <v>2011</v>
      </c>
      <c r="G407" t="s">
        <v>10</v>
      </c>
      <c r="I407" t="str">
        <v/>
      </c>
    </row>
    <row r="408" spans="1:9" hidden="1" x14ac:dyDescent="0.25">
      <c r="A408" t="s">
        <v>457</v>
      </c>
      <c r="B408" t="s">
        <v>331</v>
      </c>
      <c r="C408">
        <v>4.8</v>
      </c>
      <c r="D408">
        <v>6982</v>
      </c>
      <c r="E408">
        <v>14</v>
      </c>
      <c r="F408">
        <v>2013</v>
      </c>
      <c r="G408" t="s">
        <v>10</v>
      </c>
      <c r="I408" t="str">
        <v/>
      </c>
    </row>
    <row r="409" spans="1:9" hidden="1" x14ac:dyDescent="0.25">
      <c r="A409" t="s">
        <v>458</v>
      </c>
      <c r="B409" t="s">
        <v>86</v>
      </c>
      <c r="C409">
        <v>4.7</v>
      </c>
      <c r="D409">
        <v>32122</v>
      </c>
      <c r="E409">
        <v>14</v>
      </c>
      <c r="F409">
        <v>2010</v>
      </c>
      <c r="G409" t="s">
        <v>10</v>
      </c>
      <c r="I409" t="str">
        <v/>
      </c>
    </row>
    <row r="410" spans="1:9" hidden="1" x14ac:dyDescent="0.25">
      <c r="A410" t="s">
        <v>459</v>
      </c>
      <c r="B410" t="s">
        <v>86</v>
      </c>
      <c r="C410">
        <v>4.7</v>
      </c>
      <c r="D410">
        <v>32122</v>
      </c>
      <c r="E410">
        <v>8</v>
      </c>
      <c r="F410">
        <v>2011</v>
      </c>
      <c r="G410" t="s">
        <v>10</v>
      </c>
      <c r="I410" t="str">
        <v/>
      </c>
    </row>
    <row r="411" spans="1:9" hidden="1" x14ac:dyDescent="0.25">
      <c r="A411" t="s">
        <v>459</v>
      </c>
      <c r="B411" t="s">
        <v>86</v>
      </c>
      <c r="C411">
        <v>4.7</v>
      </c>
      <c r="D411">
        <v>32122</v>
      </c>
      <c r="E411">
        <v>8</v>
      </c>
      <c r="F411">
        <v>2012</v>
      </c>
      <c r="G411" t="s">
        <v>10</v>
      </c>
      <c r="I411" t="str">
        <v/>
      </c>
    </row>
    <row r="412" spans="1:9" hidden="1" x14ac:dyDescent="0.25">
      <c r="A412" t="s">
        <v>460</v>
      </c>
      <c r="B412" t="s">
        <v>86</v>
      </c>
      <c r="C412">
        <v>4.8</v>
      </c>
      <c r="D412">
        <v>16949</v>
      </c>
      <c r="E412">
        <v>30</v>
      </c>
      <c r="F412">
        <v>2011</v>
      </c>
      <c r="G412" t="s">
        <v>10</v>
      </c>
      <c r="I412" t="str">
        <v/>
      </c>
    </row>
    <row r="413" spans="1:9" hidden="1" x14ac:dyDescent="0.25">
      <c r="A413" t="s">
        <v>460</v>
      </c>
      <c r="B413" t="s">
        <v>86</v>
      </c>
      <c r="C413">
        <v>4.8</v>
      </c>
      <c r="D413">
        <v>16949</v>
      </c>
      <c r="E413">
        <v>30</v>
      </c>
      <c r="F413">
        <v>2012</v>
      </c>
      <c r="G413" t="s">
        <v>10</v>
      </c>
      <c r="I413" t="str">
        <v/>
      </c>
    </row>
    <row r="414" spans="1:9" hidden="1" x14ac:dyDescent="0.25">
      <c r="A414" t="s">
        <v>461</v>
      </c>
      <c r="B414" t="s">
        <v>462</v>
      </c>
      <c r="C414">
        <v>4.7</v>
      </c>
      <c r="D414">
        <v>9289</v>
      </c>
      <c r="E414">
        <v>13</v>
      </c>
      <c r="F414">
        <v>2010</v>
      </c>
      <c r="G414" t="s">
        <v>8</v>
      </c>
      <c r="I414" t="str">
        <v/>
      </c>
    </row>
    <row r="415" spans="1:9" hidden="1" x14ac:dyDescent="0.25">
      <c r="A415" t="s">
        <v>461</v>
      </c>
      <c r="B415" t="s">
        <v>462</v>
      </c>
      <c r="C415">
        <v>4.7</v>
      </c>
      <c r="D415">
        <v>9289</v>
      </c>
      <c r="E415">
        <v>9</v>
      </c>
      <c r="F415">
        <v>2011</v>
      </c>
      <c r="G415" t="s">
        <v>8</v>
      </c>
      <c r="I415" t="str">
        <v/>
      </c>
    </row>
    <row r="416" spans="1:9" hidden="1" x14ac:dyDescent="0.25">
      <c r="A416" t="s">
        <v>461</v>
      </c>
      <c r="B416" t="s">
        <v>462</v>
      </c>
      <c r="C416">
        <v>4.7</v>
      </c>
      <c r="D416">
        <v>9289</v>
      </c>
      <c r="E416">
        <v>9</v>
      </c>
      <c r="F416">
        <v>2012</v>
      </c>
      <c r="G416" t="s">
        <v>8</v>
      </c>
      <c r="I416" t="str">
        <v/>
      </c>
    </row>
    <row r="417" spans="1:9" hidden="1" x14ac:dyDescent="0.25">
      <c r="A417" t="s">
        <v>463</v>
      </c>
      <c r="B417" t="s">
        <v>464</v>
      </c>
      <c r="C417">
        <v>4.3</v>
      </c>
      <c r="D417">
        <v>7368</v>
      </c>
      <c r="E417">
        <v>7</v>
      </c>
      <c r="F417">
        <v>2017</v>
      </c>
      <c r="G417" t="s">
        <v>8</v>
      </c>
      <c r="I417" t="str">
        <v/>
      </c>
    </row>
    <row r="418" spans="1:9" hidden="1" x14ac:dyDescent="0.25">
      <c r="A418" t="s">
        <v>463</v>
      </c>
      <c r="B418" t="s">
        <v>464</v>
      </c>
      <c r="C418">
        <v>4.3</v>
      </c>
      <c r="D418">
        <v>7368</v>
      </c>
      <c r="E418">
        <v>7</v>
      </c>
      <c r="F418">
        <v>2018</v>
      </c>
      <c r="G418" t="s">
        <v>8</v>
      </c>
      <c r="I418" t="str">
        <v/>
      </c>
    </row>
    <row r="419" spans="1:9" hidden="1" x14ac:dyDescent="0.25">
      <c r="A419" t="s">
        <v>465</v>
      </c>
      <c r="B419" t="s">
        <v>466</v>
      </c>
      <c r="C419">
        <v>4.7</v>
      </c>
      <c r="D419">
        <v>4028</v>
      </c>
      <c r="E419">
        <v>9</v>
      </c>
      <c r="F419">
        <v>2009</v>
      </c>
      <c r="G419" t="s">
        <v>8</v>
      </c>
      <c r="I419" t="str">
        <v/>
      </c>
    </row>
    <row r="420" spans="1:9" hidden="1" x14ac:dyDescent="0.25">
      <c r="A420" t="s">
        <v>467</v>
      </c>
      <c r="B420" t="s">
        <v>331</v>
      </c>
      <c r="C420">
        <v>4.8</v>
      </c>
      <c r="D420">
        <v>4628</v>
      </c>
      <c r="E420">
        <v>7</v>
      </c>
      <c r="F420">
        <v>2009</v>
      </c>
      <c r="G420" t="s">
        <v>10</v>
      </c>
      <c r="I420" t="str">
        <v/>
      </c>
    </row>
    <row r="421" spans="1:9" hidden="1" x14ac:dyDescent="0.25">
      <c r="A421" t="s">
        <v>467</v>
      </c>
      <c r="B421" t="s">
        <v>331</v>
      </c>
      <c r="C421">
        <v>4.8</v>
      </c>
      <c r="D421">
        <v>4628</v>
      </c>
      <c r="E421">
        <v>7</v>
      </c>
      <c r="F421">
        <v>2010</v>
      </c>
      <c r="G421" t="s">
        <v>10</v>
      </c>
      <c r="I421" t="str">
        <v/>
      </c>
    </row>
    <row r="422" spans="1:9" x14ac:dyDescent="0.25">
      <c r="A422" t="s">
        <v>468</v>
      </c>
      <c r="B422" t="s">
        <v>469</v>
      </c>
      <c r="C422">
        <v>4.9000000000000004</v>
      </c>
      <c r="D422">
        <v>5396</v>
      </c>
      <c r="E422">
        <v>20</v>
      </c>
      <c r="F422">
        <v>2013</v>
      </c>
      <c r="G422" t="s">
        <v>10</v>
      </c>
      <c r="I422" s="4" t="str">
        <v>The Legend of Zelda: Hyrule Historia</v>
      </c>
    </row>
    <row r="423" spans="1:9" hidden="1" x14ac:dyDescent="0.25">
      <c r="A423" t="s">
        <v>470</v>
      </c>
      <c r="B423" t="s">
        <v>471</v>
      </c>
      <c r="C423">
        <v>4.4000000000000004</v>
      </c>
      <c r="D423">
        <v>4247</v>
      </c>
      <c r="E423">
        <v>13</v>
      </c>
      <c r="F423">
        <v>2011</v>
      </c>
      <c r="G423" t="s">
        <v>8</v>
      </c>
      <c r="I423" t="str">
        <v/>
      </c>
    </row>
    <row r="424" spans="1:9" hidden="1" x14ac:dyDescent="0.25">
      <c r="A424" t="s">
        <v>470</v>
      </c>
      <c r="B424" t="s">
        <v>471</v>
      </c>
      <c r="C424">
        <v>4.4000000000000004</v>
      </c>
      <c r="D424">
        <v>4247</v>
      </c>
      <c r="E424">
        <v>13</v>
      </c>
      <c r="F424">
        <v>2012</v>
      </c>
      <c r="G424" t="s">
        <v>8</v>
      </c>
      <c r="I424" t="str">
        <v/>
      </c>
    </row>
    <row r="425" spans="1:9" hidden="1" x14ac:dyDescent="0.25">
      <c r="A425" t="s">
        <v>472</v>
      </c>
      <c r="B425" t="s">
        <v>473</v>
      </c>
      <c r="C425">
        <v>4.5</v>
      </c>
      <c r="D425">
        <v>22641</v>
      </c>
      <c r="E425">
        <v>11</v>
      </c>
      <c r="F425">
        <v>2015</v>
      </c>
      <c r="G425" t="s">
        <v>8</v>
      </c>
      <c r="I425" t="str">
        <v/>
      </c>
    </row>
    <row r="426" spans="1:9" hidden="1" x14ac:dyDescent="0.25">
      <c r="A426" t="s">
        <v>472</v>
      </c>
      <c r="B426" t="s">
        <v>473</v>
      </c>
      <c r="C426">
        <v>4.5</v>
      </c>
      <c r="D426">
        <v>22641</v>
      </c>
      <c r="E426">
        <v>11</v>
      </c>
      <c r="F426">
        <v>2016</v>
      </c>
      <c r="G426" t="s">
        <v>8</v>
      </c>
      <c r="I426" t="str">
        <v/>
      </c>
    </row>
    <row r="427" spans="1:9" hidden="1" x14ac:dyDescent="0.25">
      <c r="A427" t="s">
        <v>472</v>
      </c>
      <c r="B427" t="s">
        <v>473</v>
      </c>
      <c r="C427">
        <v>4.5</v>
      </c>
      <c r="D427">
        <v>22641</v>
      </c>
      <c r="E427">
        <v>11</v>
      </c>
      <c r="F427">
        <v>2017</v>
      </c>
      <c r="G427" t="s">
        <v>8</v>
      </c>
      <c r="I427" t="str">
        <v/>
      </c>
    </row>
    <row r="428" spans="1:9" hidden="1" x14ac:dyDescent="0.25">
      <c r="A428" t="s">
        <v>472</v>
      </c>
      <c r="B428" t="s">
        <v>473</v>
      </c>
      <c r="C428">
        <v>4.5</v>
      </c>
      <c r="D428">
        <v>22641</v>
      </c>
      <c r="E428">
        <v>11</v>
      </c>
      <c r="F428">
        <v>2019</v>
      </c>
      <c r="G428" t="s">
        <v>8</v>
      </c>
      <c r="I428" t="str">
        <v/>
      </c>
    </row>
    <row r="429" spans="1:9" hidden="1" x14ac:dyDescent="0.25">
      <c r="A429" t="s">
        <v>474</v>
      </c>
      <c r="B429" t="s">
        <v>375</v>
      </c>
      <c r="C429">
        <v>4.4000000000000004</v>
      </c>
      <c r="D429">
        <v>6222</v>
      </c>
      <c r="E429">
        <v>18</v>
      </c>
      <c r="F429">
        <v>2011</v>
      </c>
      <c r="G429" t="s">
        <v>10</v>
      </c>
      <c r="I429" t="str">
        <v/>
      </c>
    </row>
    <row r="430" spans="1:9" hidden="1" x14ac:dyDescent="0.25">
      <c r="A430" t="s">
        <v>475</v>
      </c>
      <c r="B430" t="s">
        <v>331</v>
      </c>
      <c r="C430">
        <v>4.8</v>
      </c>
      <c r="D430">
        <v>4506</v>
      </c>
      <c r="E430">
        <v>14</v>
      </c>
      <c r="F430">
        <v>2010</v>
      </c>
      <c r="G430" t="s">
        <v>10</v>
      </c>
      <c r="I430" t="str">
        <v/>
      </c>
    </row>
    <row r="431" spans="1:9" hidden="1" x14ac:dyDescent="0.25">
      <c r="A431" t="s">
        <v>476</v>
      </c>
      <c r="B431" t="s">
        <v>243</v>
      </c>
      <c r="C431">
        <v>4.2</v>
      </c>
      <c r="D431">
        <v>8747</v>
      </c>
      <c r="E431">
        <v>19</v>
      </c>
      <c r="F431">
        <v>2009</v>
      </c>
      <c r="G431" t="s">
        <v>10</v>
      </c>
      <c r="I431" t="str">
        <v/>
      </c>
    </row>
    <row r="432" spans="1:9" hidden="1" x14ac:dyDescent="0.25">
      <c r="A432" t="s">
        <v>477</v>
      </c>
      <c r="B432" t="s">
        <v>478</v>
      </c>
      <c r="C432">
        <v>4.8</v>
      </c>
      <c r="D432">
        <v>1655</v>
      </c>
      <c r="E432">
        <v>13</v>
      </c>
      <c r="F432">
        <v>2009</v>
      </c>
      <c r="G432" t="s">
        <v>8</v>
      </c>
      <c r="I432" t="str">
        <v/>
      </c>
    </row>
    <row r="433" spans="1:9" x14ac:dyDescent="0.25">
      <c r="A433" t="s">
        <v>479</v>
      </c>
      <c r="B433" t="s">
        <v>480</v>
      </c>
      <c r="C433">
        <v>4.9000000000000004</v>
      </c>
      <c r="D433">
        <v>7861</v>
      </c>
      <c r="E433">
        <v>5</v>
      </c>
      <c r="F433">
        <v>2016</v>
      </c>
      <c r="G433" t="s">
        <v>8</v>
      </c>
      <c r="I433" s="4" t="str">
        <v>The Magnolia Story</v>
      </c>
    </row>
    <row r="434" spans="1:9" hidden="1" x14ac:dyDescent="0.25">
      <c r="A434" t="s">
        <v>481</v>
      </c>
      <c r="B434" t="s">
        <v>331</v>
      </c>
      <c r="C434">
        <v>4.8</v>
      </c>
      <c r="D434">
        <v>6247</v>
      </c>
      <c r="E434">
        <v>10</v>
      </c>
      <c r="F434">
        <v>2012</v>
      </c>
      <c r="G434" t="s">
        <v>10</v>
      </c>
      <c r="I434" t="str">
        <v/>
      </c>
    </row>
    <row r="435" spans="1:9" hidden="1" x14ac:dyDescent="0.25">
      <c r="A435" t="s">
        <v>482</v>
      </c>
      <c r="B435" t="s">
        <v>483</v>
      </c>
      <c r="C435">
        <v>4.7</v>
      </c>
      <c r="D435">
        <v>39459</v>
      </c>
      <c r="E435">
        <v>9</v>
      </c>
      <c r="F435">
        <v>2015</v>
      </c>
      <c r="G435" t="s">
        <v>10</v>
      </c>
      <c r="I435" t="str">
        <v/>
      </c>
    </row>
    <row r="436" spans="1:9" hidden="1" x14ac:dyDescent="0.25">
      <c r="A436" t="s">
        <v>484</v>
      </c>
      <c r="B436" t="s">
        <v>485</v>
      </c>
      <c r="C436">
        <v>4.5</v>
      </c>
      <c r="D436">
        <v>10101</v>
      </c>
      <c r="E436">
        <v>8</v>
      </c>
      <c r="F436">
        <v>2014</v>
      </c>
      <c r="G436" t="s">
        <v>10</v>
      </c>
      <c r="I436" t="str">
        <v/>
      </c>
    </row>
    <row r="437" spans="1:9" hidden="1" x14ac:dyDescent="0.25">
      <c r="A437" t="s">
        <v>486</v>
      </c>
      <c r="B437" t="s">
        <v>78</v>
      </c>
      <c r="C437">
        <v>4.8</v>
      </c>
      <c r="D437">
        <v>5898</v>
      </c>
      <c r="E437">
        <v>8</v>
      </c>
      <c r="F437">
        <v>2018</v>
      </c>
      <c r="G437" t="s">
        <v>10</v>
      </c>
      <c r="I437" t="str">
        <v/>
      </c>
    </row>
    <row r="438" spans="1:9" hidden="1" x14ac:dyDescent="0.25">
      <c r="A438" t="s">
        <v>487</v>
      </c>
      <c r="B438" t="s">
        <v>488</v>
      </c>
      <c r="C438">
        <v>4.5999999999999996</v>
      </c>
      <c r="D438">
        <v>2744</v>
      </c>
      <c r="E438">
        <v>12</v>
      </c>
      <c r="F438">
        <v>2019</v>
      </c>
      <c r="G438" t="s">
        <v>8</v>
      </c>
      <c r="I438" t="str">
        <v/>
      </c>
    </row>
    <row r="439" spans="1:9" hidden="1" x14ac:dyDescent="0.25">
      <c r="A439" t="s">
        <v>489</v>
      </c>
      <c r="B439" t="s">
        <v>490</v>
      </c>
      <c r="C439">
        <v>4.8</v>
      </c>
      <c r="D439">
        <v>49288</v>
      </c>
      <c r="E439">
        <v>11</v>
      </c>
      <c r="F439">
        <v>2015</v>
      </c>
      <c r="G439" t="s">
        <v>10</v>
      </c>
      <c r="I439" t="str">
        <v/>
      </c>
    </row>
    <row r="440" spans="1:9" hidden="1" x14ac:dyDescent="0.25">
      <c r="A440" t="s">
        <v>489</v>
      </c>
      <c r="B440" t="s">
        <v>490</v>
      </c>
      <c r="C440">
        <v>4.8</v>
      </c>
      <c r="D440">
        <v>49288</v>
      </c>
      <c r="E440">
        <v>11</v>
      </c>
      <c r="F440">
        <v>2016</v>
      </c>
      <c r="G440" t="s">
        <v>10</v>
      </c>
      <c r="I440" t="str">
        <v/>
      </c>
    </row>
    <row r="441" spans="1:9" hidden="1" x14ac:dyDescent="0.25">
      <c r="A441" t="s">
        <v>491</v>
      </c>
      <c r="B441" t="s">
        <v>492</v>
      </c>
      <c r="C441">
        <v>4.4000000000000004</v>
      </c>
      <c r="D441">
        <v>1201</v>
      </c>
      <c r="E441">
        <v>40</v>
      </c>
      <c r="F441">
        <v>2010</v>
      </c>
      <c r="G441" t="s">
        <v>8</v>
      </c>
      <c r="I441" t="str">
        <v/>
      </c>
    </row>
    <row r="442" spans="1:9" hidden="1" x14ac:dyDescent="0.25">
      <c r="A442" t="s">
        <v>491</v>
      </c>
      <c r="B442" t="s">
        <v>492</v>
      </c>
      <c r="C442">
        <v>4.4000000000000004</v>
      </c>
      <c r="D442">
        <v>1201</v>
      </c>
      <c r="E442">
        <v>40</v>
      </c>
      <c r="F442">
        <v>2011</v>
      </c>
      <c r="G442" t="s">
        <v>8</v>
      </c>
      <c r="I442" t="str">
        <v/>
      </c>
    </row>
    <row r="443" spans="1:9" hidden="1" x14ac:dyDescent="0.25">
      <c r="A443" t="s">
        <v>491</v>
      </c>
      <c r="B443" t="s">
        <v>492</v>
      </c>
      <c r="C443">
        <v>4.4000000000000004</v>
      </c>
      <c r="D443">
        <v>1201</v>
      </c>
      <c r="E443">
        <v>40</v>
      </c>
      <c r="F443">
        <v>2012</v>
      </c>
      <c r="G443" t="s">
        <v>8</v>
      </c>
      <c r="I443" t="str">
        <v/>
      </c>
    </row>
    <row r="444" spans="1:9" hidden="1" x14ac:dyDescent="0.25">
      <c r="A444" t="s">
        <v>491</v>
      </c>
      <c r="B444" t="s">
        <v>492</v>
      </c>
      <c r="C444">
        <v>4.4000000000000004</v>
      </c>
      <c r="D444">
        <v>1201</v>
      </c>
      <c r="E444">
        <v>40</v>
      </c>
      <c r="F444">
        <v>2013</v>
      </c>
      <c r="G444" t="s">
        <v>8</v>
      </c>
      <c r="I444" t="str">
        <v/>
      </c>
    </row>
    <row r="445" spans="1:9" hidden="1" x14ac:dyDescent="0.25">
      <c r="A445" t="s">
        <v>491</v>
      </c>
      <c r="B445" t="s">
        <v>492</v>
      </c>
      <c r="C445">
        <v>4.4000000000000004</v>
      </c>
      <c r="D445">
        <v>1201</v>
      </c>
      <c r="E445">
        <v>40</v>
      </c>
      <c r="F445">
        <v>2014</v>
      </c>
      <c r="G445" t="s">
        <v>8</v>
      </c>
      <c r="I445" t="str">
        <v/>
      </c>
    </row>
    <row r="446" spans="1:9" hidden="1" x14ac:dyDescent="0.25">
      <c r="A446" t="s">
        <v>493</v>
      </c>
      <c r="B446" t="s">
        <v>492</v>
      </c>
      <c r="C446">
        <v>4.3</v>
      </c>
      <c r="D446">
        <v>807</v>
      </c>
      <c r="E446">
        <v>36</v>
      </c>
      <c r="F446">
        <v>2016</v>
      </c>
      <c r="G446" t="s">
        <v>8</v>
      </c>
      <c r="I446" t="str">
        <v/>
      </c>
    </row>
    <row r="447" spans="1:9" hidden="1" x14ac:dyDescent="0.25">
      <c r="A447" t="s">
        <v>494</v>
      </c>
      <c r="B447" t="s">
        <v>495</v>
      </c>
      <c r="C447">
        <v>4.3</v>
      </c>
      <c r="D447">
        <v>3759</v>
      </c>
      <c r="E447">
        <v>16</v>
      </c>
      <c r="F447">
        <v>2011</v>
      </c>
      <c r="G447" t="s">
        <v>10</v>
      </c>
      <c r="I447" t="str">
        <v/>
      </c>
    </row>
    <row r="448" spans="1:9" hidden="1" x14ac:dyDescent="0.25">
      <c r="A448" t="s">
        <v>496</v>
      </c>
      <c r="B448" t="s">
        <v>497</v>
      </c>
      <c r="C448">
        <v>4.8</v>
      </c>
      <c r="D448">
        <v>2663</v>
      </c>
      <c r="E448">
        <v>17</v>
      </c>
      <c r="F448">
        <v>2013</v>
      </c>
      <c r="G448" t="s">
        <v>8</v>
      </c>
      <c r="I448" t="str">
        <v/>
      </c>
    </row>
    <row r="449" spans="1:9" hidden="1" x14ac:dyDescent="0.25">
      <c r="A449" t="s">
        <v>498</v>
      </c>
      <c r="B449" t="s">
        <v>497</v>
      </c>
      <c r="C449">
        <v>4.8</v>
      </c>
      <c r="D449">
        <v>3428</v>
      </c>
      <c r="E449">
        <v>14</v>
      </c>
      <c r="F449">
        <v>2015</v>
      </c>
      <c r="G449" t="s">
        <v>8</v>
      </c>
      <c r="I449" t="str">
        <v/>
      </c>
    </row>
    <row r="450" spans="1:9" hidden="1" x14ac:dyDescent="0.25">
      <c r="A450" t="s">
        <v>499</v>
      </c>
      <c r="B450" t="s">
        <v>497</v>
      </c>
      <c r="C450">
        <v>4.8</v>
      </c>
      <c r="D450">
        <v>2876</v>
      </c>
      <c r="E450">
        <v>21</v>
      </c>
      <c r="F450">
        <v>2012</v>
      </c>
      <c r="G450" t="s">
        <v>8</v>
      </c>
      <c r="I450" t="str">
        <v/>
      </c>
    </row>
    <row r="451" spans="1:9" hidden="1" x14ac:dyDescent="0.25">
      <c r="A451" t="s">
        <v>500</v>
      </c>
      <c r="B451" t="s">
        <v>501</v>
      </c>
      <c r="C451">
        <v>4.5</v>
      </c>
      <c r="D451">
        <v>3601</v>
      </c>
      <c r="E451">
        <v>18</v>
      </c>
      <c r="F451">
        <v>2018</v>
      </c>
      <c r="G451" t="s">
        <v>8</v>
      </c>
      <c r="I451" t="str">
        <v/>
      </c>
    </row>
    <row r="452" spans="1:9" hidden="1" x14ac:dyDescent="0.25">
      <c r="A452" t="s">
        <v>502</v>
      </c>
      <c r="B452" t="s">
        <v>501</v>
      </c>
      <c r="C452">
        <v>4.4000000000000004</v>
      </c>
      <c r="D452">
        <v>7058</v>
      </c>
      <c r="E452">
        <v>17</v>
      </c>
      <c r="F452">
        <v>2018</v>
      </c>
      <c r="G452" t="s">
        <v>8</v>
      </c>
      <c r="I452" t="str">
        <v/>
      </c>
    </row>
    <row r="453" spans="1:9" hidden="1" x14ac:dyDescent="0.25">
      <c r="A453" t="s">
        <v>503</v>
      </c>
      <c r="B453" t="s">
        <v>504</v>
      </c>
      <c r="C453">
        <v>4.8</v>
      </c>
      <c r="D453">
        <v>9784</v>
      </c>
      <c r="E453">
        <v>5</v>
      </c>
      <c r="F453">
        <v>2017</v>
      </c>
      <c r="G453" t="s">
        <v>10</v>
      </c>
      <c r="I453" t="str">
        <v/>
      </c>
    </row>
    <row r="454" spans="1:9" hidden="1" x14ac:dyDescent="0.25">
      <c r="A454" t="s">
        <v>503</v>
      </c>
      <c r="B454" t="s">
        <v>504</v>
      </c>
      <c r="C454">
        <v>4.8</v>
      </c>
      <c r="D454">
        <v>9784</v>
      </c>
      <c r="E454">
        <v>5</v>
      </c>
      <c r="F454">
        <v>2018</v>
      </c>
      <c r="G454" t="s">
        <v>10</v>
      </c>
      <c r="I454" t="str">
        <v/>
      </c>
    </row>
    <row r="455" spans="1:9" hidden="1" x14ac:dyDescent="0.25">
      <c r="A455" t="s">
        <v>505</v>
      </c>
      <c r="B455" t="s">
        <v>506</v>
      </c>
      <c r="C455">
        <v>4.5999999999999996</v>
      </c>
      <c r="D455">
        <v>10795</v>
      </c>
      <c r="E455">
        <v>21</v>
      </c>
      <c r="F455">
        <v>2012</v>
      </c>
      <c r="G455" t="s">
        <v>8</v>
      </c>
      <c r="I455" t="str">
        <v/>
      </c>
    </row>
    <row r="456" spans="1:9" hidden="1" x14ac:dyDescent="0.25">
      <c r="A456" t="s">
        <v>507</v>
      </c>
      <c r="B456" t="s">
        <v>235</v>
      </c>
      <c r="C456">
        <v>4.3</v>
      </c>
      <c r="D456">
        <v>10191</v>
      </c>
      <c r="E456">
        <v>18</v>
      </c>
      <c r="F456">
        <v>2018</v>
      </c>
      <c r="G456" t="s">
        <v>10</v>
      </c>
      <c r="I456" t="str">
        <v/>
      </c>
    </row>
    <row r="457" spans="1:9" hidden="1" x14ac:dyDescent="0.25">
      <c r="A457" t="s">
        <v>508</v>
      </c>
      <c r="B457" t="s">
        <v>375</v>
      </c>
      <c r="C457">
        <v>4.3</v>
      </c>
      <c r="D457">
        <v>14493</v>
      </c>
      <c r="E457">
        <v>18</v>
      </c>
      <c r="F457">
        <v>2012</v>
      </c>
      <c r="G457" t="s">
        <v>10</v>
      </c>
      <c r="I457" t="str">
        <v/>
      </c>
    </row>
    <row r="458" spans="1:9" hidden="1" x14ac:dyDescent="0.25">
      <c r="A458" t="s">
        <v>509</v>
      </c>
      <c r="B458" t="s">
        <v>331</v>
      </c>
      <c r="C458">
        <v>4.5999999999999996</v>
      </c>
      <c r="D458">
        <v>2186</v>
      </c>
      <c r="E458">
        <v>12</v>
      </c>
      <c r="F458">
        <v>2010</v>
      </c>
      <c r="G458" t="s">
        <v>10</v>
      </c>
      <c r="I458" t="str">
        <v/>
      </c>
    </row>
    <row r="459" spans="1:9" hidden="1" x14ac:dyDescent="0.25">
      <c r="A459" t="s">
        <v>510</v>
      </c>
      <c r="B459" t="s">
        <v>511</v>
      </c>
      <c r="C459">
        <v>4.5999999999999996</v>
      </c>
      <c r="D459">
        <v>1204</v>
      </c>
      <c r="E459">
        <v>14</v>
      </c>
      <c r="F459">
        <v>2010</v>
      </c>
      <c r="G459" t="s">
        <v>8</v>
      </c>
      <c r="I459" t="str">
        <v/>
      </c>
    </row>
    <row r="460" spans="1:9" hidden="1" x14ac:dyDescent="0.25">
      <c r="A460" t="s">
        <v>512</v>
      </c>
      <c r="B460" t="s">
        <v>331</v>
      </c>
      <c r="C460">
        <v>4.8</v>
      </c>
      <c r="D460">
        <v>2091</v>
      </c>
      <c r="E460">
        <v>12</v>
      </c>
      <c r="F460">
        <v>2012</v>
      </c>
      <c r="G460" t="s">
        <v>10</v>
      </c>
      <c r="I460" t="str">
        <v/>
      </c>
    </row>
    <row r="461" spans="1:9" hidden="1" x14ac:dyDescent="0.25">
      <c r="A461" t="s">
        <v>513</v>
      </c>
      <c r="B461" t="s">
        <v>514</v>
      </c>
      <c r="C461">
        <v>4.5999999999999996</v>
      </c>
      <c r="D461">
        <v>19720</v>
      </c>
      <c r="E461">
        <v>8</v>
      </c>
      <c r="F461">
        <v>2009</v>
      </c>
      <c r="G461" t="s">
        <v>10</v>
      </c>
      <c r="I461" t="str">
        <v/>
      </c>
    </row>
    <row r="462" spans="1:9" hidden="1" x14ac:dyDescent="0.25">
      <c r="A462" t="s">
        <v>513</v>
      </c>
      <c r="B462" t="s">
        <v>514</v>
      </c>
      <c r="C462">
        <v>4.5999999999999996</v>
      </c>
      <c r="D462">
        <v>19720</v>
      </c>
      <c r="E462">
        <v>8</v>
      </c>
      <c r="F462">
        <v>2017</v>
      </c>
      <c r="G462" t="s">
        <v>10</v>
      </c>
      <c r="I462" t="str">
        <v/>
      </c>
    </row>
    <row r="463" spans="1:9" hidden="1" x14ac:dyDescent="0.25">
      <c r="A463" t="s">
        <v>515</v>
      </c>
      <c r="B463" t="s">
        <v>73</v>
      </c>
      <c r="C463">
        <v>4.5999999999999996</v>
      </c>
      <c r="D463">
        <v>2122</v>
      </c>
      <c r="E463">
        <v>0</v>
      </c>
      <c r="F463">
        <v>2010</v>
      </c>
      <c r="G463" t="s">
        <v>10</v>
      </c>
      <c r="I463" t="str">
        <v/>
      </c>
    </row>
    <row r="464" spans="1:9" hidden="1" x14ac:dyDescent="0.25">
      <c r="A464" t="s">
        <v>516</v>
      </c>
      <c r="B464" t="s">
        <v>517</v>
      </c>
      <c r="C464">
        <v>4.5</v>
      </c>
      <c r="D464">
        <v>27536</v>
      </c>
      <c r="E464">
        <v>14</v>
      </c>
      <c r="F464">
        <v>2019</v>
      </c>
      <c r="G464" t="s">
        <v>10</v>
      </c>
      <c r="I464" t="str">
        <v/>
      </c>
    </row>
    <row r="465" spans="1:9" hidden="1" x14ac:dyDescent="0.25">
      <c r="A465" t="s">
        <v>518</v>
      </c>
      <c r="B465" t="s">
        <v>331</v>
      </c>
      <c r="C465">
        <v>4.8</v>
      </c>
      <c r="D465">
        <v>4290</v>
      </c>
      <c r="E465">
        <v>10</v>
      </c>
      <c r="F465">
        <v>2011</v>
      </c>
      <c r="G465" t="s">
        <v>10</v>
      </c>
      <c r="I465" t="str">
        <v/>
      </c>
    </row>
    <row r="466" spans="1:9" hidden="1" x14ac:dyDescent="0.25">
      <c r="A466" t="s">
        <v>519</v>
      </c>
      <c r="B466" t="s">
        <v>520</v>
      </c>
      <c r="C466">
        <v>4.5999999999999996</v>
      </c>
      <c r="D466">
        <v>26490</v>
      </c>
      <c r="E466">
        <v>15</v>
      </c>
      <c r="F466">
        <v>2017</v>
      </c>
      <c r="G466" t="s">
        <v>8</v>
      </c>
      <c r="I466" t="str">
        <v/>
      </c>
    </row>
    <row r="467" spans="1:9" hidden="1" x14ac:dyDescent="0.25">
      <c r="A467" t="s">
        <v>519</v>
      </c>
      <c r="B467" t="s">
        <v>520</v>
      </c>
      <c r="C467">
        <v>4.5999999999999996</v>
      </c>
      <c r="D467">
        <v>26490</v>
      </c>
      <c r="E467">
        <v>15</v>
      </c>
      <c r="F467">
        <v>2018</v>
      </c>
      <c r="G467" t="s">
        <v>8</v>
      </c>
      <c r="I467" t="str">
        <v/>
      </c>
    </row>
    <row r="468" spans="1:9" hidden="1" x14ac:dyDescent="0.25">
      <c r="A468" t="s">
        <v>519</v>
      </c>
      <c r="B468" t="s">
        <v>520</v>
      </c>
      <c r="C468">
        <v>4.5999999999999996</v>
      </c>
      <c r="D468">
        <v>26490</v>
      </c>
      <c r="E468">
        <v>15</v>
      </c>
      <c r="F468">
        <v>2019</v>
      </c>
      <c r="G468" t="s">
        <v>8</v>
      </c>
      <c r="I468" t="str">
        <v/>
      </c>
    </row>
    <row r="469" spans="1:9" hidden="1" x14ac:dyDescent="0.25">
      <c r="A469" t="s">
        <v>521</v>
      </c>
      <c r="B469" t="s">
        <v>299</v>
      </c>
      <c r="C469">
        <v>4.7</v>
      </c>
      <c r="D469">
        <v>5487</v>
      </c>
      <c r="E469">
        <v>9</v>
      </c>
      <c r="F469">
        <v>2017</v>
      </c>
      <c r="G469" t="s">
        <v>8</v>
      </c>
      <c r="I469" t="str">
        <v/>
      </c>
    </row>
    <row r="470" spans="1:9" hidden="1" x14ac:dyDescent="0.25">
      <c r="A470" t="s">
        <v>522</v>
      </c>
      <c r="B470" t="s">
        <v>78</v>
      </c>
      <c r="C470">
        <v>4.7</v>
      </c>
      <c r="D470">
        <v>6377</v>
      </c>
      <c r="E470">
        <v>7</v>
      </c>
      <c r="F470">
        <v>2012</v>
      </c>
      <c r="G470" t="s">
        <v>10</v>
      </c>
      <c r="I470" t="str">
        <v/>
      </c>
    </row>
    <row r="471" spans="1:9" hidden="1" x14ac:dyDescent="0.25">
      <c r="A471" t="s">
        <v>523</v>
      </c>
      <c r="B471" t="s">
        <v>331</v>
      </c>
      <c r="C471">
        <v>4.7</v>
      </c>
      <c r="D471">
        <v>1463</v>
      </c>
      <c r="E471">
        <v>10</v>
      </c>
      <c r="F471">
        <v>2011</v>
      </c>
      <c r="G471" t="s">
        <v>10</v>
      </c>
      <c r="I471" t="str">
        <v/>
      </c>
    </row>
    <row r="472" spans="1:9" hidden="1" x14ac:dyDescent="0.25">
      <c r="A472" t="s">
        <v>524</v>
      </c>
      <c r="B472" t="s">
        <v>525</v>
      </c>
      <c r="C472">
        <v>4.4000000000000004</v>
      </c>
      <c r="D472">
        <v>3759</v>
      </c>
      <c r="E472">
        <v>6</v>
      </c>
      <c r="F472">
        <v>2009</v>
      </c>
      <c r="G472" t="s">
        <v>10</v>
      </c>
      <c r="I472" t="str">
        <v/>
      </c>
    </row>
    <row r="473" spans="1:9" hidden="1" x14ac:dyDescent="0.25">
      <c r="A473" t="s">
        <v>526</v>
      </c>
      <c r="B473" t="s">
        <v>101</v>
      </c>
      <c r="C473">
        <v>4.4000000000000004</v>
      </c>
      <c r="D473">
        <v>3503</v>
      </c>
      <c r="E473">
        <v>9</v>
      </c>
      <c r="F473">
        <v>2009</v>
      </c>
      <c r="G473" t="s">
        <v>8</v>
      </c>
      <c r="I473" t="str">
        <v/>
      </c>
    </row>
    <row r="474" spans="1:9" hidden="1" x14ac:dyDescent="0.25">
      <c r="A474" t="s">
        <v>527</v>
      </c>
      <c r="B474" t="s">
        <v>528</v>
      </c>
      <c r="C474">
        <v>4.7</v>
      </c>
      <c r="D474">
        <v>11550</v>
      </c>
      <c r="E474">
        <v>10</v>
      </c>
      <c r="F474">
        <v>2019</v>
      </c>
      <c r="G474" t="s">
        <v>8</v>
      </c>
      <c r="I474" t="str">
        <v/>
      </c>
    </row>
    <row r="475" spans="1:9" hidden="1" x14ac:dyDescent="0.25">
      <c r="A475" t="s">
        <v>529</v>
      </c>
      <c r="B475" t="s">
        <v>73</v>
      </c>
      <c r="C475">
        <v>4.7</v>
      </c>
      <c r="D475">
        <v>3801</v>
      </c>
      <c r="E475">
        <v>82</v>
      </c>
      <c r="F475">
        <v>2009</v>
      </c>
      <c r="G475" t="s">
        <v>10</v>
      </c>
      <c r="I475" t="str">
        <v/>
      </c>
    </row>
    <row r="476" spans="1:9" hidden="1" x14ac:dyDescent="0.25">
      <c r="A476" t="s">
        <v>530</v>
      </c>
      <c r="B476" t="s">
        <v>78</v>
      </c>
      <c r="C476">
        <v>4.8</v>
      </c>
      <c r="D476">
        <v>3796</v>
      </c>
      <c r="E476">
        <v>12</v>
      </c>
      <c r="F476">
        <v>2010</v>
      </c>
      <c r="G476" t="s">
        <v>10</v>
      </c>
      <c r="I476" t="str">
        <v/>
      </c>
    </row>
    <row r="477" spans="1:9" hidden="1" x14ac:dyDescent="0.25">
      <c r="A477" t="s">
        <v>531</v>
      </c>
      <c r="B477" t="s">
        <v>532</v>
      </c>
      <c r="C477">
        <v>4.7</v>
      </c>
      <c r="D477">
        <v>9030</v>
      </c>
      <c r="E477">
        <v>10</v>
      </c>
      <c r="F477">
        <v>2019</v>
      </c>
      <c r="G477" t="s">
        <v>8</v>
      </c>
      <c r="I477" t="str">
        <v/>
      </c>
    </row>
    <row r="478" spans="1:9" x14ac:dyDescent="0.25">
      <c r="A478" t="s">
        <v>533</v>
      </c>
      <c r="B478" t="s">
        <v>534</v>
      </c>
      <c r="C478">
        <v>4.9000000000000004</v>
      </c>
      <c r="D478">
        <v>19546</v>
      </c>
      <c r="E478">
        <v>5</v>
      </c>
      <c r="F478">
        <v>2013</v>
      </c>
      <c r="G478" t="s">
        <v>10</v>
      </c>
      <c r="I478" s="4" t="str">
        <v>The Very Hungry Caterpillar</v>
      </c>
    </row>
    <row r="479" spans="1:9" x14ac:dyDescent="0.25">
      <c r="A479" t="s">
        <v>533</v>
      </c>
      <c r="B479" t="s">
        <v>534</v>
      </c>
      <c r="C479">
        <v>4.9000000000000004</v>
      </c>
      <c r="D479">
        <v>19546</v>
      </c>
      <c r="E479">
        <v>5</v>
      </c>
      <c r="F479">
        <v>2014</v>
      </c>
      <c r="G479" t="s">
        <v>10</v>
      </c>
      <c r="I479" s="4" t="str">
        <v>The Very Hungry Caterpillar</v>
      </c>
    </row>
    <row r="480" spans="1:9" x14ac:dyDescent="0.25">
      <c r="A480" t="s">
        <v>533</v>
      </c>
      <c r="B480" t="s">
        <v>534</v>
      </c>
      <c r="C480">
        <v>4.9000000000000004</v>
      </c>
      <c r="D480">
        <v>19546</v>
      </c>
      <c r="E480">
        <v>5</v>
      </c>
      <c r="F480">
        <v>2015</v>
      </c>
      <c r="G480" t="s">
        <v>10</v>
      </c>
      <c r="I480" s="4" t="str">
        <v>The Very Hungry Caterpillar</v>
      </c>
    </row>
    <row r="481" spans="1:9" x14ac:dyDescent="0.25">
      <c r="A481" t="s">
        <v>533</v>
      </c>
      <c r="B481" t="s">
        <v>534</v>
      </c>
      <c r="C481">
        <v>4.9000000000000004</v>
      </c>
      <c r="D481">
        <v>19546</v>
      </c>
      <c r="E481">
        <v>5</v>
      </c>
      <c r="F481">
        <v>2016</v>
      </c>
      <c r="G481" t="s">
        <v>10</v>
      </c>
      <c r="I481" s="4" t="str">
        <v>The Very Hungry Caterpillar</v>
      </c>
    </row>
    <row r="482" spans="1:9" x14ac:dyDescent="0.25">
      <c r="A482" t="s">
        <v>533</v>
      </c>
      <c r="B482" t="s">
        <v>534</v>
      </c>
      <c r="C482">
        <v>4.9000000000000004</v>
      </c>
      <c r="D482">
        <v>19546</v>
      </c>
      <c r="E482">
        <v>5</v>
      </c>
      <c r="F482">
        <v>2017</v>
      </c>
      <c r="G482" t="s">
        <v>10</v>
      </c>
      <c r="I482" s="4" t="str">
        <v>The Very Hungry Caterpillar</v>
      </c>
    </row>
    <row r="483" spans="1:9" x14ac:dyDescent="0.25">
      <c r="A483" t="s">
        <v>533</v>
      </c>
      <c r="B483" t="s">
        <v>534</v>
      </c>
      <c r="C483">
        <v>4.9000000000000004</v>
      </c>
      <c r="D483">
        <v>19546</v>
      </c>
      <c r="E483">
        <v>5</v>
      </c>
      <c r="F483">
        <v>2018</v>
      </c>
      <c r="G483" t="s">
        <v>10</v>
      </c>
      <c r="I483" s="4" t="str">
        <v>The Very Hungry Caterpillar</v>
      </c>
    </row>
    <row r="484" spans="1:9" x14ac:dyDescent="0.25">
      <c r="A484" t="s">
        <v>533</v>
      </c>
      <c r="B484" t="s">
        <v>534</v>
      </c>
      <c r="C484">
        <v>4.9000000000000004</v>
      </c>
      <c r="D484">
        <v>19546</v>
      </c>
      <c r="E484">
        <v>5</v>
      </c>
      <c r="F484">
        <v>2019</v>
      </c>
      <c r="G484" t="s">
        <v>10</v>
      </c>
      <c r="I484" s="4" t="str">
        <v>The Very Hungry Caterpillar</v>
      </c>
    </row>
    <row r="485" spans="1:9" hidden="1" x14ac:dyDescent="0.25">
      <c r="A485" t="s">
        <v>535</v>
      </c>
      <c r="B485" t="s">
        <v>536</v>
      </c>
      <c r="C485">
        <v>4.5999999999999996</v>
      </c>
      <c r="D485">
        <v>7508</v>
      </c>
      <c r="E485">
        <v>16</v>
      </c>
      <c r="F485">
        <v>2015</v>
      </c>
      <c r="G485" t="s">
        <v>8</v>
      </c>
      <c r="I485" t="str">
        <v/>
      </c>
    </row>
    <row r="486" spans="1:9" hidden="1" x14ac:dyDescent="0.25">
      <c r="A486" t="s">
        <v>535</v>
      </c>
      <c r="B486" t="s">
        <v>536</v>
      </c>
      <c r="C486">
        <v>4.5999999999999996</v>
      </c>
      <c r="D486">
        <v>7508</v>
      </c>
      <c r="E486">
        <v>16</v>
      </c>
      <c r="F486">
        <v>2016</v>
      </c>
      <c r="G486" t="s">
        <v>8</v>
      </c>
      <c r="I486" t="str">
        <v/>
      </c>
    </row>
    <row r="487" spans="1:9" hidden="1" x14ac:dyDescent="0.25">
      <c r="A487" t="s">
        <v>535</v>
      </c>
      <c r="B487" t="s">
        <v>536</v>
      </c>
      <c r="C487">
        <v>4.5999999999999996</v>
      </c>
      <c r="D487">
        <v>7508</v>
      </c>
      <c r="E487">
        <v>16</v>
      </c>
      <c r="F487">
        <v>2017</v>
      </c>
      <c r="G487" t="s">
        <v>8</v>
      </c>
      <c r="I487" t="str">
        <v/>
      </c>
    </row>
    <row r="488" spans="1:9" x14ac:dyDescent="0.25">
      <c r="A488" t="s">
        <v>537</v>
      </c>
      <c r="B488" t="s">
        <v>538</v>
      </c>
      <c r="C488">
        <v>4.9000000000000004</v>
      </c>
      <c r="D488">
        <v>8842</v>
      </c>
      <c r="E488">
        <v>10</v>
      </c>
      <c r="F488">
        <v>2016</v>
      </c>
      <c r="G488" t="s">
        <v>10</v>
      </c>
      <c r="I488" s="4" t="str">
        <v>The Wonderful Things You Will Be</v>
      </c>
    </row>
    <row r="489" spans="1:9" x14ac:dyDescent="0.25">
      <c r="A489" t="s">
        <v>537</v>
      </c>
      <c r="B489" t="s">
        <v>538</v>
      </c>
      <c r="C489">
        <v>4.9000000000000004</v>
      </c>
      <c r="D489">
        <v>8842</v>
      </c>
      <c r="E489">
        <v>10</v>
      </c>
      <c r="F489">
        <v>2017</v>
      </c>
      <c r="G489" t="s">
        <v>10</v>
      </c>
      <c r="I489" s="4" t="str">
        <v>The Wonderful Things You Will Be</v>
      </c>
    </row>
    <row r="490" spans="1:9" x14ac:dyDescent="0.25">
      <c r="A490" t="s">
        <v>537</v>
      </c>
      <c r="B490" t="s">
        <v>538</v>
      </c>
      <c r="C490">
        <v>4.9000000000000004</v>
      </c>
      <c r="D490">
        <v>8842</v>
      </c>
      <c r="E490">
        <v>10</v>
      </c>
      <c r="F490">
        <v>2018</v>
      </c>
      <c r="G490" t="s">
        <v>10</v>
      </c>
      <c r="I490" s="4" t="str">
        <v>The Wonderful Things You Will Be</v>
      </c>
    </row>
    <row r="491" spans="1:9" x14ac:dyDescent="0.25">
      <c r="A491" t="s">
        <v>537</v>
      </c>
      <c r="B491" t="s">
        <v>538</v>
      </c>
      <c r="C491">
        <v>4.9000000000000004</v>
      </c>
      <c r="D491">
        <v>8842</v>
      </c>
      <c r="E491">
        <v>10</v>
      </c>
      <c r="F491">
        <v>2019</v>
      </c>
      <c r="G491" t="s">
        <v>10</v>
      </c>
      <c r="I491" s="4" t="str">
        <v>The Wonderful Things You Will Be</v>
      </c>
    </row>
    <row r="492" spans="1:9" hidden="1" x14ac:dyDescent="0.25">
      <c r="A492" t="s">
        <v>539</v>
      </c>
      <c r="B492" t="s">
        <v>540</v>
      </c>
      <c r="C492">
        <v>4.8</v>
      </c>
      <c r="D492">
        <v>30183</v>
      </c>
      <c r="E492">
        <v>4</v>
      </c>
      <c r="F492">
        <v>2018</v>
      </c>
      <c r="G492" t="s">
        <v>10</v>
      </c>
      <c r="I492" t="str">
        <v/>
      </c>
    </row>
    <row r="493" spans="1:9" hidden="1" x14ac:dyDescent="0.25">
      <c r="A493" t="s">
        <v>539</v>
      </c>
      <c r="B493" t="s">
        <v>540</v>
      </c>
      <c r="C493">
        <v>4.8</v>
      </c>
      <c r="D493">
        <v>30183</v>
      </c>
      <c r="E493">
        <v>4</v>
      </c>
      <c r="F493">
        <v>2019</v>
      </c>
      <c r="G493" t="s">
        <v>10</v>
      </c>
      <c r="I493" t="str">
        <v/>
      </c>
    </row>
    <row r="494" spans="1:9" hidden="1" x14ac:dyDescent="0.25">
      <c r="A494" t="s">
        <v>541</v>
      </c>
      <c r="B494" t="s">
        <v>542</v>
      </c>
      <c r="C494">
        <v>4.7</v>
      </c>
      <c r="D494">
        <v>6169</v>
      </c>
      <c r="E494">
        <v>16</v>
      </c>
      <c r="F494">
        <v>2015</v>
      </c>
      <c r="G494" t="s">
        <v>8</v>
      </c>
      <c r="I494" t="str">
        <v/>
      </c>
    </row>
    <row r="495" spans="1:9" hidden="1" x14ac:dyDescent="0.25">
      <c r="A495" t="s">
        <v>543</v>
      </c>
      <c r="B495" t="s">
        <v>544</v>
      </c>
      <c r="C495">
        <v>4.7</v>
      </c>
      <c r="D495">
        <v>7034</v>
      </c>
      <c r="E495">
        <v>15</v>
      </c>
      <c r="F495">
        <v>2013</v>
      </c>
      <c r="G495" t="s">
        <v>8</v>
      </c>
      <c r="I495" t="str">
        <v/>
      </c>
    </row>
    <row r="496" spans="1:9" hidden="1" x14ac:dyDescent="0.25">
      <c r="A496" t="s">
        <v>545</v>
      </c>
      <c r="B496" t="s">
        <v>546</v>
      </c>
      <c r="C496">
        <v>4.5999999999999996</v>
      </c>
      <c r="D496">
        <v>11034</v>
      </c>
      <c r="E496">
        <v>19</v>
      </c>
      <c r="F496">
        <v>2011</v>
      </c>
      <c r="G496" t="s">
        <v>8</v>
      </c>
      <c r="I496" t="str">
        <v/>
      </c>
    </row>
    <row r="497" spans="1:9" hidden="1" x14ac:dyDescent="0.25">
      <c r="A497" t="s">
        <v>545</v>
      </c>
      <c r="B497" t="s">
        <v>546</v>
      </c>
      <c r="C497">
        <v>4.5999999999999996</v>
      </c>
      <c r="D497">
        <v>11034</v>
      </c>
      <c r="E497">
        <v>19</v>
      </c>
      <c r="F497">
        <v>2012</v>
      </c>
      <c r="G497" t="s">
        <v>8</v>
      </c>
      <c r="I497" t="str">
        <v/>
      </c>
    </row>
    <row r="498" spans="1:9" hidden="1" x14ac:dyDescent="0.25">
      <c r="A498" t="s">
        <v>547</v>
      </c>
      <c r="B498" t="s">
        <v>548</v>
      </c>
      <c r="C498">
        <v>4.5</v>
      </c>
      <c r="D498">
        <v>7932</v>
      </c>
      <c r="E498">
        <v>9</v>
      </c>
      <c r="F498">
        <v>2017</v>
      </c>
      <c r="G498" t="s">
        <v>10</v>
      </c>
      <c r="I498" t="str">
        <v/>
      </c>
    </row>
    <row r="499" spans="1:9" hidden="1" x14ac:dyDescent="0.25">
      <c r="A499" t="s">
        <v>549</v>
      </c>
      <c r="B499" t="s">
        <v>550</v>
      </c>
      <c r="C499">
        <v>4.5</v>
      </c>
      <c r="D499">
        <v>1904</v>
      </c>
      <c r="E499">
        <v>23</v>
      </c>
      <c r="F499">
        <v>2012</v>
      </c>
      <c r="G499" t="s">
        <v>8</v>
      </c>
      <c r="I499" t="str">
        <v/>
      </c>
    </row>
    <row r="500" spans="1:9" hidden="1" x14ac:dyDescent="0.25">
      <c r="A500" t="s">
        <v>551</v>
      </c>
      <c r="B500" t="s">
        <v>552</v>
      </c>
      <c r="C500">
        <v>4.3</v>
      </c>
      <c r="D500">
        <v>3319</v>
      </c>
      <c r="E500">
        <v>11</v>
      </c>
      <c r="F500">
        <v>2009</v>
      </c>
      <c r="G500" t="s">
        <v>8</v>
      </c>
      <c r="I500" t="str">
        <v/>
      </c>
    </row>
    <row r="501" spans="1:9" hidden="1" x14ac:dyDescent="0.25">
      <c r="A501" t="s">
        <v>551</v>
      </c>
      <c r="B501" t="s">
        <v>552</v>
      </c>
      <c r="C501">
        <v>4.3</v>
      </c>
      <c r="D501">
        <v>3319</v>
      </c>
      <c r="E501">
        <v>11</v>
      </c>
      <c r="F501">
        <v>2010</v>
      </c>
      <c r="G501" t="s">
        <v>8</v>
      </c>
      <c r="I501" t="str">
        <v/>
      </c>
    </row>
    <row r="502" spans="1:9" hidden="1" x14ac:dyDescent="0.25">
      <c r="A502" t="s">
        <v>553</v>
      </c>
      <c r="B502" t="s">
        <v>554</v>
      </c>
      <c r="C502">
        <v>4.5999999999999996</v>
      </c>
      <c r="D502">
        <v>11128</v>
      </c>
      <c r="E502">
        <v>23</v>
      </c>
      <c r="F502">
        <v>2014</v>
      </c>
      <c r="G502" t="s">
        <v>8</v>
      </c>
      <c r="I502" t="str">
        <v/>
      </c>
    </row>
    <row r="503" spans="1:9" hidden="1" x14ac:dyDescent="0.25">
      <c r="A503" t="s">
        <v>553</v>
      </c>
      <c r="B503" t="s">
        <v>554</v>
      </c>
      <c r="C503">
        <v>4.5999999999999996</v>
      </c>
      <c r="D503">
        <v>11128</v>
      </c>
      <c r="E503">
        <v>23</v>
      </c>
      <c r="F503">
        <v>2015</v>
      </c>
      <c r="G503" t="s">
        <v>8</v>
      </c>
      <c r="I503" t="str">
        <v/>
      </c>
    </row>
    <row r="504" spans="1:9" hidden="1" x14ac:dyDescent="0.25">
      <c r="A504" t="s">
        <v>553</v>
      </c>
      <c r="B504" t="s">
        <v>554</v>
      </c>
      <c r="C504">
        <v>4.5999999999999996</v>
      </c>
      <c r="D504">
        <v>11128</v>
      </c>
      <c r="E504">
        <v>23</v>
      </c>
      <c r="F504">
        <v>2016</v>
      </c>
      <c r="G504" t="s">
        <v>8</v>
      </c>
      <c r="I504" t="str">
        <v/>
      </c>
    </row>
    <row r="505" spans="1:9" hidden="1" x14ac:dyDescent="0.25">
      <c r="A505" t="s">
        <v>553</v>
      </c>
      <c r="B505" t="s">
        <v>554</v>
      </c>
      <c r="C505">
        <v>4.5999999999999996</v>
      </c>
      <c r="D505">
        <v>11128</v>
      </c>
      <c r="E505">
        <v>23</v>
      </c>
      <c r="F505">
        <v>2017</v>
      </c>
      <c r="G505" t="s">
        <v>8</v>
      </c>
      <c r="I505" t="str">
        <v/>
      </c>
    </row>
    <row r="506" spans="1:9" hidden="1" x14ac:dyDescent="0.25">
      <c r="A506" t="s">
        <v>555</v>
      </c>
      <c r="B506" t="s">
        <v>556</v>
      </c>
      <c r="C506">
        <v>4.3</v>
      </c>
      <c r="D506">
        <v>5977</v>
      </c>
      <c r="E506">
        <v>12</v>
      </c>
      <c r="F506">
        <v>2011</v>
      </c>
      <c r="G506" t="s">
        <v>8</v>
      </c>
      <c r="I506" t="str">
        <v/>
      </c>
    </row>
    <row r="507" spans="1:9" hidden="1" x14ac:dyDescent="0.25">
      <c r="A507" t="s">
        <v>557</v>
      </c>
      <c r="B507" t="s">
        <v>182</v>
      </c>
      <c r="C507">
        <v>4.8</v>
      </c>
      <c r="D507">
        <v>26234</v>
      </c>
      <c r="E507">
        <v>0</v>
      </c>
      <c r="F507">
        <v>2013</v>
      </c>
      <c r="G507" t="s">
        <v>10</v>
      </c>
      <c r="I507" t="str">
        <v/>
      </c>
    </row>
    <row r="508" spans="1:9" hidden="1" x14ac:dyDescent="0.25">
      <c r="A508" t="s">
        <v>557</v>
      </c>
      <c r="B508" t="s">
        <v>182</v>
      </c>
      <c r="C508">
        <v>4.8</v>
      </c>
      <c r="D508">
        <v>26234</v>
      </c>
      <c r="E508">
        <v>0</v>
      </c>
      <c r="F508">
        <v>2014</v>
      </c>
      <c r="G508" t="s">
        <v>10</v>
      </c>
      <c r="I508" t="str">
        <v/>
      </c>
    </row>
    <row r="509" spans="1:9" hidden="1" x14ac:dyDescent="0.25">
      <c r="A509" t="s">
        <v>557</v>
      </c>
      <c r="B509" t="s">
        <v>182</v>
      </c>
      <c r="C509">
        <v>4.8</v>
      </c>
      <c r="D509">
        <v>26234</v>
      </c>
      <c r="E509">
        <v>0</v>
      </c>
      <c r="F509">
        <v>2015</v>
      </c>
      <c r="G509" t="s">
        <v>10</v>
      </c>
      <c r="I509" t="str">
        <v/>
      </c>
    </row>
    <row r="510" spans="1:9" hidden="1" x14ac:dyDescent="0.25">
      <c r="A510" t="s">
        <v>557</v>
      </c>
      <c r="B510" t="s">
        <v>182</v>
      </c>
      <c r="C510">
        <v>4.8</v>
      </c>
      <c r="D510">
        <v>26234</v>
      </c>
      <c r="E510">
        <v>0</v>
      </c>
      <c r="F510">
        <v>2016</v>
      </c>
      <c r="G510" t="s">
        <v>10</v>
      </c>
      <c r="I510" t="str">
        <v/>
      </c>
    </row>
    <row r="511" spans="1:9" hidden="1" x14ac:dyDescent="0.25">
      <c r="A511" t="s">
        <v>557</v>
      </c>
      <c r="B511" t="s">
        <v>182</v>
      </c>
      <c r="C511">
        <v>4.8</v>
      </c>
      <c r="D511">
        <v>26234</v>
      </c>
      <c r="E511">
        <v>7</v>
      </c>
      <c r="F511">
        <v>2019</v>
      </c>
      <c r="G511" t="s">
        <v>10</v>
      </c>
      <c r="I511" t="str">
        <v/>
      </c>
    </row>
    <row r="512" spans="1:9" hidden="1" x14ac:dyDescent="0.25">
      <c r="A512" t="s">
        <v>558</v>
      </c>
      <c r="B512" t="s">
        <v>381</v>
      </c>
      <c r="C512">
        <v>4.5999999999999996</v>
      </c>
      <c r="D512">
        <v>4360</v>
      </c>
      <c r="E512">
        <v>21</v>
      </c>
      <c r="F512">
        <v>2017</v>
      </c>
      <c r="G512" t="s">
        <v>8</v>
      </c>
      <c r="I512" t="str">
        <v/>
      </c>
    </row>
    <row r="513" spans="1:9" hidden="1" x14ac:dyDescent="0.25">
      <c r="A513" t="s">
        <v>559</v>
      </c>
      <c r="B513" t="s">
        <v>560</v>
      </c>
      <c r="C513">
        <v>4.8</v>
      </c>
      <c r="D513">
        <v>2282</v>
      </c>
      <c r="E513">
        <v>21</v>
      </c>
      <c r="F513">
        <v>2010</v>
      </c>
      <c r="G513" t="s">
        <v>10</v>
      </c>
      <c r="I513" t="str">
        <v/>
      </c>
    </row>
    <row r="514" spans="1:9" hidden="1" x14ac:dyDescent="0.25">
      <c r="A514" t="s">
        <v>561</v>
      </c>
      <c r="B514" t="s">
        <v>562</v>
      </c>
      <c r="C514">
        <v>4.5</v>
      </c>
      <c r="D514">
        <v>438</v>
      </c>
      <c r="E514">
        <v>15</v>
      </c>
      <c r="F514">
        <v>2009</v>
      </c>
      <c r="G514" t="s">
        <v>8</v>
      </c>
      <c r="I514" t="str">
        <v/>
      </c>
    </row>
    <row r="515" spans="1:9" hidden="1" x14ac:dyDescent="0.25">
      <c r="A515" t="s">
        <v>563</v>
      </c>
      <c r="B515" t="s">
        <v>73</v>
      </c>
      <c r="C515">
        <v>4.7</v>
      </c>
      <c r="D515">
        <v>11676</v>
      </c>
      <c r="E515">
        <v>9</v>
      </c>
      <c r="F515">
        <v>2009</v>
      </c>
      <c r="G515" t="s">
        <v>10</v>
      </c>
      <c r="I515" t="str">
        <v/>
      </c>
    </row>
    <row r="516" spans="1:9" hidden="1" x14ac:dyDescent="0.25">
      <c r="A516" t="s">
        <v>564</v>
      </c>
      <c r="B516" t="s">
        <v>58</v>
      </c>
      <c r="C516">
        <v>4.5</v>
      </c>
      <c r="D516">
        <v>2586</v>
      </c>
      <c r="E516">
        <v>5</v>
      </c>
      <c r="F516">
        <v>2014</v>
      </c>
      <c r="G516" t="s">
        <v>10</v>
      </c>
      <c r="I516" t="str">
        <v/>
      </c>
    </row>
    <row r="517" spans="1:9" hidden="1" x14ac:dyDescent="0.25">
      <c r="A517" t="s">
        <v>565</v>
      </c>
      <c r="B517" t="s">
        <v>566</v>
      </c>
      <c r="C517">
        <v>4.8</v>
      </c>
      <c r="D517">
        <v>29673</v>
      </c>
      <c r="E517">
        <v>16</v>
      </c>
      <c r="F517">
        <v>2010</v>
      </c>
      <c r="G517" t="s">
        <v>8</v>
      </c>
      <c r="I517" t="str">
        <v/>
      </c>
    </row>
    <row r="518" spans="1:9" hidden="1" x14ac:dyDescent="0.25">
      <c r="A518" t="s">
        <v>565</v>
      </c>
      <c r="B518" t="s">
        <v>566</v>
      </c>
      <c r="C518">
        <v>4.8</v>
      </c>
      <c r="D518">
        <v>29673</v>
      </c>
      <c r="E518">
        <v>16</v>
      </c>
      <c r="F518">
        <v>2011</v>
      </c>
      <c r="G518" t="s">
        <v>8</v>
      </c>
      <c r="I518" t="str">
        <v/>
      </c>
    </row>
    <row r="519" spans="1:9" hidden="1" x14ac:dyDescent="0.25">
      <c r="A519" t="s">
        <v>565</v>
      </c>
      <c r="B519" t="s">
        <v>566</v>
      </c>
      <c r="C519">
        <v>4.8</v>
      </c>
      <c r="D519">
        <v>29673</v>
      </c>
      <c r="E519">
        <v>16</v>
      </c>
      <c r="F519">
        <v>2012</v>
      </c>
      <c r="G519" t="s">
        <v>8</v>
      </c>
      <c r="I519" t="str">
        <v/>
      </c>
    </row>
    <row r="520" spans="1:9" hidden="1" x14ac:dyDescent="0.25">
      <c r="A520" t="s">
        <v>565</v>
      </c>
      <c r="B520" t="s">
        <v>566</v>
      </c>
      <c r="C520">
        <v>4.8</v>
      </c>
      <c r="D520">
        <v>29673</v>
      </c>
      <c r="E520">
        <v>13</v>
      </c>
      <c r="F520">
        <v>2014</v>
      </c>
      <c r="G520" t="s">
        <v>8</v>
      </c>
      <c r="I520" t="str">
        <v/>
      </c>
    </row>
    <row r="521" spans="1:9" hidden="1" x14ac:dyDescent="0.25">
      <c r="A521" t="s">
        <v>565</v>
      </c>
      <c r="B521" t="s">
        <v>566</v>
      </c>
      <c r="C521">
        <v>4.8</v>
      </c>
      <c r="D521">
        <v>29673</v>
      </c>
      <c r="E521">
        <v>16</v>
      </c>
      <c r="F521">
        <v>2014</v>
      </c>
      <c r="G521" t="s">
        <v>8</v>
      </c>
      <c r="I521" t="str">
        <v/>
      </c>
    </row>
    <row r="522" spans="1:9" hidden="1" x14ac:dyDescent="0.25">
      <c r="A522" t="s">
        <v>567</v>
      </c>
      <c r="B522" t="s">
        <v>9</v>
      </c>
      <c r="C522">
        <v>4.3</v>
      </c>
      <c r="D522">
        <v>6740</v>
      </c>
      <c r="E522">
        <v>20</v>
      </c>
      <c r="F522">
        <v>2009</v>
      </c>
      <c r="G522" t="s">
        <v>10</v>
      </c>
      <c r="I522" t="str">
        <v/>
      </c>
    </row>
    <row r="523" spans="1:9" x14ac:dyDescent="0.25">
      <c r="A523" t="s">
        <v>568</v>
      </c>
      <c r="B523" t="s">
        <v>277</v>
      </c>
      <c r="C523">
        <v>4.9000000000000004</v>
      </c>
      <c r="D523">
        <v>5956</v>
      </c>
      <c r="E523">
        <v>11</v>
      </c>
      <c r="F523">
        <v>2019</v>
      </c>
      <c r="G523" t="s">
        <v>8</v>
      </c>
      <c r="I523" s="4" t="str">
        <v>Unfreedom of the Press</v>
      </c>
    </row>
    <row r="524" spans="1:9" hidden="1" x14ac:dyDescent="0.25">
      <c r="A524" t="s">
        <v>569</v>
      </c>
      <c r="B524" t="s">
        <v>570</v>
      </c>
      <c r="C524">
        <v>4.8</v>
      </c>
      <c r="D524">
        <v>6108</v>
      </c>
      <c r="E524">
        <v>4</v>
      </c>
      <c r="F524">
        <v>2019</v>
      </c>
      <c r="G524" t="s">
        <v>8</v>
      </c>
      <c r="I524" t="str">
        <v/>
      </c>
    </row>
    <row r="525" spans="1:9" hidden="1" x14ac:dyDescent="0.25">
      <c r="A525" t="s">
        <v>571</v>
      </c>
      <c r="B525" t="s">
        <v>249</v>
      </c>
      <c r="C525">
        <v>4.7</v>
      </c>
      <c r="D525">
        <v>4585</v>
      </c>
      <c r="E525">
        <v>9</v>
      </c>
      <c r="F525">
        <v>2016</v>
      </c>
      <c r="G525" t="s">
        <v>8</v>
      </c>
      <c r="I525" t="str">
        <v/>
      </c>
    </row>
    <row r="526" spans="1:9" hidden="1" x14ac:dyDescent="0.25">
      <c r="A526" t="s">
        <v>572</v>
      </c>
      <c r="B526" t="s">
        <v>573</v>
      </c>
      <c r="C526">
        <v>4.8</v>
      </c>
      <c r="D526">
        <v>3829</v>
      </c>
      <c r="E526">
        <v>42</v>
      </c>
      <c r="F526">
        <v>2009</v>
      </c>
      <c r="G526" t="s">
        <v>10</v>
      </c>
      <c r="I526" t="str">
        <v/>
      </c>
    </row>
    <row r="527" spans="1:9" hidden="1" x14ac:dyDescent="0.25">
      <c r="A527" t="s">
        <v>574</v>
      </c>
      <c r="B527" t="s">
        <v>575</v>
      </c>
      <c r="C527">
        <v>4.5</v>
      </c>
      <c r="D527">
        <v>8958</v>
      </c>
      <c r="E527">
        <v>12</v>
      </c>
      <c r="F527">
        <v>2011</v>
      </c>
      <c r="G527" t="s">
        <v>10</v>
      </c>
      <c r="I527" t="str">
        <v/>
      </c>
    </row>
    <row r="528" spans="1:9" hidden="1" x14ac:dyDescent="0.25">
      <c r="A528" t="s">
        <v>576</v>
      </c>
      <c r="B528" t="s">
        <v>577</v>
      </c>
      <c r="C528">
        <v>4.5999999999999996</v>
      </c>
      <c r="D528">
        <v>5492</v>
      </c>
      <c r="E528">
        <v>18</v>
      </c>
      <c r="F528">
        <v>2017</v>
      </c>
      <c r="G528" t="s">
        <v>8</v>
      </c>
      <c r="I528" t="str">
        <v/>
      </c>
    </row>
    <row r="529" spans="1:9" hidden="1" x14ac:dyDescent="0.25">
      <c r="A529" t="s">
        <v>578</v>
      </c>
      <c r="B529" t="s">
        <v>579</v>
      </c>
      <c r="C529">
        <v>4.7</v>
      </c>
      <c r="D529">
        <v>9292</v>
      </c>
      <c r="E529">
        <v>17</v>
      </c>
      <c r="F529">
        <v>2014</v>
      </c>
      <c r="G529" t="s">
        <v>8</v>
      </c>
      <c r="I529" t="str">
        <v/>
      </c>
    </row>
    <row r="530" spans="1:9" hidden="1" x14ac:dyDescent="0.25">
      <c r="A530" t="s">
        <v>580</v>
      </c>
      <c r="B530" t="s">
        <v>317</v>
      </c>
      <c r="C530">
        <v>4.7</v>
      </c>
      <c r="D530">
        <v>1873</v>
      </c>
      <c r="E530">
        <v>14</v>
      </c>
      <c r="F530">
        <v>2015</v>
      </c>
      <c r="G530" t="s">
        <v>10</v>
      </c>
      <c r="I530" t="str">
        <v/>
      </c>
    </row>
    <row r="531" spans="1:9" hidden="1" x14ac:dyDescent="0.25">
      <c r="A531" t="s">
        <v>581</v>
      </c>
      <c r="B531" t="s">
        <v>582</v>
      </c>
      <c r="C531">
        <v>4.8</v>
      </c>
      <c r="D531">
        <v>8170</v>
      </c>
      <c r="E531">
        <v>13</v>
      </c>
      <c r="F531">
        <v>2019</v>
      </c>
      <c r="G531" t="s">
        <v>10</v>
      </c>
      <c r="I531" t="str">
        <v/>
      </c>
    </row>
    <row r="532" spans="1:9" hidden="1" x14ac:dyDescent="0.25">
      <c r="A532" t="s">
        <v>583</v>
      </c>
      <c r="B532" t="s">
        <v>584</v>
      </c>
      <c r="C532">
        <v>4.4000000000000004</v>
      </c>
      <c r="D532">
        <v>3341</v>
      </c>
      <c r="E532">
        <v>9</v>
      </c>
      <c r="F532">
        <v>2011</v>
      </c>
      <c r="G532" t="s">
        <v>8</v>
      </c>
      <c r="I532" t="str">
        <v/>
      </c>
    </row>
    <row r="533" spans="1:9" hidden="1" x14ac:dyDescent="0.25">
      <c r="A533" t="s">
        <v>585</v>
      </c>
      <c r="B533" t="s">
        <v>586</v>
      </c>
      <c r="C533">
        <v>4.4000000000000004</v>
      </c>
      <c r="D533">
        <v>7497</v>
      </c>
      <c r="E533">
        <v>6</v>
      </c>
      <c r="F533">
        <v>2012</v>
      </c>
      <c r="G533" t="s">
        <v>8</v>
      </c>
      <c r="I533" t="str">
        <v/>
      </c>
    </row>
    <row r="534" spans="1:9" hidden="1" x14ac:dyDescent="0.25">
      <c r="A534" t="s">
        <v>585</v>
      </c>
      <c r="B534" t="s">
        <v>586</v>
      </c>
      <c r="C534">
        <v>4.4000000000000004</v>
      </c>
      <c r="D534">
        <v>7497</v>
      </c>
      <c r="E534">
        <v>6</v>
      </c>
      <c r="F534">
        <v>2013</v>
      </c>
      <c r="G534" t="s">
        <v>8</v>
      </c>
      <c r="I534" t="str">
        <v/>
      </c>
    </row>
    <row r="535" spans="1:9" hidden="1" x14ac:dyDescent="0.25">
      <c r="A535" t="s">
        <v>587</v>
      </c>
      <c r="B535" t="s">
        <v>588</v>
      </c>
      <c r="C535">
        <v>4.8</v>
      </c>
      <c r="D535">
        <v>13779</v>
      </c>
      <c r="E535">
        <v>14</v>
      </c>
      <c r="F535">
        <v>2016</v>
      </c>
      <c r="G535" t="s">
        <v>8</v>
      </c>
      <c r="I535" t="str">
        <v/>
      </c>
    </row>
    <row r="536" spans="1:9" hidden="1" x14ac:dyDescent="0.25">
      <c r="A536" t="s">
        <v>589</v>
      </c>
      <c r="B536" t="s">
        <v>590</v>
      </c>
      <c r="C536">
        <v>4.8</v>
      </c>
      <c r="D536">
        <v>87841</v>
      </c>
      <c r="E536">
        <v>15</v>
      </c>
      <c r="F536">
        <v>2019</v>
      </c>
      <c r="G536" t="s">
        <v>10</v>
      </c>
      <c r="I536" t="str">
        <v/>
      </c>
    </row>
    <row r="537" spans="1:9" hidden="1" x14ac:dyDescent="0.25">
      <c r="A537" t="s">
        <v>591</v>
      </c>
      <c r="B537" t="s">
        <v>592</v>
      </c>
      <c r="C537">
        <v>4.8</v>
      </c>
      <c r="D537">
        <v>9967</v>
      </c>
      <c r="E537">
        <v>13</v>
      </c>
      <c r="F537">
        <v>2009</v>
      </c>
      <c r="G537" t="s">
        <v>10</v>
      </c>
      <c r="I537" t="str">
        <v/>
      </c>
    </row>
    <row r="538" spans="1:9" hidden="1" x14ac:dyDescent="0.25">
      <c r="A538" t="s">
        <v>593</v>
      </c>
      <c r="B538" t="s">
        <v>594</v>
      </c>
      <c r="C538">
        <v>4.5999999999999996</v>
      </c>
      <c r="D538">
        <v>6669</v>
      </c>
      <c r="E538">
        <v>12</v>
      </c>
      <c r="F538">
        <v>2018</v>
      </c>
      <c r="G538" t="s">
        <v>8</v>
      </c>
      <c r="I538" t="str">
        <v/>
      </c>
    </row>
    <row r="539" spans="1:9" hidden="1" x14ac:dyDescent="0.25">
      <c r="A539" t="s">
        <v>595</v>
      </c>
      <c r="B539" t="s">
        <v>596</v>
      </c>
      <c r="C539">
        <v>4.4000000000000004</v>
      </c>
      <c r="D539">
        <v>17044</v>
      </c>
      <c r="E539">
        <v>18</v>
      </c>
      <c r="F539">
        <v>2012</v>
      </c>
      <c r="G539" t="s">
        <v>8</v>
      </c>
      <c r="I539" t="str">
        <v/>
      </c>
    </row>
    <row r="540" spans="1:9" hidden="1" x14ac:dyDescent="0.25">
      <c r="A540" t="s">
        <v>597</v>
      </c>
      <c r="B540" t="s">
        <v>598</v>
      </c>
      <c r="C540">
        <v>4.5</v>
      </c>
      <c r="D540">
        <v>10760</v>
      </c>
      <c r="E540">
        <v>15</v>
      </c>
      <c r="F540">
        <v>2012</v>
      </c>
      <c r="G540" t="s">
        <v>10</v>
      </c>
      <c r="I540" t="str">
        <v/>
      </c>
    </row>
    <row r="541" spans="1:9" hidden="1" x14ac:dyDescent="0.25">
      <c r="A541" t="s">
        <v>599</v>
      </c>
      <c r="B541" t="s">
        <v>600</v>
      </c>
      <c r="C541">
        <v>4.2</v>
      </c>
      <c r="D541">
        <v>1302</v>
      </c>
      <c r="E541">
        <v>11</v>
      </c>
      <c r="F541">
        <v>2010</v>
      </c>
      <c r="G541" t="s">
        <v>8</v>
      </c>
      <c r="I541" t="str">
        <v/>
      </c>
    </row>
    <row r="542" spans="1:9" hidden="1" x14ac:dyDescent="0.25">
      <c r="A542" t="s">
        <v>601</v>
      </c>
      <c r="B542" t="s">
        <v>602</v>
      </c>
      <c r="C542">
        <v>4.8</v>
      </c>
      <c r="D542">
        <v>21625</v>
      </c>
      <c r="E542">
        <v>9</v>
      </c>
      <c r="F542">
        <v>2013</v>
      </c>
      <c r="G542" t="s">
        <v>10</v>
      </c>
      <c r="I542" t="str">
        <v/>
      </c>
    </row>
    <row r="543" spans="1:9" hidden="1" x14ac:dyDescent="0.25">
      <c r="A543" t="s">
        <v>601</v>
      </c>
      <c r="B543" t="s">
        <v>602</v>
      </c>
      <c r="C543">
        <v>4.8</v>
      </c>
      <c r="D543">
        <v>21625</v>
      </c>
      <c r="E543">
        <v>9</v>
      </c>
      <c r="F543">
        <v>2014</v>
      </c>
      <c r="G543" t="s">
        <v>10</v>
      </c>
      <c r="I543" t="str">
        <v/>
      </c>
    </row>
    <row r="544" spans="1:9" hidden="1" x14ac:dyDescent="0.25">
      <c r="A544" t="s">
        <v>601</v>
      </c>
      <c r="B544" t="s">
        <v>602</v>
      </c>
      <c r="C544">
        <v>4.8</v>
      </c>
      <c r="D544">
        <v>21625</v>
      </c>
      <c r="E544">
        <v>9</v>
      </c>
      <c r="F544">
        <v>2015</v>
      </c>
      <c r="G544" t="s">
        <v>10</v>
      </c>
      <c r="I544" t="str">
        <v/>
      </c>
    </row>
    <row r="545" spans="1:9" hidden="1" x14ac:dyDescent="0.25">
      <c r="A545" t="s">
        <v>601</v>
      </c>
      <c r="B545" t="s">
        <v>602</v>
      </c>
      <c r="C545">
        <v>4.8</v>
      </c>
      <c r="D545">
        <v>21625</v>
      </c>
      <c r="E545">
        <v>9</v>
      </c>
      <c r="F545">
        <v>2016</v>
      </c>
      <c r="G545" t="s">
        <v>10</v>
      </c>
      <c r="I545" t="str">
        <v/>
      </c>
    </row>
    <row r="546" spans="1:9" hidden="1" x14ac:dyDescent="0.25">
      <c r="A546" t="s">
        <v>601</v>
      </c>
      <c r="B546" t="s">
        <v>602</v>
      </c>
      <c r="C546">
        <v>4.8</v>
      </c>
      <c r="D546">
        <v>21625</v>
      </c>
      <c r="E546">
        <v>9</v>
      </c>
      <c r="F546">
        <v>2017</v>
      </c>
      <c r="G546" t="s">
        <v>10</v>
      </c>
      <c r="I546" t="str">
        <v/>
      </c>
    </row>
    <row r="547" spans="1:9" x14ac:dyDescent="0.25">
      <c r="A547" t="s">
        <v>603</v>
      </c>
      <c r="B547" t="s">
        <v>78</v>
      </c>
      <c r="C547">
        <v>4.9000000000000004</v>
      </c>
      <c r="D547">
        <v>9413</v>
      </c>
      <c r="E547">
        <v>8</v>
      </c>
      <c r="F547">
        <v>2019</v>
      </c>
      <c r="G547" t="s">
        <v>10</v>
      </c>
      <c r="I547" s="4" t="str">
        <v>Wrecking Ball (Diary of a Wimpy Kid Book 14)</v>
      </c>
    </row>
    <row r="548" spans="1:9" hidden="1" x14ac:dyDescent="0.25">
      <c r="A548" t="s">
        <v>604</v>
      </c>
      <c r="B548" t="s">
        <v>605</v>
      </c>
      <c r="C548">
        <v>4.7</v>
      </c>
      <c r="D548">
        <v>14331</v>
      </c>
      <c r="E548">
        <v>8</v>
      </c>
      <c r="F548">
        <v>2016</v>
      </c>
      <c r="G548" t="s">
        <v>8</v>
      </c>
      <c r="I548" t="str">
        <v/>
      </c>
    </row>
    <row r="549" spans="1:9" hidden="1" x14ac:dyDescent="0.25">
      <c r="A549" t="s">
        <v>604</v>
      </c>
      <c r="B549" t="s">
        <v>605</v>
      </c>
      <c r="C549">
        <v>4.7</v>
      </c>
      <c r="D549">
        <v>14331</v>
      </c>
      <c r="E549">
        <v>8</v>
      </c>
      <c r="F549">
        <v>2017</v>
      </c>
      <c r="G549" t="s">
        <v>8</v>
      </c>
      <c r="I549" t="str">
        <v/>
      </c>
    </row>
    <row r="550" spans="1:9" hidden="1" x14ac:dyDescent="0.25">
      <c r="A550" t="s">
        <v>604</v>
      </c>
      <c r="B550" t="s">
        <v>605</v>
      </c>
      <c r="C550">
        <v>4.7</v>
      </c>
      <c r="D550">
        <v>14331</v>
      </c>
      <c r="E550">
        <v>8</v>
      </c>
      <c r="F550">
        <v>2018</v>
      </c>
      <c r="G550" t="s">
        <v>8</v>
      </c>
      <c r="I550" t="str">
        <v/>
      </c>
    </row>
    <row r="551" spans="1:9" hidden="1" x14ac:dyDescent="0.25">
      <c r="A551" t="s">
        <v>604</v>
      </c>
      <c r="B551" t="s">
        <v>605</v>
      </c>
      <c r="C551">
        <v>4.7</v>
      </c>
      <c r="D551">
        <v>14331</v>
      </c>
      <c r="E551">
        <v>8</v>
      </c>
      <c r="F551">
        <v>2019</v>
      </c>
      <c r="G551" t="s">
        <v>8</v>
      </c>
      <c r="I551" t="str">
        <v/>
      </c>
    </row>
  </sheetData>
  <autoFilter ref="A1:I551" xr:uid="{00000000-0001-0000-0000-000000000000}">
    <filterColumn colId="8">
      <customFilters>
        <customFilter operator="notEqual" val=" "/>
      </customFilters>
    </filterColumn>
  </autoFilter>
  <conditionalFormatting sqref="D1:D551 D1186:D1048576">
    <cfRule type="cellIs" dxfId="9" priority="2" operator="lessThan">
      <formula>100</formula>
    </cfRule>
  </conditionalFormatting>
  <conditionalFormatting sqref="E2:E1048576">
    <cfRule type="cellIs" dxfId="8" priority="1" operator="notBetween">
      <formula>0</formula>
      <formula>54</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379BF-3E94-4A82-9650-D1ABB0F04B24}">
  <sheetPr filterMode="1"/>
  <dimension ref="A1:I551"/>
  <sheetViews>
    <sheetView zoomScaleNormal="100" workbookViewId="0">
      <selection activeCell="I355" sqref="I355"/>
    </sheetView>
  </sheetViews>
  <sheetFormatPr defaultRowHeight="15" x14ac:dyDescent="0.25"/>
  <cols>
    <col min="1" max="1" width="29.7109375" customWidth="1"/>
    <col min="2" max="2" width="33.42578125" customWidth="1"/>
    <col min="4" max="4" width="10.7109375" bestFit="1" customWidth="1"/>
    <col min="7" max="7" width="11.140625" bestFit="1" customWidth="1"/>
    <col min="9" max="9" width="18.28515625" bestFit="1" customWidth="1"/>
  </cols>
  <sheetData>
    <row r="1" spans="1:9" s="1" customFormat="1" x14ac:dyDescent="0.25">
      <c r="A1" s="1" t="s">
        <v>0</v>
      </c>
      <c r="B1" s="1" t="s">
        <v>610</v>
      </c>
      <c r="C1" s="1" t="s">
        <v>1</v>
      </c>
      <c r="D1" s="1" t="s">
        <v>2</v>
      </c>
      <c r="E1" s="1" t="s">
        <v>3</v>
      </c>
      <c r="F1" s="1" t="s">
        <v>4</v>
      </c>
      <c r="G1" s="1" t="s">
        <v>5</v>
      </c>
      <c r="H1" s="1" t="s">
        <v>609</v>
      </c>
      <c r="I1" s="1" t="s">
        <v>613</v>
      </c>
    </row>
    <row r="2" spans="1:9" hidden="1" x14ac:dyDescent="0.25">
      <c r="A2" t="s">
        <v>6</v>
      </c>
      <c r="B2" t="s">
        <v>7</v>
      </c>
      <c r="C2">
        <v>4.7</v>
      </c>
      <c r="D2">
        <v>17350</v>
      </c>
      <c r="E2">
        <v>8</v>
      </c>
      <c r="F2">
        <v>2016</v>
      </c>
      <c r="G2" t="s">
        <v>8</v>
      </c>
      <c r="H2">
        <f>MIN(C:C)</f>
        <v>3.3</v>
      </c>
      <c r="I2" t="str" cm="1">
        <f t="array" ref="I2:I551">IF(C2:C551=H2,A2:A551,"")</f>
        <v/>
      </c>
    </row>
    <row r="3" spans="1:9" hidden="1" x14ac:dyDescent="0.25">
      <c r="A3" t="s">
        <v>606</v>
      </c>
      <c r="B3" t="s">
        <v>9</v>
      </c>
      <c r="C3">
        <v>4.5999999999999996</v>
      </c>
      <c r="D3">
        <v>2052</v>
      </c>
      <c r="E3">
        <v>22</v>
      </c>
      <c r="F3">
        <v>2011</v>
      </c>
      <c r="G3" t="s">
        <v>10</v>
      </c>
      <c r="I3" t="str">
        <v/>
      </c>
    </row>
    <row r="4" spans="1:9" hidden="1" x14ac:dyDescent="0.25">
      <c r="A4" t="s">
        <v>11</v>
      </c>
      <c r="B4" t="s">
        <v>12</v>
      </c>
      <c r="C4">
        <v>4.7</v>
      </c>
      <c r="D4">
        <v>18979</v>
      </c>
      <c r="E4">
        <v>15</v>
      </c>
      <c r="F4">
        <v>2018</v>
      </c>
      <c r="G4" t="s">
        <v>8</v>
      </c>
      <c r="H4" s="1"/>
      <c r="I4" s="1" t="str">
        <v/>
      </c>
    </row>
    <row r="5" spans="1:9" hidden="1" x14ac:dyDescent="0.25">
      <c r="A5" t="s">
        <v>13</v>
      </c>
      <c r="B5" t="s">
        <v>14</v>
      </c>
      <c r="C5">
        <v>4.7</v>
      </c>
      <c r="D5">
        <v>21424</v>
      </c>
      <c r="E5">
        <v>6</v>
      </c>
      <c r="F5">
        <v>2017</v>
      </c>
      <c r="G5" t="s">
        <v>10</v>
      </c>
      <c r="H5" s="1"/>
      <c r="I5" s="1" t="str">
        <v/>
      </c>
    </row>
    <row r="6" spans="1:9" hidden="1" x14ac:dyDescent="0.25">
      <c r="A6" t="s">
        <v>15</v>
      </c>
      <c r="B6" t="s">
        <v>16</v>
      </c>
      <c r="C6">
        <v>4.8</v>
      </c>
      <c r="D6">
        <v>7665</v>
      </c>
      <c r="E6">
        <v>12</v>
      </c>
      <c r="F6">
        <v>2019</v>
      </c>
      <c r="G6" t="s">
        <v>8</v>
      </c>
      <c r="I6" t="str">
        <v/>
      </c>
    </row>
    <row r="7" spans="1:9" hidden="1" x14ac:dyDescent="0.25">
      <c r="A7" t="s">
        <v>17</v>
      </c>
      <c r="B7" t="s">
        <v>18</v>
      </c>
      <c r="C7">
        <v>4.4000000000000004</v>
      </c>
      <c r="D7">
        <v>12643</v>
      </c>
      <c r="E7">
        <v>11</v>
      </c>
      <c r="F7">
        <v>2011</v>
      </c>
      <c r="G7" t="s">
        <v>10</v>
      </c>
      <c r="H7" s="2"/>
      <c r="I7" s="2" t="str">
        <v/>
      </c>
    </row>
    <row r="8" spans="1:9" hidden="1" x14ac:dyDescent="0.25">
      <c r="A8" t="s">
        <v>19</v>
      </c>
      <c r="B8" t="s">
        <v>18</v>
      </c>
      <c r="C8">
        <v>4.7</v>
      </c>
      <c r="D8">
        <v>19735</v>
      </c>
      <c r="E8">
        <v>30</v>
      </c>
      <c r="F8">
        <v>2014</v>
      </c>
      <c r="G8" t="s">
        <v>10</v>
      </c>
      <c r="H8" s="2"/>
      <c r="I8" s="2" t="str">
        <v/>
      </c>
    </row>
    <row r="9" spans="1:9" hidden="1" x14ac:dyDescent="0.25">
      <c r="A9" t="s">
        <v>20</v>
      </c>
      <c r="B9" t="s">
        <v>21</v>
      </c>
      <c r="C9">
        <v>4.7</v>
      </c>
      <c r="D9">
        <v>19699</v>
      </c>
      <c r="E9">
        <v>15</v>
      </c>
      <c r="F9">
        <v>2017</v>
      </c>
      <c r="G9" t="s">
        <v>10</v>
      </c>
      <c r="I9" t="str">
        <v/>
      </c>
    </row>
    <row r="10" spans="1:9" hidden="1" x14ac:dyDescent="0.25">
      <c r="A10" t="s">
        <v>22</v>
      </c>
      <c r="B10" t="s">
        <v>23</v>
      </c>
      <c r="C10">
        <v>4.7</v>
      </c>
      <c r="D10">
        <v>5983</v>
      </c>
      <c r="E10">
        <v>3</v>
      </c>
      <c r="F10">
        <v>2018</v>
      </c>
      <c r="G10" t="s">
        <v>8</v>
      </c>
      <c r="I10" t="str">
        <v/>
      </c>
    </row>
    <row r="11" spans="1:9" hidden="1" x14ac:dyDescent="0.25">
      <c r="A11" t="s">
        <v>24</v>
      </c>
      <c r="B11" t="s">
        <v>25</v>
      </c>
      <c r="C11">
        <v>4.5999999999999996</v>
      </c>
      <c r="D11">
        <v>23848</v>
      </c>
      <c r="E11">
        <v>8</v>
      </c>
      <c r="F11">
        <v>2016</v>
      </c>
      <c r="G11" t="s">
        <v>10</v>
      </c>
      <c r="I11" t="str">
        <v/>
      </c>
    </row>
    <row r="12" spans="1:9" hidden="1" x14ac:dyDescent="0.25">
      <c r="A12" t="s">
        <v>24</v>
      </c>
      <c r="B12" t="s">
        <v>25</v>
      </c>
      <c r="C12">
        <v>4.5999999999999996</v>
      </c>
      <c r="D12">
        <v>23848</v>
      </c>
      <c r="E12">
        <v>8</v>
      </c>
      <c r="F12">
        <v>2017</v>
      </c>
      <c r="G12" t="s">
        <v>10</v>
      </c>
      <c r="I12" t="str">
        <v/>
      </c>
    </row>
    <row r="13" spans="1:9" hidden="1" x14ac:dyDescent="0.25">
      <c r="A13" t="s">
        <v>26</v>
      </c>
      <c r="B13" t="s">
        <v>27</v>
      </c>
      <c r="C13">
        <v>4.5999999999999996</v>
      </c>
      <c r="D13">
        <v>460</v>
      </c>
      <c r="E13">
        <v>2</v>
      </c>
      <c r="F13">
        <v>2010</v>
      </c>
      <c r="G13" t="s">
        <v>8</v>
      </c>
      <c r="I13" t="str">
        <v/>
      </c>
    </row>
    <row r="14" spans="1:9" hidden="1" x14ac:dyDescent="0.25">
      <c r="A14" t="s">
        <v>28</v>
      </c>
      <c r="B14" t="s">
        <v>29</v>
      </c>
      <c r="C14">
        <v>4.5999999999999996</v>
      </c>
      <c r="D14">
        <v>4149</v>
      </c>
      <c r="E14">
        <v>32</v>
      </c>
      <c r="F14">
        <v>2011</v>
      </c>
      <c r="G14" t="s">
        <v>8</v>
      </c>
      <c r="I14" t="str">
        <v/>
      </c>
    </row>
    <row r="15" spans="1:9" hidden="1" x14ac:dyDescent="0.25">
      <c r="A15" t="s">
        <v>30</v>
      </c>
      <c r="B15" t="s">
        <v>31</v>
      </c>
      <c r="C15">
        <v>4.5</v>
      </c>
      <c r="D15">
        <v>5153</v>
      </c>
      <c r="E15">
        <v>5</v>
      </c>
      <c r="F15">
        <v>2018</v>
      </c>
      <c r="G15" t="s">
        <v>10</v>
      </c>
      <c r="I15" t="str">
        <v/>
      </c>
    </row>
    <row r="16" spans="1:9" hidden="1" x14ac:dyDescent="0.25">
      <c r="A16" t="s">
        <v>32</v>
      </c>
      <c r="B16" t="s">
        <v>33</v>
      </c>
      <c r="C16">
        <v>4.5999999999999996</v>
      </c>
      <c r="D16">
        <v>5013</v>
      </c>
      <c r="E16">
        <v>17</v>
      </c>
      <c r="F16">
        <v>2009</v>
      </c>
      <c r="G16" t="s">
        <v>8</v>
      </c>
      <c r="I16" t="str">
        <v/>
      </c>
    </row>
    <row r="17" spans="1:9" hidden="1" x14ac:dyDescent="0.25">
      <c r="A17" t="s">
        <v>34</v>
      </c>
      <c r="B17" t="s">
        <v>35</v>
      </c>
      <c r="C17">
        <v>4.5</v>
      </c>
      <c r="D17">
        <v>2313</v>
      </c>
      <c r="E17">
        <v>4</v>
      </c>
      <c r="F17">
        <v>2016</v>
      </c>
      <c r="G17" t="s">
        <v>8</v>
      </c>
      <c r="I17" t="str">
        <v/>
      </c>
    </row>
    <row r="18" spans="1:9" hidden="1" x14ac:dyDescent="0.25">
      <c r="A18" t="s">
        <v>36</v>
      </c>
      <c r="B18" t="s">
        <v>37</v>
      </c>
      <c r="C18">
        <v>4.5999999999999996</v>
      </c>
      <c r="D18">
        <v>2925</v>
      </c>
      <c r="E18">
        <v>6</v>
      </c>
      <c r="F18">
        <v>2015</v>
      </c>
      <c r="G18" t="s">
        <v>8</v>
      </c>
      <c r="I18" t="str">
        <v/>
      </c>
    </row>
    <row r="19" spans="1:9" hidden="1" x14ac:dyDescent="0.25">
      <c r="A19" t="s">
        <v>38</v>
      </c>
      <c r="B19" t="s">
        <v>37</v>
      </c>
      <c r="C19">
        <v>4.4000000000000004</v>
      </c>
      <c r="D19">
        <v>2951</v>
      </c>
      <c r="E19">
        <v>6</v>
      </c>
      <c r="F19">
        <v>2015</v>
      </c>
      <c r="G19" t="s">
        <v>8</v>
      </c>
      <c r="I19" t="str">
        <v/>
      </c>
    </row>
    <row r="20" spans="1:9" hidden="1" x14ac:dyDescent="0.25">
      <c r="A20" t="s">
        <v>39</v>
      </c>
      <c r="B20" t="s">
        <v>40</v>
      </c>
      <c r="C20">
        <v>4.5</v>
      </c>
      <c r="D20">
        <v>2426</v>
      </c>
      <c r="E20">
        <v>8</v>
      </c>
      <c r="F20">
        <v>2015</v>
      </c>
      <c r="G20" t="s">
        <v>8</v>
      </c>
      <c r="I20" t="str">
        <v/>
      </c>
    </row>
    <row r="21" spans="1:9" hidden="1" x14ac:dyDescent="0.25">
      <c r="A21" t="s">
        <v>41</v>
      </c>
      <c r="B21" t="s">
        <v>42</v>
      </c>
      <c r="C21">
        <v>4.8</v>
      </c>
      <c r="D21">
        <v>9198</v>
      </c>
      <c r="E21">
        <v>13</v>
      </c>
      <c r="F21">
        <v>2016</v>
      </c>
      <c r="G21" t="s">
        <v>8</v>
      </c>
      <c r="I21" t="str">
        <v/>
      </c>
    </row>
    <row r="22" spans="1:9" hidden="1" x14ac:dyDescent="0.25">
      <c r="A22" t="s">
        <v>43</v>
      </c>
      <c r="B22" t="s">
        <v>44</v>
      </c>
      <c r="C22">
        <v>4.5999999999999996</v>
      </c>
      <c r="D22">
        <v>36348</v>
      </c>
      <c r="E22">
        <v>14</v>
      </c>
      <c r="F22">
        <v>2014</v>
      </c>
      <c r="G22" t="s">
        <v>10</v>
      </c>
      <c r="I22" t="str">
        <v/>
      </c>
    </row>
    <row r="23" spans="1:9" hidden="1" x14ac:dyDescent="0.25">
      <c r="A23" t="s">
        <v>43</v>
      </c>
      <c r="B23" t="s">
        <v>44</v>
      </c>
      <c r="C23">
        <v>4.5999999999999996</v>
      </c>
      <c r="D23">
        <v>36348</v>
      </c>
      <c r="E23">
        <v>14</v>
      </c>
      <c r="F23">
        <v>2015</v>
      </c>
      <c r="G23" t="s">
        <v>10</v>
      </c>
      <c r="I23" t="str">
        <v/>
      </c>
    </row>
    <row r="24" spans="1:9" hidden="1" x14ac:dyDescent="0.25">
      <c r="A24" t="s">
        <v>45</v>
      </c>
      <c r="B24" t="s">
        <v>46</v>
      </c>
      <c r="C24">
        <v>3.9</v>
      </c>
      <c r="D24">
        <v>6310</v>
      </c>
      <c r="E24">
        <v>13</v>
      </c>
      <c r="F24">
        <v>2013</v>
      </c>
      <c r="G24" t="s">
        <v>10</v>
      </c>
      <c r="I24" t="str">
        <v/>
      </c>
    </row>
    <row r="25" spans="1:9" hidden="1" x14ac:dyDescent="0.25">
      <c r="A25" t="s">
        <v>47</v>
      </c>
      <c r="B25" t="s">
        <v>48</v>
      </c>
      <c r="C25">
        <v>4.5999999999999996</v>
      </c>
      <c r="D25">
        <v>15921</v>
      </c>
      <c r="E25">
        <v>9</v>
      </c>
      <c r="F25">
        <v>2015</v>
      </c>
      <c r="G25" t="s">
        <v>8</v>
      </c>
      <c r="I25" t="str">
        <v/>
      </c>
    </row>
    <row r="26" spans="1:9" hidden="1" x14ac:dyDescent="0.25">
      <c r="A26" t="s">
        <v>49</v>
      </c>
      <c r="B26" t="s">
        <v>50</v>
      </c>
      <c r="C26">
        <v>4.3</v>
      </c>
      <c r="D26">
        <v>12159</v>
      </c>
      <c r="E26">
        <v>13</v>
      </c>
      <c r="F26">
        <v>2013</v>
      </c>
      <c r="G26" t="s">
        <v>10</v>
      </c>
      <c r="I26" t="str">
        <v/>
      </c>
    </row>
    <row r="27" spans="1:9" hidden="1" x14ac:dyDescent="0.25">
      <c r="A27" t="s">
        <v>51</v>
      </c>
      <c r="B27" t="s">
        <v>52</v>
      </c>
      <c r="C27">
        <v>4.5999999999999996</v>
      </c>
      <c r="D27">
        <v>798</v>
      </c>
      <c r="E27">
        <v>5</v>
      </c>
      <c r="F27">
        <v>2009</v>
      </c>
      <c r="G27" t="s">
        <v>8</v>
      </c>
      <c r="I27" t="str">
        <v/>
      </c>
    </row>
    <row r="28" spans="1:9" hidden="1" x14ac:dyDescent="0.25">
      <c r="A28" t="s">
        <v>53</v>
      </c>
      <c r="B28" t="s">
        <v>54</v>
      </c>
      <c r="C28">
        <v>4.7</v>
      </c>
      <c r="D28">
        <v>9374</v>
      </c>
      <c r="E28">
        <v>9</v>
      </c>
      <c r="F28">
        <v>2017</v>
      </c>
      <c r="G28" t="s">
        <v>8</v>
      </c>
      <c r="I28" t="str">
        <v/>
      </c>
    </row>
    <row r="29" spans="1:9" hidden="1" x14ac:dyDescent="0.25">
      <c r="A29" t="s">
        <v>55</v>
      </c>
      <c r="B29" t="s">
        <v>56</v>
      </c>
      <c r="C29">
        <v>4.2</v>
      </c>
      <c r="D29">
        <v>491</v>
      </c>
      <c r="E29">
        <v>14</v>
      </c>
      <c r="F29">
        <v>2010</v>
      </c>
      <c r="G29" t="s">
        <v>8</v>
      </c>
      <c r="I29" t="str">
        <v/>
      </c>
    </row>
    <row r="30" spans="1:9" hidden="1" x14ac:dyDescent="0.25">
      <c r="A30" t="s">
        <v>57</v>
      </c>
      <c r="B30" t="s">
        <v>58</v>
      </c>
      <c r="C30">
        <v>4.5999999999999996</v>
      </c>
      <c r="D30">
        <v>5360</v>
      </c>
      <c r="E30">
        <v>5</v>
      </c>
      <c r="F30">
        <v>2015</v>
      </c>
      <c r="G30" t="s">
        <v>8</v>
      </c>
      <c r="I30" t="str">
        <v/>
      </c>
    </row>
    <row r="31" spans="1:9" hidden="1" x14ac:dyDescent="0.25">
      <c r="A31" t="s">
        <v>59</v>
      </c>
      <c r="B31" t="s">
        <v>60</v>
      </c>
      <c r="C31">
        <v>4.5999999999999996</v>
      </c>
      <c r="D31">
        <v>1909</v>
      </c>
      <c r="E31">
        <v>11</v>
      </c>
      <c r="F31">
        <v>2015</v>
      </c>
      <c r="G31" t="s">
        <v>8</v>
      </c>
      <c r="I31" t="str">
        <v/>
      </c>
    </row>
    <row r="32" spans="1:9" hidden="1" x14ac:dyDescent="0.25">
      <c r="A32" t="s">
        <v>61</v>
      </c>
      <c r="B32" t="s">
        <v>62</v>
      </c>
      <c r="C32">
        <v>4.8</v>
      </c>
      <c r="D32">
        <v>1296</v>
      </c>
      <c r="E32">
        <v>24</v>
      </c>
      <c r="F32">
        <v>2012</v>
      </c>
      <c r="G32" t="s">
        <v>8</v>
      </c>
      <c r="I32" t="str">
        <v/>
      </c>
    </row>
    <row r="33" spans="1:9" hidden="1" x14ac:dyDescent="0.25">
      <c r="A33" t="s">
        <v>63</v>
      </c>
      <c r="B33" t="s">
        <v>62</v>
      </c>
      <c r="C33">
        <v>4.7</v>
      </c>
      <c r="D33">
        <v>615</v>
      </c>
      <c r="E33">
        <v>21</v>
      </c>
      <c r="F33">
        <v>2010</v>
      </c>
      <c r="G33" t="s">
        <v>8</v>
      </c>
      <c r="I33" t="str">
        <v/>
      </c>
    </row>
    <row r="34" spans="1:9" hidden="1" x14ac:dyDescent="0.25">
      <c r="A34" t="s">
        <v>64</v>
      </c>
      <c r="B34" t="s">
        <v>65</v>
      </c>
      <c r="C34">
        <v>4.8</v>
      </c>
      <c r="D34">
        <v>61133</v>
      </c>
      <c r="E34">
        <v>11</v>
      </c>
      <c r="F34">
        <v>2018</v>
      </c>
      <c r="G34" t="s">
        <v>8</v>
      </c>
      <c r="I34" t="str">
        <v/>
      </c>
    </row>
    <row r="35" spans="1:9" hidden="1" x14ac:dyDescent="0.25">
      <c r="A35" t="s">
        <v>64</v>
      </c>
      <c r="B35" t="s">
        <v>65</v>
      </c>
      <c r="C35">
        <v>4.8</v>
      </c>
      <c r="D35">
        <v>61133</v>
      </c>
      <c r="E35">
        <v>11</v>
      </c>
      <c r="F35">
        <v>2019</v>
      </c>
      <c r="G35" t="s">
        <v>8</v>
      </c>
      <c r="I35" t="str">
        <v/>
      </c>
    </row>
    <row r="36" spans="1:9" hidden="1" x14ac:dyDescent="0.25">
      <c r="A36" t="s">
        <v>66</v>
      </c>
      <c r="B36" t="s">
        <v>67</v>
      </c>
      <c r="C36">
        <v>4.8</v>
      </c>
      <c r="D36">
        <v>11113</v>
      </c>
      <c r="E36">
        <v>15</v>
      </c>
      <c r="F36">
        <v>2015</v>
      </c>
      <c r="G36" t="s">
        <v>8</v>
      </c>
      <c r="I36" t="str">
        <v/>
      </c>
    </row>
    <row r="37" spans="1:9" hidden="1" x14ac:dyDescent="0.25">
      <c r="A37" t="s">
        <v>68</v>
      </c>
      <c r="B37" t="s">
        <v>69</v>
      </c>
      <c r="C37">
        <v>4.7</v>
      </c>
      <c r="D37">
        <v>10070</v>
      </c>
      <c r="E37">
        <v>13</v>
      </c>
      <c r="F37">
        <v>2015</v>
      </c>
      <c r="G37" t="s">
        <v>8</v>
      </c>
      <c r="I37" t="str">
        <v/>
      </c>
    </row>
    <row r="38" spans="1:9" hidden="1" x14ac:dyDescent="0.25">
      <c r="A38" t="s">
        <v>68</v>
      </c>
      <c r="B38" t="s">
        <v>69</v>
      </c>
      <c r="C38">
        <v>4.7</v>
      </c>
      <c r="D38">
        <v>10070</v>
      </c>
      <c r="E38">
        <v>13</v>
      </c>
      <c r="F38">
        <v>2016</v>
      </c>
      <c r="G38" t="s">
        <v>8</v>
      </c>
      <c r="I38" t="str">
        <v/>
      </c>
    </row>
    <row r="39" spans="1:9" hidden="1" x14ac:dyDescent="0.25">
      <c r="A39" t="s">
        <v>70</v>
      </c>
      <c r="B39" t="s">
        <v>71</v>
      </c>
      <c r="C39">
        <v>4.7</v>
      </c>
      <c r="D39">
        <v>3729</v>
      </c>
      <c r="E39">
        <v>18</v>
      </c>
      <c r="F39">
        <v>2016</v>
      </c>
      <c r="G39" t="s">
        <v>8</v>
      </c>
      <c r="I39" t="str">
        <v/>
      </c>
    </row>
    <row r="40" spans="1:9" hidden="1" x14ac:dyDescent="0.25">
      <c r="A40" t="s">
        <v>72</v>
      </c>
      <c r="B40" t="s">
        <v>73</v>
      </c>
      <c r="C40">
        <v>4.5999999999999996</v>
      </c>
      <c r="D40">
        <v>9769</v>
      </c>
      <c r="E40">
        <v>13</v>
      </c>
      <c r="F40">
        <v>2009</v>
      </c>
      <c r="G40" t="s">
        <v>10</v>
      </c>
      <c r="I40" t="str">
        <v/>
      </c>
    </row>
    <row r="41" spans="1:9" hidden="1" x14ac:dyDescent="0.25">
      <c r="A41" t="s">
        <v>74</v>
      </c>
      <c r="B41" t="s">
        <v>52</v>
      </c>
      <c r="C41">
        <v>4.5</v>
      </c>
      <c r="D41">
        <v>471</v>
      </c>
      <c r="E41">
        <v>8</v>
      </c>
      <c r="F41">
        <v>2010</v>
      </c>
      <c r="G41" t="s">
        <v>8</v>
      </c>
      <c r="I41" t="str">
        <v/>
      </c>
    </row>
    <row r="42" spans="1:9" hidden="1" x14ac:dyDescent="0.25">
      <c r="A42" t="s">
        <v>75</v>
      </c>
      <c r="B42" t="s">
        <v>76</v>
      </c>
      <c r="C42">
        <v>4.9000000000000004</v>
      </c>
      <c r="D42">
        <v>14344</v>
      </c>
      <c r="E42">
        <v>5</v>
      </c>
      <c r="F42">
        <v>2017</v>
      </c>
      <c r="G42" t="s">
        <v>10</v>
      </c>
      <c r="I42" t="str">
        <v/>
      </c>
    </row>
    <row r="43" spans="1:9" hidden="1" x14ac:dyDescent="0.25">
      <c r="A43" t="s">
        <v>75</v>
      </c>
      <c r="B43" t="s">
        <v>76</v>
      </c>
      <c r="C43">
        <v>4.9000000000000004</v>
      </c>
      <c r="D43">
        <v>14344</v>
      </c>
      <c r="E43">
        <v>5</v>
      </c>
      <c r="F43">
        <v>2019</v>
      </c>
      <c r="G43" t="s">
        <v>10</v>
      </c>
      <c r="I43" t="str">
        <v/>
      </c>
    </row>
    <row r="44" spans="1:9" hidden="1" x14ac:dyDescent="0.25">
      <c r="A44" t="s">
        <v>77</v>
      </c>
      <c r="B44" t="s">
        <v>78</v>
      </c>
      <c r="C44">
        <v>4.8</v>
      </c>
      <c r="D44">
        <v>4505</v>
      </c>
      <c r="E44">
        <v>0</v>
      </c>
      <c r="F44">
        <v>2011</v>
      </c>
      <c r="G44" t="s">
        <v>10</v>
      </c>
      <c r="I44" t="str">
        <v/>
      </c>
    </row>
    <row r="45" spans="1:9" hidden="1" x14ac:dyDescent="0.25">
      <c r="A45" t="s">
        <v>79</v>
      </c>
      <c r="B45" t="s">
        <v>80</v>
      </c>
      <c r="C45">
        <v>4.5999999999999996</v>
      </c>
      <c r="D45">
        <v>10369</v>
      </c>
      <c r="E45">
        <v>4</v>
      </c>
      <c r="F45">
        <v>2016</v>
      </c>
      <c r="G45" t="s">
        <v>8</v>
      </c>
      <c r="I45" t="str">
        <v/>
      </c>
    </row>
    <row r="46" spans="1:9" hidden="1" x14ac:dyDescent="0.25">
      <c r="A46" t="s">
        <v>81</v>
      </c>
      <c r="B46" t="s">
        <v>82</v>
      </c>
      <c r="C46">
        <v>4.8</v>
      </c>
      <c r="D46">
        <v>16244</v>
      </c>
      <c r="E46">
        <v>18</v>
      </c>
      <c r="F46">
        <v>2019</v>
      </c>
      <c r="G46" t="s">
        <v>8</v>
      </c>
      <c r="I46" t="str">
        <v/>
      </c>
    </row>
    <row r="47" spans="1:9" hidden="1" x14ac:dyDescent="0.25">
      <c r="A47" t="s">
        <v>83</v>
      </c>
      <c r="B47" t="s">
        <v>84</v>
      </c>
      <c r="C47">
        <v>4.5</v>
      </c>
      <c r="D47">
        <v>2884</v>
      </c>
      <c r="E47">
        <v>28</v>
      </c>
      <c r="F47">
        <v>2014</v>
      </c>
      <c r="G47" t="s">
        <v>8</v>
      </c>
      <c r="I47" t="str">
        <v/>
      </c>
    </row>
    <row r="48" spans="1:9" hidden="1" x14ac:dyDescent="0.25">
      <c r="A48" t="s">
        <v>85</v>
      </c>
      <c r="B48" t="s">
        <v>86</v>
      </c>
      <c r="C48">
        <v>4.7</v>
      </c>
      <c r="D48">
        <v>22614</v>
      </c>
      <c r="E48">
        <v>11</v>
      </c>
      <c r="F48">
        <v>2010</v>
      </c>
      <c r="G48" t="s">
        <v>10</v>
      </c>
      <c r="I48" t="str">
        <v/>
      </c>
    </row>
    <row r="49" spans="1:9" hidden="1" x14ac:dyDescent="0.25">
      <c r="A49" t="s">
        <v>85</v>
      </c>
      <c r="B49" t="s">
        <v>86</v>
      </c>
      <c r="C49">
        <v>4.7</v>
      </c>
      <c r="D49">
        <v>22614</v>
      </c>
      <c r="E49">
        <v>11</v>
      </c>
      <c r="F49">
        <v>2011</v>
      </c>
      <c r="G49" t="s">
        <v>10</v>
      </c>
      <c r="I49" t="str">
        <v/>
      </c>
    </row>
    <row r="50" spans="1:9" hidden="1" x14ac:dyDescent="0.25">
      <c r="A50" t="s">
        <v>85</v>
      </c>
      <c r="B50" t="s">
        <v>86</v>
      </c>
      <c r="C50">
        <v>4.7</v>
      </c>
      <c r="D50">
        <v>22614</v>
      </c>
      <c r="E50">
        <v>11</v>
      </c>
      <c r="F50">
        <v>2012</v>
      </c>
      <c r="G50" t="s">
        <v>10</v>
      </c>
      <c r="I50" t="str">
        <v/>
      </c>
    </row>
    <row r="51" spans="1:9" hidden="1" x14ac:dyDescent="0.25">
      <c r="A51" t="s">
        <v>87</v>
      </c>
      <c r="B51" t="s">
        <v>88</v>
      </c>
      <c r="C51">
        <v>4.7</v>
      </c>
      <c r="D51">
        <v>4761</v>
      </c>
      <c r="E51">
        <v>16</v>
      </c>
      <c r="F51">
        <v>2016</v>
      </c>
      <c r="G51" t="s">
        <v>8</v>
      </c>
      <c r="I51" t="str">
        <v/>
      </c>
    </row>
    <row r="52" spans="1:9" hidden="1" x14ac:dyDescent="0.25">
      <c r="A52" t="s">
        <v>89</v>
      </c>
      <c r="B52" t="s">
        <v>90</v>
      </c>
      <c r="C52">
        <v>4.7</v>
      </c>
      <c r="D52">
        <v>1542</v>
      </c>
      <c r="E52">
        <v>14</v>
      </c>
      <c r="F52">
        <v>2009</v>
      </c>
      <c r="G52" t="s">
        <v>8</v>
      </c>
      <c r="I52" t="str">
        <v/>
      </c>
    </row>
    <row r="53" spans="1:9" hidden="1" x14ac:dyDescent="0.25">
      <c r="A53" t="s">
        <v>89</v>
      </c>
      <c r="B53" t="s">
        <v>90</v>
      </c>
      <c r="C53">
        <v>4.7</v>
      </c>
      <c r="D53">
        <v>1542</v>
      </c>
      <c r="E53">
        <v>14</v>
      </c>
      <c r="F53">
        <v>2010</v>
      </c>
      <c r="G53" t="s">
        <v>8</v>
      </c>
      <c r="I53" t="str">
        <v/>
      </c>
    </row>
    <row r="54" spans="1:9" hidden="1" x14ac:dyDescent="0.25">
      <c r="A54" t="s">
        <v>89</v>
      </c>
      <c r="B54" t="s">
        <v>90</v>
      </c>
      <c r="C54">
        <v>4.7</v>
      </c>
      <c r="D54">
        <v>1542</v>
      </c>
      <c r="E54">
        <v>14</v>
      </c>
      <c r="F54">
        <v>2011</v>
      </c>
      <c r="G54" t="s">
        <v>8</v>
      </c>
      <c r="I54" t="str">
        <v/>
      </c>
    </row>
    <row r="55" spans="1:9" hidden="1" x14ac:dyDescent="0.25">
      <c r="A55" t="s">
        <v>91</v>
      </c>
      <c r="B55" t="s">
        <v>92</v>
      </c>
      <c r="C55">
        <v>4.3</v>
      </c>
      <c r="D55">
        <v>6143</v>
      </c>
      <c r="E55">
        <v>8</v>
      </c>
      <c r="F55">
        <v>2018</v>
      </c>
      <c r="G55" t="s">
        <v>10</v>
      </c>
      <c r="I55" t="str">
        <v/>
      </c>
    </row>
    <row r="56" spans="1:9" hidden="1" x14ac:dyDescent="0.25">
      <c r="A56" t="s">
        <v>93</v>
      </c>
      <c r="B56" t="s">
        <v>94</v>
      </c>
      <c r="C56">
        <v>4.8</v>
      </c>
      <c r="D56">
        <v>4022</v>
      </c>
      <c r="E56">
        <v>4</v>
      </c>
      <c r="F56">
        <v>2015</v>
      </c>
      <c r="G56" t="s">
        <v>8</v>
      </c>
      <c r="I56" t="str">
        <v/>
      </c>
    </row>
    <row r="57" spans="1:9" hidden="1" x14ac:dyDescent="0.25">
      <c r="A57" t="s">
        <v>95</v>
      </c>
      <c r="B57" t="s">
        <v>94</v>
      </c>
      <c r="C57">
        <v>4.8</v>
      </c>
      <c r="D57">
        <v>3871</v>
      </c>
      <c r="E57">
        <v>5</v>
      </c>
      <c r="F57">
        <v>2015</v>
      </c>
      <c r="G57" t="s">
        <v>8</v>
      </c>
      <c r="I57" t="str">
        <v/>
      </c>
    </row>
    <row r="58" spans="1:9" hidden="1" x14ac:dyDescent="0.25">
      <c r="A58" t="s">
        <v>96</v>
      </c>
      <c r="B58" t="s">
        <v>97</v>
      </c>
      <c r="C58">
        <v>4.5999999999999996</v>
      </c>
      <c r="D58">
        <v>4866</v>
      </c>
      <c r="E58">
        <v>11</v>
      </c>
      <c r="F58">
        <v>2010</v>
      </c>
      <c r="G58" t="s">
        <v>10</v>
      </c>
      <c r="I58" t="str">
        <v/>
      </c>
    </row>
    <row r="59" spans="1:9" hidden="1" x14ac:dyDescent="0.25">
      <c r="A59" t="s">
        <v>96</v>
      </c>
      <c r="B59" t="s">
        <v>97</v>
      </c>
      <c r="C59">
        <v>4.5999999999999996</v>
      </c>
      <c r="D59">
        <v>4866</v>
      </c>
      <c r="E59">
        <v>11</v>
      </c>
      <c r="F59">
        <v>2011</v>
      </c>
      <c r="G59" t="s">
        <v>10</v>
      </c>
      <c r="I59" t="str">
        <v/>
      </c>
    </row>
    <row r="60" spans="1:9" hidden="1" x14ac:dyDescent="0.25">
      <c r="A60" t="s">
        <v>98</v>
      </c>
      <c r="B60" t="s">
        <v>99</v>
      </c>
      <c r="C60">
        <v>4.8</v>
      </c>
      <c r="D60">
        <v>1329</v>
      </c>
      <c r="E60">
        <v>10</v>
      </c>
      <c r="F60">
        <v>2013</v>
      </c>
      <c r="G60" t="s">
        <v>8</v>
      </c>
      <c r="I60" t="str">
        <v/>
      </c>
    </row>
    <row r="61" spans="1:9" hidden="1" x14ac:dyDescent="0.25">
      <c r="A61" t="s">
        <v>100</v>
      </c>
      <c r="B61" t="s">
        <v>101</v>
      </c>
      <c r="C61">
        <v>4.4000000000000004</v>
      </c>
      <c r="D61">
        <v>4642</v>
      </c>
      <c r="E61">
        <v>13</v>
      </c>
      <c r="F61">
        <v>2013</v>
      </c>
      <c r="G61" t="s">
        <v>8</v>
      </c>
      <c r="I61" t="str">
        <v/>
      </c>
    </row>
    <row r="62" spans="1:9" hidden="1" x14ac:dyDescent="0.25">
      <c r="A62" t="s">
        <v>102</v>
      </c>
      <c r="B62" t="s">
        <v>103</v>
      </c>
      <c r="C62">
        <v>4.5999999999999996</v>
      </c>
      <c r="D62">
        <v>1541</v>
      </c>
      <c r="E62">
        <v>4</v>
      </c>
      <c r="F62">
        <v>2009</v>
      </c>
      <c r="G62" t="s">
        <v>10</v>
      </c>
      <c r="I62" t="str">
        <v/>
      </c>
    </row>
    <row r="63" spans="1:9" hidden="1" x14ac:dyDescent="0.25">
      <c r="A63" t="s">
        <v>104</v>
      </c>
      <c r="B63" t="s">
        <v>103</v>
      </c>
      <c r="C63">
        <v>4.3</v>
      </c>
      <c r="D63">
        <v>1924</v>
      </c>
      <c r="E63">
        <v>8</v>
      </c>
      <c r="F63">
        <v>2010</v>
      </c>
      <c r="G63" t="s">
        <v>10</v>
      </c>
      <c r="I63" t="str">
        <v/>
      </c>
    </row>
    <row r="64" spans="1:9" hidden="1" x14ac:dyDescent="0.25">
      <c r="A64" t="s">
        <v>105</v>
      </c>
      <c r="B64" t="s">
        <v>103</v>
      </c>
      <c r="C64">
        <v>4.2</v>
      </c>
      <c r="D64">
        <v>2094</v>
      </c>
      <c r="E64">
        <v>4</v>
      </c>
      <c r="F64">
        <v>2011</v>
      </c>
      <c r="G64" t="s">
        <v>10</v>
      </c>
      <c r="I64" t="str">
        <v/>
      </c>
    </row>
    <row r="65" spans="1:9" hidden="1" x14ac:dyDescent="0.25">
      <c r="A65" t="s">
        <v>106</v>
      </c>
      <c r="B65" t="s">
        <v>107</v>
      </c>
      <c r="C65">
        <v>4.8</v>
      </c>
      <c r="D65">
        <v>10922</v>
      </c>
      <c r="E65">
        <v>5</v>
      </c>
      <c r="F65">
        <v>2015</v>
      </c>
      <c r="G65" t="s">
        <v>10</v>
      </c>
      <c r="I65" t="str">
        <v/>
      </c>
    </row>
    <row r="66" spans="1:9" hidden="1" x14ac:dyDescent="0.25">
      <c r="A66" t="s">
        <v>106</v>
      </c>
      <c r="B66" t="s">
        <v>107</v>
      </c>
      <c r="C66">
        <v>4.8</v>
      </c>
      <c r="D66">
        <v>10922</v>
      </c>
      <c r="E66">
        <v>5</v>
      </c>
      <c r="F66">
        <v>2016</v>
      </c>
      <c r="G66" t="s">
        <v>10</v>
      </c>
      <c r="I66" t="str">
        <v/>
      </c>
    </row>
    <row r="67" spans="1:9" hidden="1" x14ac:dyDescent="0.25">
      <c r="A67" t="s">
        <v>106</v>
      </c>
      <c r="B67" t="s">
        <v>107</v>
      </c>
      <c r="C67">
        <v>4.8</v>
      </c>
      <c r="D67">
        <v>10922</v>
      </c>
      <c r="E67">
        <v>5</v>
      </c>
      <c r="F67">
        <v>2017</v>
      </c>
      <c r="G67" t="s">
        <v>10</v>
      </c>
      <c r="I67" t="str">
        <v/>
      </c>
    </row>
    <row r="68" spans="1:9" hidden="1" x14ac:dyDescent="0.25">
      <c r="A68" t="s">
        <v>106</v>
      </c>
      <c r="B68" t="s">
        <v>107</v>
      </c>
      <c r="C68">
        <v>4.8</v>
      </c>
      <c r="D68">
        <v>10922</v>
      </c>
      <c r="E68">
        <v>5</v>
      </c>
      <c r="F68">
        <v>2018</v>
      </c>
      <c r="G68" t="s">
        <v>10</v>
      </c>
      <c r="I68" t="str">
        <v/>
      </c>
    </row>
    <row r="69" spans="1:9" hidden="1" x14ac:dyDescent="0.25">
      <c r="A69" t="s">
        <v>108</v>
      </c>
      <c r="B69" t="s">
        <v>109</v>
      </c>
      <c r="C69">
        <v>4.5999999999999996</v>
      </c>
      <c r="D69">
        <v>2137</v>
      </c>
      <c r="E69">
        <v>17</v>
      </c>
      <c r="F69">
        <v>2010</v>
      </c>
      <c r="G69" t="s">
        <v>8</v>
      </c>
      <c r="I69" t="str">
        <v/>
      </c>
    </row>
    <row r="70" spans="1:9" hidden="1" x14ac:dyDescent="0.25">
      <c r="A70" t="s">
        <v>110</v>
      </c>
      <c r="B70" t="s">
        <v>111</v>
      </c>
      <c r="C70">
        <v>4.5999999999999996</v>
      </c>
      <c r="D70">
        <v>1651</v>
      </c>
      <c r="E70">
        <v>15</v>
      </c>
      <c r="F70">
        <v>2010</v>
      </c>
      <c r="G70" t="s">
        <v>8</v>
      </c>
      <c r="I70" t="str">
        <v/>
      </c>
    </row>
    <row r="71" spans="1:9" hidden="1" x14ac:dyDescent="0.25">
      <c r="A71" t="s">
        <v>112</v>
      </c>
      <c r="B71" t="s">
        <v>113</v>
      </c>
      <c r="C71">
        <v>4.5</v>
      </c>
      <c r="D71">
        <v>6679</v>
      </c>
      <c r="E71">
        <v>105</v>
      </c>
      <c r="F71">
        <v>2013</v>
      </c>
      <c r="G71" t="s">
        <v>8</v>
      </c>
      <c r="I71" t="str">
        <v/>
      </c>
    </row>
    <row r="72" spans="1:9" hidden="1" x14ac:dyDescent="0.25">
      <c r="A72" t="s">
        <v>112</v>
      </c>
      <c r="B72" t="s">
        <v>113</v>
      </c>
      <c r="C72">
        <v>4.5</v>
      </c>
      <c r="D72">
        <v>6679</v>
      </c>
      <c r="E72">
        <v>105</v>
      </c>
      <c r="F72">
        <v>2014</v>
      </c>
      <c r="G72" t="s">
        <v>8</v>
      </c>
      <c r="I72" t="str">
        <v/>
      </c>
    </row>
    <row r="73" spans="1:9" hidden="1" x14ac:dyDescent="0.25">
      <c r="A73" t="s">
        <v>114</v>
      </c>
      <c r="B73" t="s">
        <v>78</v>
      </c>
      <c r="C73">
        <v>4.8</v>
      </c>
      <c r="D73">
        <v>6812</v>
      </c>
      <c r="E73">
        <v>0</v>
      </c>
      <c r="F73">
        <v>2013</v>
      </c>
      <c r="G73" t="s">
        <v>10</v>
      </c>
      <c r="I73" t="str">
        <v/>
      </c>
    </row>
    <row r="74" spans="1:9" hidden="1" x14ac:dyDescent="0.25">
      <c r="A74" t="s">
        <v>115</v>
      </c>
      <c r="B74" t="s">
        <v>78</v>
      </c>
      <c r="C74">
        <v>4.8</v>
      </c>
      <c r="D74">
        <v>3837</v>
      </c>
      <c r="E74">
        <v>15</v>
      </c>
      <c r="F74">
        <v>2009</v>
      </c>
      <c r="G74" t="s">
        <v>10</v>
      </c>
      <c r="I74" t="str">
        <v/>
      </c>
    </row>
    <row r="75" spans="1:9" hidden="1" x14ac:dyDescent="0.25">
      <c r="A75" t="s">
        <v>116</v>
      </c>
      <c r="B75" t="s">
        <v>78</v>
      </c>
      <c r="C75">
        <v>4.8</v>
      </c>
      <c r="D75">
        <v>6540</v>
      </c>
      <c r="E75">
        <v>22</v>
      </c>
      <c r="F75">
        <v>2014</v>
      </c>
      <c r="G75" t="s">
        <v>10</v>
      </c>
      <c r="I75" t="str">
        <v/>
      </c>
    </row>
    <row r="76" spans="1:9" hidden="1" x14ac:dyDescent="0.25">
      <c r="A76" t="s">
        <v>117</v>
      </c>
      <c r="B76" t="s">
        <v>118</v>
      </c>
      <c r="C76">
        <v>4.5999999999999996</v>
      </c>
      <c r="D76">
        <v>7955</v>
      </c>
      <c r="E76">
        <v>5</v>
      </c>
      <c r="F76">
        <v>2019</v>
      </c>
      <c r="G76" t="s">
        <v>8</v>
      </c>
      <c r="I76" t="str">
        <v/>
      </c>
    </row>
    <row r="77" spans="1:9" hidden="1" x14ac:dyDescent="0.25">
      <c r="A77" t="s">
        <v>119</v>
      </c>
      <c r="B77" t="s">
        <v>46</v>
      </c>
      <c r="C77">
        <v>4.5999999999999996</v>
      </c>
      <c r="D77">
        <v>27098</v>
      </c>
      <c r="E77">
        <v>15</v>
      </c>
      <c r="F77">
        <v>2013</v>
      </c>
      <c r="G77" t="s">
        <v>10</v>
      </c>
      <c r="I77" t="str">
        <v/>
      </c>
    </row>
    <row r="78" spans="1:9" hidden="1" x14ac:dyDescent="0.25">
      <c r="A78" t="s">
        <v>119</v>
      </c>
      <c r="B78" t="s">
        <v>46</v>
      </c>
      <c r="C78">
        <v>4.5999999999999996</v>
      </c>
      <c r="D78">
        <v>27098</v>
      </c>
      <c r="E78">
        <v>15</v>
      </c>
      <c r="F78">
        <v>2014</v>
      </c>
      <c r="G78" t="s">
        <v>10</v>
      </c>
      <c r="I78" t="str">
        <v/>
      </c>
    </row>
    <row r="79" spans="1:9" hidden="1" x14ac:dyDescent="0.25">
      <c r="A79" t="s">
        <v>120</v>
      </c>
      <c r="B79" t="s">
        <v>46</v>
      </c>
      <c r="C79">
        <v>4.5</v>
      </c>
      <c r="D79">
        <v>17684</v>
      </c>
      <c r="E79">
        <v>6</v>
      </c>
      <c r="F79">
        <v>2014</v>
      </c>
      <c r="G79" t="s">
        <v>10</v>
      </c>
      <c r="I79" t="str">
        <v/>
      </c>
    </row>
    <row r="80" spans="1:9" hidden="1" x14ac:dyDescent="0.25">
      <c r="A80" t="s">
        <v>121</v>
      </c>
      <c r="B80" t="s">
        <v>122</v>
      </c>
      <c r="C80">
        <v>4.5999999999999996</v>
      </c>
      <c r="D80">
        <v>37</v>
      </c>
      <c r="E80">
        <v>6</v>
      </c>
      <c r="F80">
        <v>2009</v>
      </c>
      <c r="G80" t="s">
        <v>8</v>
      </c>
      <c r="I80" t="str">
        <v/>
      </c>
    </row>
    <row r="81" spans="1:9" hidden="1" x14ac:dyDescent="0.25">
      <c r="A81" t="s">
        <v>123</v>
      </c>
      <c r="B81" t="s">
        <v>9</v>
      </c>
      <c r="C81">
        <v>4.7</v>
      </c>
      <c r="D81">
        <v>15845</v>
      </c>
      <c r="E81">
        <v>13</v>
      </c>
      <c r="F81">
        <v>2013</v>
      </c>
      <c r="G81" t="s">
        <v>10</v>
      </c>
      <c r="I81" t="str">
        <v/>
      </c>
    </row>
    <row r="82" spans="1:9" hidden="1" x14ac:dyDescent="0.25">
      <c r="A82" t="s">
        <v>124</v>
      </c>
      <c r="B82" t="s">
        <v>78</v>
      </c>
      <c r="C82">
        <v>4.8</v>
      </c>
      <c r="D82">
        <v>3181</v>
      </c>
      <c r="E82">
        <v>12</v>
      </c>
      <c r="F82">
        <v>2009</v>
      </c>
      <c r="G82" t="s">
        <v>10</v>
      </c>
      <c r="I82" t="str">
        <v/>
      </c>
    </row>
    <row r="83" spans="1:9" hidden="1" x14ac:dyDescent="0.25">
      <c r="A83" t="s">
        <v>125</v>
      </c>
      <c r="B83" t="s">
        <v>126</v>
      </c>
      <c r="C83">
        <v>4.9000000000000004</v>
      </c>
      <c r="D83">
        <v>5062</v>
      </c>
      <c r="E83">
        <v>6</v>
      </c>
      <c r="F83">
        <v>2018</v>
      </c>
      <c r="G83" t="s">
        <v>10</v>
      </c>
      <c r="I83" t="str">
        <v/>
      </c>
    </row>
    <row r="84" spans="1:9" hidden="1" x14ac:dyDescent="0.25">
      <c r="A84" t="s">
        <v>127</v>
      </c>
      <c r="B84" t="s">
        <v>126</v>
      </c>
      <c r="C84">
        <v>4.9000000000000004</v>
      </c>
      <c r="D84">
        <v>4786</v>
      </c>
      <c r="E84">
        <v>8</v>
      </c>
      <c r="F84">
        <v>2017</v>
      </c>
      <c r="G84" t="s">
        <v>10</v>
      </c>
      <c r="I84" t="str">
        <v/>
      </c>
    </row>
    <row r="85" spans="1:9" hidden="1" x14ac:dyDescent="0.25">
      <c r="A85" t="s">
        <v>128</v>
      </c>
      <c r="B85" t="s">
        <v>126</v>
      </c>
      <c r="C85">
        <v>4.9000000000000004</v>
      </c>
      <c r="D85">
        <v>7235</v>
      </c>
      <c r="E85">
        <v>4</v>
      </c>
      <c r="F85">
        <v>2018</v>
      </c>
      <c r="G85" t="s">
        <v>10</v>
      </c>
      <c r="I85" t="str">
        <v/>
      </c>
    </row>
    <row r="86" spans="1:9" hidden="1" x14ac:dyDescent="0.25">
      <c r="A86" t="s">
        <v>128</v>
      </c>
      <c r="B86" t="s">
        <v>126</v>
      </c>
      <c r="C86">
        <v>4.9000000000000004</v>
      </c>
      <c r="D86">
        <v>7235</v>
      </c>
      <c r="E86">
        <v>4</v>
      </c>
      <c r="F86">
        <v>2019</v>
      </c>
      <c r="G86" t="s">
        <v>10</v>
      </c>
      <c r="I86" t="str">
        <v/>
      </c>
    </row>
    <row r="87" spans="1:9" hidden="1" x14ac:dyDescent="0.25">
      <c r="A87" t="s">
        <v>129</v>
      </c>
      <c r="B87" t="s">
        <v>126</v>
      </c>
      <c r="C87">
        <v>4.9000000000000004</v>
      </c>
      <c r="D87">
        <v>12619</v>
      </c>
      <c r="E87">
        <v>8</v>
      </c>
      <c r="F87">
        <v>2019</v>
      </c>
      <c r="G87" t="s">
        <v>10</v>
      </c>
      <c r="I87" t="str">
        <v/>
      </c>
    </row>
    <row r="88" spans="1:9" hidden="1" x14ac:dyDescent="0.25">
      <c r="A88" t="s">
        <v>130</v>
      </c>
      <c r="B88" t="s">
        <v>126</v>
      </c>
      <c r="C88">
        <v>4.9000000000000004</v>
      </c>
      <c r="D88">
        <v>9089</v>
      </c>
      <c r="E88">
        <v>8</v>
      </c>
      <c r="F88">
        <v>2019</v>
      </c>
      <c r="G88" t="s">
        <v>10</v>
      </c>
      <c r="I88" t="str">
        <v/>
      </c>
    </row>
    <row r="89" spans="1:9" hidden="1" x14ac:dyDescent="0.25">
      <c r="A89" t="s">
        <v>131</v>
      </c>
      <c r="B89" t="s">
        <v>126</v>
      </c>
      <c r="C89">
        <v>4.9000000000000004</v>
      </c>
      <c r="D89">
        <v>5470</v>
      </c>
      <c r="E89">
        <v>6</v>
      </c>
      <c r="F89">
        <v>2018</v>
      </c>
      <c r="G89" t="s">
        <v>10</v>
      </c>
      <c r="I89" t="str">
        <v/>
      </c>
    </row>
    <row r="90" spans="1:9" hidden="1" x14ac:dyDescent="0.25">
      <c r="A90" t="s">
        <v>132</v>
      </c>
      <c r="B90" t="s">
        <v>78</v>
      </c>
      <c r="C90">
        <v>4.8</v>
      </c>
      <c r="D90">
        <v>5118</v>
      </c>
      <c r="E90">
        <v>20</v>
      </c>
      <c r="F90">
        <v>2016</v>
      </c>
      <c r="G90" t="s">
        <v>10</v>
      </c>
      <c r="I90" t="str">
        <v/>
      </c>
    </row>
    <row r="91" spans="1:9" hidden="1" x14ac:dyDescent="0.25">
      <c r="A91" t="s">
        <v>133</v>
      </c>
      <c r="B91" t="s">
        <v>134</v>
      </c>
      <c r="C91">
        <v>4.5999999999999996</v>
      </c>
      <c r="D91">
        <v>2134</v>
      </c>
      <c r="E91">
        <v>5</v>
      </c>
      <c r="F91">
        <v>2015</v>
      </c>
      <c r="G91" t="s">
        <v>8</v>
      </c>
      <c r="I91" t="str">
        <v/>
      </c>
    </row>
    <row r="92" spans="1:9" hidden="1" x14ac:dyDescent="0.25">
      <c r="A92" t="s">
        <v>135</v>
      </c>
      <c r="B92" t="s">
        <v>136</v>
      </c>
      <c r="C92">
        <v>4.5</v>
      </c>
      <c r="D92">
        <v>2525</v>
      </c>
      <c r="E92">
        <v>16</v>
      </c>
      <c r="F92">
        <v>2010</v>
      </c>
      <c r="G92" t="s">
        <v>8</v>
      </c>
      <c r="I92" t="str">
        <v/>
      </c>
    </row>
    <row r="93" spans="1:9" hidden="1" x14ac:dyDescent="0.25">
      <c r="A93" t="s">
        <v>137</v>
      </c>
      <c r="B93" t="s">
        <v>138</v>
      </c>
      <c r="C93">
        <v>4.5</v>
      </c>
      <c r="D93">
        <v>720</v>
      </c>
      <c r="E93">
        <v>1</v>
      </c>
      <c r="F93">
        <v>2009</v>
      </c>
      <c r="G93" t="s">
        <v>8</v>
      </c>
      <c r="I93" t="str">
        <v/>
      </c>
    </row>
    <row r="94" spans="1:9" hidden="1" x14ac:dyDescent="0.25">
      <c r="A94" t="s">
        <v>139</v>
      </c>
      <c r="B94" t="s">
        <v>138</v>
      </c>
      <c r="C94">
        <v>4.3</v>
      </c>
      <c r="D94">
        <v>956</v>
      </c>
      <c r="E94">
        <v>14</v>
      </c>
      <c r="F94">
        <v>2009</v>
      </c>
      <c r="G94" t="s">
        <v>8</v>
      </c>
      <c r="I94" t="str">
        <v/>
      </c>
    </row>
    <row r="95" spans="1:9" hidden="1" x14ac:dyDescent="0.25">
      <c r="A95" t="s">
        <v>140</v>
      </c>
      <c r="B95" t="s">
        <v>141</v>
      </c>
      <c r="C95">
        <v>4.5</v>
      </c>
      <c r="D95">
        <v>6346</v>
      </c>
      <c r="E95">
        <v>9</v>
      </c>
      <c r="F95">
        <v>2011</v>
      </c>
      <c r="G95" t="s">
        <v>8</v>
      </c>
      <c r="I95" t="str">
        <v/>
      </c>
    </row>
    <row r="96" spans="1:9" hidden="1" x14ac:dyDescent="0.25">
      <c r="A96" t="s">
        <v>140</v>
      </c>
      <c r="B96" t="s">
        <v>141</v>
      </c>
      <c r="C96">
        <v>4.5</v>
      </c>
      <c r="D96">
        <v>6346</v>
      </c>
      <c r="E96">
        <v>9</v>
      </c>
      <c r="F96">
        <v>2012</v>
      </c>
      <c r="G96" t="s">
        <v>8</v>
      </c>
      <c r="I96" t="str">
        <v/>
      </c>
    </row>
    <row r="97" spans="1:9" hidden="1" x14ac:dyDescent="0.25">
      <c r="A97" t="s">
        <v>142</v>
      </c>
      <c r="B97" t="s">
        <v>73</v>
      </c>
      <c r="C97">
        <v>4.7</v>
      </c>
      <c r="D97">
        <v>5505</v>
      </c>
      <c r="E97">
        <v>7</v>
      </c>
      <c r="F97">
        <v>2009</v>
      </c>
      <c r="G97" t="s">
        <v>10</v>
      </c>
      <c r="I97" t="str">
        <v/>
      </c>
    </row>
    <row r="98" spans="1:9" hidden="1" x14ac:dyDescent="0.25">
      <c r="A98" t="s">
        <v>143</v>
      </c>
      <c r="B98" t="s">
        <v>73</v>
      </c>
      <c r="C98">
        <v>4.7</v>
      </c>
      <c r="D98">
        <v>5505</v>
      </c>
      <c r="E98">
        <v>18</v>
      </c>
      <c r="F98">
        <v>2009</v>
      </c>
      <c r="G98" t="s">
        <v>10</v>
      </c>
      <c r="I98" t="str">
        <v/>
      </c>
    </row>
    <row r="99" spans="1:9" hidden="1" x14ac:dyDescent="0.25">
      <c r="A99" t="s">
        <v>144</v>
      </c>
      <c r="B99" t="s">
        <v>145</v>
      </c>
      <c r="C99">
        <v>4.7</v>
      </c>
      <c r="D99">
        <v>28729</v>
      </c>
      <c r="E99">
        <v>15</v>
      </c>
      <c r="F99">
        <v>2018</v>
      </c>
      <c r="G99" t="s">
        <v>8</v>
      </c>
      <c r="I99" t="str">
        <v/>
      </c>
    </row>
    <row r="100" spans="1:9" hidden="1" x14ac:dyDescent="0.25">
      <c r="A100" t="s">
        <v>144</v>
      </c>
      <c r="B100" t="s">
        <v>145</v>
      </c>
      <c r="C100">
        <v>4.7</v>
      </c>
      <c r="D100">
        <v>28729</v>
      </c>
      <c r="E100">
        <v>15</v>
      </c>
      <c r="F100">
        <v>2019</v>
      </c>
      <c r="G100" t="s">
        <v>8</v>
      </c>
      <c r="I100" t="str">
        <v/>
      </c>
    </row>
    <row r="101" spans="1:9" hidden="1" x14ac:dyDescent="0.25">
      <c r="A101" t="s">
        <v>146</v>
      </c>
      <c r="B101" t="s">
        <v>147</v>
      </c>
      <c r="C101">
        <v>4.7</v>
      </c>
      <c r="D101">
        <v>5413</v>
      </c>
      <c r="E101">
        <v>9</v>
      </c>
      <c r="F101">
        <v>2015</v>
      </c>
      <c r="G101" t="s">
        <v>8</v>
      </c>
      <c r="I101" t="str">
        <v/>
      </c>
    </row>
    <row r="102" spans="1:9" hidden="1" x14ac:dyDescent="0.25">
      <c r="A102" t="s">
        <v>148</v>
      </c>
      <c r="B102" t="s">
        <v>149</v>
      </c>
      <c r="C102">
        <v>4.5999999999999996</v>
      </c>
      <c r="D102">
        <v>10721</v>
      </c>
      <c r="E102">
        <v>8</v>
      </c>
      <c r="F102">
        <v>2016</v>
      </c>
      <c r="G102" t="s">
        <v>10</v>
      </c>
      <c r="I102" t="str">
        <v/>
      </c>
    </row>
    <row r="103" spans="1:9" hidden="1" x14ac:dyDescent="0.25">
      <c r="A103" t="s">
        <v>148</v>
      </c>
      <c r="B103" t="s">
        <v>149</v>
      </c>
      <c r="C103">
        <v>4.5999999999999996</v>
      </c>
      <c r="D103">
        <v>10721</v>
      </c>
      <c r="E103">
        <v>8</v>
      </c>
      <c r="F103">
        <v>2018</v>
      </c>
      <c r="G103" t="s">
        <v>10</v>
      </c>
      <c r="I103" t="str">
        <v/>
      </c>
    </row>
    <row r="104" spans="1:9" hidden="1" x14ac:dyDescent="0.25">
      <c r="A104" t="s">
        <v>150</v>
      </c>
      <c r="B104" t="s">
        <v>151</v>
      </c>
      <c r="C104">
        <v>4.7</v>
      </c>
      <c r="D104">
        <v>4370</v>
      </c>
      <c r="E104">
        <v>15</v>
      </c>
      <c r="F104">
        <v>2016</v>
      </c>
      <c r="G104" t="s">
        <v>10</v>
      </c>
      <c r="I104" t="str">
        <v/>
      </c>
    </row>
    <row r="105" spans="1:9" hidden="1" x14ac:dyDescent="0.25">
      <c r="A105" t="s">
        <v>152</v>
      </c>
      <c r="B105" t="s">
        <v>153</v>
      </c>
      <c r="C105">
        <v>4.4000000000000004</v>
      </c>
      <c r="D105">
        <v>6042</v>
      </c>
      <c r="E105">
        <v>2</v>
      </c>
      <c r="F105">
        <v>2018</v>
      </c>
      <c r="G105" t="s">
        <v>8</v>
      </c>
      <c r="I105" t="str">
        <v/>
      </c>
    </row>
    <row r="106" spans="1:9" hidden="1" x14ac:dyDescent="0.25">
      <c r="A106" t="s">
        <v>154</v>
      </c>
      <c r="B106" t="s">
        <v>155</v>
      </c>
      <c r="C106">
        <v>4.4000000000000004</v>
      </c>
      <c r="D106">
        <v>23631</v>
      </c>
      <c r="E106">
        <v>7</v>
      </c>
      <c r="F106">
        <v>2012</v>
      </c>
      <c r="G106" t="s">
        <v>10</v>
      </c>
      <c r="I106" t="str">
        <v/>
      </c>
    </row>
    <row r="107" spans="1:9" hidden="1" x14ac:dyDescent="0.25">
      <c r="A107" t="s">
        <v>156</v>
      </c>
      <c r="B107" t="s">
        <v>155</v>
      </c>
      <c r="C107">
        <v>4.5</v>
      </c>
      <c r="D107">
        <v>20262</v>
      </c>
      <c r="E107">
        <v>11</v>
      </c>
      <c r="F107">
        <v>2012</v>
      </c>
      <c r="G107" t="s">
        <v>10</v>
      </c>
      <c r="I107" t="str">
        <v/>
      </c>
    </row>
    <row r="108" spans="1:9" hidden="1" x14ac:dyDescent="0.25">
      <c r="A108" t="s">
        <v>157</v>
      </c>
      <c r="B108" t="s">
        <v>155</v>
      </c>
      <c r="C108">
        <v>3.8</v>
      </c>
      <c r="D108">
        <v>47265</v>
      </c>
      <c r="E108">
        <v>14</v>
      </c>
      <c r="F108">
        <v>2012</v>
      </c>
      <c r="G108" t="s">
        <v>10</v>
      </c>
      <c r="I108" t="str">
        <v/>
      </c>
    </row>
    <row r="109" spans="1:9" hidden="1" x14ac:dyDescent="0.25">
      <c r="A109" t="s">
        <v>157</v>
      </c>
      <c r="B109" t="s">
        <v>155</v>
      </c>
      <c r="C109">
        <v>3.8</v>
      </c>
      <c r="D109">
        <v>47265</v>
      </c>
      <c r="E109">
        <v>14</v>
      </c>
      <c r="F109">
        <v>2013</v>
      </c>
      <c r="G109" t="s">
        <v>10</v>
      </c>
      <c r="I109" t="str">
        <v/>
      </c>
    </row>
    <row r="110" spans="1:9" hidden="1" x14ac:dyDescent="0.25">
      <c r="A110" t="s">
        <v>158</v>
      </c>
      <c r="B110" t="s">
        <v>155</v>
      </c>
      <c r="C110">
        <v>4.5</v>
      </c>
      <c r="D110">
        <v>13964</v>
      </c>
      <c r="E110">
        <v>32</v>
      </c>
      <c r="F110">
        <v>2012</v>
      </c>
      <c r="G110" t="s">
        <v>10</v>
      </c>
      <c r="I110" t="str">
        <v/>
      </c>
    </row>
    <row r="111" spans="1:9" hidden="1" x14ac:dyDescent="0.25">
      <c r="A111" t="s">
        <v>159</v>
      </c>
      <c r="B111" t="s">
        <v>160</v>
      </c>
      <c r="C111">
        <v>4.2</v>
      </c>
      <c r="D111">
        <v>13677</v>
      </c>
      <c r="E111">
        <v>6</v>
      </c>
      <c r="F111">
        <v>2018</v>
      </c>
      <c r="G111" t="s">
        <v>8</v>
      </c>
      <c r="I111" t="str">
        <v/>
      </c>
    </row>
    <row r="112" spans="1:9" hidden="1" x14ac:dyDescent="0.25">
      <c r="A112" t="s">
        <v>161</v>
      </c>
      <c r="B112" t="s">
        <v>162</v>
      </c>
      <c r="C112">
        <v>4.7</v>
      </c>
      <c r="D112">
        <v>17323</v>
      </c>
      <c r="E112">
        <v>4</v>
      </c>
      <c r="F112">
        <v>2014</v>
      </c>
      <c r="G112" t="s">
        <v>8</v>
      </c>
      <c r="I112" t="str">
        <v/>
      </c>
    </row>
    <row r="113" spans="1:9" hidden="1" x14ac:dyDescent="0.25">
      <c r="A113" t="s">
        <v>161</v>
      </c>
      <c r="B113" t="s">
        <v>162</v>
      </c>
      <c r="C113">
        <v>4.7</v>
      </c>
      <c r="D113">
        <v>17323</v>
      </c>
      <c r="E113">
        <v>4</v>
      </c>
      <c r="F113">
        <v>2015</v>
      </c>
      <c r="G113" t="s">
        <v>8</v>
      </c>
      <c r="I113" t="str">
        <v/>
      </c>
    </row>
    <row r="114" spans="1:9" hidden="1" x14ac:dyDescent="0.25">
      <c r="A114" t="s">
        <v>161</v>
      </c>
      <c r="B114" t="s">
        <v>162</v>
      </c>
      <c r="C114">
        <v>4.7</v>
      </c>
      <c r="D114">
        <v>17323</v>
      </c>
      <c r="E114">
        <v>4</v>
      </c>
      <c r="F114">
        <v>2016</v>
      </c>
      <c r="G114" t="s">
        <v>8</v>
      </c>
      <c r="I114" t="str">
        <v/>
      </c>
    </row>
    <row r="115" spans="1:9" hidden="1" x14ac:dyDescent="0.25">
      <c r="A115" t="s">
        <v>161</v>
      </c>
      <c r="B115" t="s">
        <v>162</v>
      </c>
      <c r="C115">
        <v>4.7</v>
      </c>
      <c r="D115">
        <v>17323</v>
      </c>
      <c r="E115">
        <v>4</v>
      </c>
      <c r="F115">
        <v>2017</v>
      </c>
      <c r="G115" t="s">
        <v>8</v>
      </c>
      <c r="I115" t="str">
        <v/>
      </c>
    </row>
    <row r="116" spans="1:9" hidden="1" x14ac:dyDescent="0.25">
      <c r="A116" t="s">
        <v>161</v>
      </c>
      <c r="B116" t="s">
        <v>162</v>
      </c>
      <c r="C116">
        <v>4.7</v>
      </c>
      <c r="D116">
        <v>17323</v>
      </c>
      <c r="E116">
        <v>4</v>
      </c>
      <c r="F116">
        <v>2018</v>
      </c>
      <c r="G116" t="s">
        <v>8</v>
      </c>
      <c r="I116" t="str">
        <v/>
      </c>
    </row>
    <row r="117" spans="1:9" hidden="1" x14ac:dyDescent="0.25">
      <c r="A117" t="s">
        <v>163</v>
      </c>
      <c r="B117" t="s">
        <v>164</v>
      </c>
      <c r="C117">
        <v>4.4000000000000004</v>
      </c>
      <c r="D117">
        <v>1555</v>
      </c>
      <c r="E117">
        <v>9</v>
      </c>
      <c r="F117">
        <v>2010</v>
      </c>
      <c r="G117" t="s">
        <v>8</v>
      </c>
      <c r="I117" t="str">
        <v/>
      </c>
    </row>
    <row r="118" spans="1:9" hidden="1" x14ac:dyDescent="0.25">
      <c r="A118" t="s">
        <v>165</v>
      </c>
      <c r="B118" t="s">
        <v>166</v>
      </c>
      <c r="C118">
        <v>4.7</v>
      </c>
      <c r="D118">
        <v>3642</v>
      </c>
      <c r="E118">
        <v>0</v>
      </c>
      <c r="F118">
        <v>2014</v>
      </c>
      <c r="G118" t="s">
        <v>10</v>
      </c>
      <c r="I118" t="str">
        <v/>
      </c>
    </row>
    <row r="119" spans="1:9" hidden="1" x14ac:dyDescent="0.25">
      <c r="A119" t="s">
        <v>167</v>
      </c>
      <c r="B119" t="s">
        <v>168</v>
      </c>
      <c r="C119">
        <v>4.4000000000000004</v>
      </c>
      <c r="D119">
        <v>1215</v>
      </c>
      <c r="E119">
        <v>9</v>
      </c>
      <c r="F119">
        <v>2010</v>
      </c>
      <c r="G119" t="s">
        <v>8</v>
      </c>
      <c r="I119" t="str">
        <v/>
      </c>
    </row>
    <row r="120" spans="1:9" hidden="1" x14ac:dyDescent="0.25">
      <c r="A120" t="s">
        <v>169</v>
      </c>
      <c r="B120" t="s">
        <v>170</v>
      </c>
      <c r="C120">
        <v>4.5999999999999996</v>
      </c>
      <c r="D120">
        <v>5594</v>
      </c>
      <c r="E120">
        <v>5</v>
      </c>
      <c r="F120">
        <v>2011</v>
      </c>
      <c r="G120" t="s">
        <v>10</v>
      </c>
      <c r="I120" t="str">
        <v/>
      </c>
    </row>
    <row r="121" spans="1:9" hidden="1" x14ac:dyDescent="0.25">
      <c r="A121" t="s">
        <v>169</v>
      </c>
      <c r="B121" t="s">
        <v>170</v>
      </c>
      <c r="C121">
        <v>4.5999999999999996</v>
      </c>
      <c r="D121">
        <v>5594</v>
      </c>
      <c r="E121">
        <v>5</v>
      </c>
      <c r="F121">
        <v>2012</v>
      </c>
      <c r="G121" t="s">
        <v>10</v>
      </c>
      <c r="I121" t="str">
        <v/>
      </c>
    </row>
    <row r="122" spans="1:9" hidden="1" x14ac:dyDescent="0.25">
      <c r="A122" t="s">
        <v>169</v>
      </c>
      <c r="B122" t="s">
        <v>170</v>
      </c>
      <c r="C122">
        <v>4.5999999999999996</v>
      </c>
      <c r="D122">
        <v>5594</v>
      </c>
      <c r="E122">
        <v>5</v>
      </c>
      <c r="F122">
        <v>2013</v>
      </c>
      <c r="G122" t="s">
        <v>10</v>
      </c>
      <c r="I122" t="str">
        <v/>
      </c>
    </row>
    <row r="123" spans="1:9" hidden="1" x14ac:dyDescent="0.25">
      <c r="A123" t="s">
        <v>171</v>
      </c>
      <c r="B123" t="s">
        <v>172</v>
      </c>
      <c r="C123">
        <v>4.5</v>
      </c>
      <c r="D123">
        <v>408</v>
      </c>
      <c r="E123">
        <v>20</v>
      </c>
      <c r="F123">
        <v>2010</v>
      </c>
      <c r="G123" t="s">
        <v>8</v>
      </c>
      <c r="I123" t="str">
        <v/>
      </c>
    </row>
    <row r="124" spans="1:9" hidden="1" x14ac:dyDescent="0.25">
      <c r="A124" t="s">
        <v>173</v>
      </c>
      <c r="B124" t="s">
        <v>174</v>
      </c>
      <c r="C124">
        <v>4.5999999999999996</v>
      </c>
      <c r="D124">
        <v>4799</v>
      </c>
      <c r="E124">
        <v>16</v>
      </c>
      <c r="F124">
        <v>2013</v>
      </c>
      <c r="G124" t="s">
        <v>8</v>
      </c>
      <c r="I124" t="str">
        <v/>
      </c>
    </row>
    <row r="125" spans="1:9" hidden="1" x14ac:dyDescent="0.25">
      <c r="A125" t="s">
        <v>175</v>
      </c>
      <c r="B125" t="s">
        <v>176</v>
      </c>
      <c r="C125">
        <v>4.8</v>
      </c>
      <c r="D125">
        <v>14038</v>
      </c>
      <c r="E125">
        <v>4</v>
      </c>
      <c r="F125">
        <v>2015</v>
      </c>
      <c r="G125" t="s">
        <v>10</v>
      </c>
      <c r="I125" t="str">
        <v/>
      </c>
    </row>
    <row r="126" spans="1:9" hidden="1" x14ac:dyDescent="0.25">
      <c r="A126" t="s">
        <v>175</v>
      </c>
      <c r="B126" t="s">
        <v>176</v>
      </c>
      <c r="C126">
        <v>4.8</v>
      </c>
      <c r="D126">
        <v>14038</v>
      </c>
      <c r="E126">
        <v>4</v>
      </c>
      <c r="F126">
        <v>2016</v>
      </c>
      <c r="G126" t="s">
        <v>10</v>
      </c>
      <c r="I126" t="str">
        <v/>
      </c>
    </row>
    <row r="127" spans="1:9" hidden="1" x14ac:dyDescent="0.25">
      <c r="A127" t="s">
        <v>175</v>
      </c>
      <c r="B127" t="s">
        <v>176</v>
      </c>
      <c r="C127">
        <v>4.8</v>
      </c>
      <c r="D127">
        <v>14038</v>
      </c>
      <c r="E127">
        <v>4</v>
      </c>
      <c r="F127">
        <v>2017</v>
      </c>
      <c r="G127" t="s">
        <v>10</v>
      </c>
      <c r="I127" t="str">
        <v/>
      </c>
    </row>
    <row r="128" spans="1:9" hidden="1" x14ac:dyDescent="0.25">
      <c r="A128" t="s">
        <v>175</v>
      </c>
      <c r="B128" t="s">
        <v>176</v>
      </c>
      <c r="C128">
        <v>4.8</v>
      </c>
      <c r="D128">
        <v>14038</v>
      </c>
      <c r="E128">
        <v>4</v>
      </c>
      <c r="F128">
        <v>2018</v>
      </c>
      <c r="G128" t="s">
        <v>10</v>
      </c>
      <c r="I128" t="str">
        <v/>
      </c>
    </row>
    <row r="129" spans="1:9" hidden="1" x14ac:dyDescent="0.25">
      <c r="A129" t="s">
        <v>175</v>
      </c>
      <c r="B129" t="s">
        <v>176</v>
      </c>
      <c r="C129">
        <v>4.8</v>
      </c>
      <c r="D129">
        <v>14038</v>
      </c>
      <c r="E129">
        <v>4</v>
      </c>
      <c r="F129">
        <v>2019</v>
      </c>
      <c r="G129" t="s">
        <v>10</v>
      </c>
      <c r="I129" t="str">
        <v/>
      </c>
    </row>
    <row r="130" spans="1:9" hidden="1" x14ac:dyDescent="0.25">
      <c r="A130" t="s">
        <v>177</v>
      </c>
      <c r="B130" t="s">
        <v>178</v>
      </c>
      <c r="C130">
        <v>4.5999999999999996</v>
      </c>
      <c r="D130">
        <v>7660</v>
      </c>
      <c r="E130">
        <v>12</v>
      </c>
      <c r="F130">
        <v>2019</v>
      </c>
      <c r="G130" t="s">
        <v>8</v>
      </c>
      <c r="I130" t="str">
        <v/>
      </c>
    </row>
    <row r="131" spans="1:9" hidden="1" x14ac:dyDescent="0.25">
      <c r="A131" t="s">
        <v>179</v>
      </c>
      <c r="B131" t="s">
        <v>178</v>
      </c>
      <c r="C131">
        <v>4.5999999999999996</v>
      </c>
      <c r="D131">
        <v>22288</v>
      </c>
      <c r="E131">
        <v>12</v>
      </c>
      <c r="F131">
        <v>2018</v>
      </c>
      <c r="G131" t="s">
        <v>8</v>
      </c>
      <c r="I131" t="str">
        <v/>
      </c>
    </row>
    <row r="132" spans="1:9" hidden="1" x14ac:dyDescent="0.25">
      <c r="A132" t="s">
        <v>179</v>
      </c>
      <c r="B132" t="s">
        <v>178</v>
      </c>
      <c r="C132">
        <v>4.5999999999999996</v>
      </c>
      <c r="D132">
        <v>22288</v>
      </c>
      <c r="E132">
        <v>12</v>
      </c>
      <c r="F132">
        <v>2019</v>
      </c>
      <c r="G132" t="s">
        <v>8</v>
      </c>
      <c r="I132" t="str">
        <v/>
      </c>
    </row>
    <row r="133" spans="1:9" hidden="1" x14ac:dyDescent="0.25">
      <c r="A133" t="s">
        <v>180</v>
      </c>
      <c r="B133" t="s">
        <v>52</v>
      </c>
      <c r="C133">
        <v>4.5999999999999996</v>
      </c>
      <c r="D133">
        <v>1365</v>
      </c>
      <c r="E133">
        <v>11</v>
      </c>
      <c r="F133">
        <v>2009</v>
      </c>
      <c r="G133" t="s">
        <v>8</v>
      </c>
      <c r="I133" t="str">
        <v/>
      </c>
    </row>
    <row r="134" spans="1:9" hidden="1" x14ac:dyDescent="0.25">
      <c r="A134" t="s">
        <v>181</v>
      </c>
      <c r="B134" t="s">
        <v>182</v>
      </c>
      <c r="C134">
        <v>3.6</v>
      </c>
      <c r="D134">
        <v>14982</v>
      </c>
      <c r="E134">
        <v>19</v>
      </c>
      <c r="F134">
        <v>2015</v>
      </c>
      <c r="G134" t="s">
        <v>10</v>
      </c>
      <c r="I134" t="str">
        <v/>
      </c>
    </row>
    <row r="135" spans="1:9" hidden="1" x14ac:dyDescent="0.25">
      <c r="A135" t="s">
        <v>183</v>
      </c>
      <c r="B135" t="s">
        <v>184</v>
      </c>
      <c r="C135">
        <v>4.8</v>
      </c>
      <c r="D135">
        <v>9568</v>
      </c>
      <c r="E135">
        <v>9</v>
      </c>
      <c r="F135">
        <v>2011</v>
      </c>
      <c r="G135" t="s">
        <v>10</v>
      </c>
      <c r="I135" t="str">
        <v/>
      </c>
    </row>
    <row r="136" spans="1:9" hidden="1" x14ac:dyDescent="0.25">
      <c r="A136" t="s">
        <v>185</v>
      </c>
      <c r="B136" t="s">
        <v>186</v>
      </c>
      <c r="C136">
        <v>4.5999999999999996</v>
      </c>
      <c r="D136">
        <v>1636</v>
      </c>
      <c r="E136">
        <v>6</v>
      </c>
      <c r="F136">
        <v>2009</v>
      </c>
      <c r="G136" t="s">
        <v>8</v>
      </c>
      <c r="I136" t="str">
        <v/>
      </c>
    </row>
    <row r="137" spans="1:9" hidden="1" x14ac:dyDescent="0.25">
      <c r="A137" t="s">
        <v>187</v>
      </c>
      <c r="B137" t="s">
        <v>188</v>
      </c>
      <c r="C137">
        <v>4</v>
      </c>
      <c r="D137">
        <v>57271</v>
      </c>
      <c r="E137">
        <v>10</v>
      </c>
      <c r="F137">
        <v>2012</v>
      </c>
      <c r="G137" t="s">
        <v>10</v>
      </c>
      <c r="I137" t="str">
        <v/>
      </c>
    </row>
    <row r="138" spans="1:9" hidden="1" x14ac:dyDescent="0.25">
      <c r="A138" t="s">
        <v>187</v>
      </c>
      <c r="B138" t="s">
        <v>188</v>
      </c>
      <c r="C138">
        <v>4</v>
      </c>
      <c r="D138">
        <v>57271</v>
      </c>
      <c r="E138">
        <v>10</v>
      </c>
      <c r="F138">
        <v>2013</v>
      </c>
      <c r="G138" t="s">
        <v>10</v>
      </c>
      <c r="I138" t="str">
        <v/>
      </c>
    </row>
    <row r="139" spans="1:9" hidden="1" x14ac:dyDescent="0.25">
      <c r="A139" t="s">
        <v>187</v>
      </c>
      <c r="B139" t="s">
        <v>188</v>
      </c>
      <c r="C139">
        <v>4</v>
      </c>
      <c r="D139">
        <v>57271</v>
      </c>
      <c r="E139">
        <v>9</v>
      </c>
      <c r="F139">
        <v>2014</v>
      </c>
      <c r="G139" t="s">
        <v>10</v>
      </c>
      <c r="I139" t="str">
        <v/>
      </c>
    </row>
    <row r="140" spans="1:9" hidden="1" x14ac:dyDescent="0.25">
      <c r="A140" t="s">
        <v>189</v>
      </c>
      <c r="B140" t="s">
        <v>190</v>
      </c>
      <c r="C140">
        <v>4.5999999999999996</v>
      </c>
      <c r="D140">
        <v>10141</v>
      </c>
      <c r="E140">
        <v>6</v>
      </c>
      <c r="F140">
        <v>2019</v>
      </c>
      <c r="G140" t="s">
        <v>8</v>
      </c>
      <c r="I140" t="str">
        <v/>
      </c>
    </row>
    <row r="141" spans="1:9" hidden="1" x14ac:dyDescent="0.25">
      <c r="A141" t="s">
        <v>191</v>
      </c>
      <c r="B141" t="s">
        <v>192</v>
      </c>
      <c r="C141">
        <v>4.5</v>
      </c>
      <c r="D141">
        <v>3457</v>
      </c>
      <c r="E141">
        <v>14</v>
      </c>
      <c r="F141">
        <v>2009</v>
      </c>
      <c r="G141" t="s">
        <v>8</v>
      </c>
      <c r="I141" t="str">
        <v/>
      </c>
    </row>
    <row r="142" spans="1:9" hidden="1" x14ac:dyDescent="0.25">
      <c r="A142" t="s">
        <v>191</v>
      </c>
      <c r="B142" t="s">
        <v>192</v>
      </c>
      <c r="C142">
        <v>4.5</v>
      </c>
      <c r="D142">
        <v>3457</v>
      </c>
      <c r="E142">
        <v>14</v>
      </c>
      <c r="F142">
        <v>2010</v>
      </c>
      <c r="G142" t="s">
        <v>8</v>
      </c>
      <c r="I142" t="str">
        <v/>
      </c>
    </row>
    <row r="143" spans="1:9" hidden="1" x14ac:dyDescent="0.25">
      <c r="A143" t="s">
        <v>191</v>
      </c>
      <c r="B143" t="s">
        <v>192</v>
      </c>
      <c r="C143">
        <v>4.5</v>
      </c>
      <c r="D143">
        <v>3457</v>
      </c>
      <c r="E143">
        <v>14</v>
      </c>
      <c r="F143">
        <v>2011</v>
      </c>
      <c r="G143" t="s">
        <v>8</v>
      </c>
      <c r="I143" t="str">
        <v/>
      </c>
    </row>
    <row r="144" spans="1:9" hidden="1" x14ac:dyDescent="0.25">
      <c r="A144" t="s">
        <v>191</v>
      </c>
      <c r="B144" t="s">
        <v>192</v>
      </c>
      <c r="C144">
        <v>4.5</v>
      </c>
      <c r="D144">
        <v>3457</v>
      </c>
      <c r="E144">
        <v>14</v>
      </c>
      <c r="F144">
        <v>2012</v>
      </c>
      <c r="G144" t="s">
        <v>8</v>
      </c>
      <c r="I144" t="str">
        <v/>
      </c>
    </row>
    <row r="145" spans="1:9" hidden="1" x14ac:dyDescent="0.25">
      <c r="A145" t="s">
        <v>193</v>
      </c>
      <c r="B145" t="s">
        <v>194</v>
      </c>
      <c r="C145">
        <v>4.8</v>
      </c>
      <c r="D145">
        <v>8837</v>
      </c>
      <c r="E145">
        <v>5</v>
      </c>
      <c r="F145">
        <v>2017</v>
      </c>
      <c r="G145" t="s">
        <v>10</v>
      </c>
      <c r="I145" t="str">
        <v/>
      </c>
    </row>
    <row r="146" spans="1:9" hidden="1" x14ac:dyDescent="0.25">
      <c r="A146" t="s">
        <v>193</v>
      </c>
      <c r="B146" t="s">
        <v>194</v>
      </c>
      <c r="C146">
        <v>4.8</v>
      </c>
      <c r="D146">
        <v>8837</v>
      </c>
      <c r="E146">
        <v>5</v>
      </c>
      <c r="F146">
        <v>2018</v>
      </c>
      <c r="G146" t="s">
        <v>10</v>
      </c>
      <c r="I146" t="str">
        <v/>
      </c>
    </row>
    <row r="147" spans="1:9" hidden="1" x14ac:dyDescent="0.25">
      <c r="A147" t="s">
        <v>193</v>
      </c>
      <c r="B147" t="s">
        <v>194</v>
      </c>
      <c r="C147">
        <v>4.8</v>
      </c>
      <c r="D147">
        <v>8837</v>
      </c>
      <c r="E147">
        <v>5</v>
      </c>
      <c r="F147">
        <v>2019</v>
      </c>
      <c r="G147" t="s">
        <v>10</v>
      </c>
      <c r="I147" t="str">
        <v/>
      </c>
    </row>
    <row r="148" spans="1:9" hidden="1" x14ac:dyDescent="0.25">
      <c r="A148" t="s">
        <v>195</v>
      </c>
      <c r="B148" t="s">
        <v>196</v>
      </c>
      <c r="C148">
        <v>4.9000000000000004</v>
      </c>
      <c r="D148">
        <v>7038</v>
      </c>
      <c r="E148">
        <v>7</v>
      </c>
      <c r="F148">
        <v>2012</v>
      </c>
      <c r="G148" t="s">
        <v>10</v>
      </c>
      <c r="I148" t="str">
        <v/>
      </c>
    </row>
    <row r="149" spans="1:9" hidden="1" x14ac:dyDescent="0.25">
      <c r="A149" t="s">
        <v>195</v>
      </c>
      <c r="B149" t="s">
        <v>196</v>
      </c>
      <c r="C149">
        <v>4.9000000000000004</v>
      </c>
      <c r="D149">
        <v>7038</v>
      </c>
      <c r="E149">
        <v>7</v>
      </c>
      <c r="F149">
        <v>2013</v>
      </c>
      <c r="G149" t="s">
        <v>10</v>
      </c>
      <c r="I149" t="str">
        <v/>
      </c>
    </row>
    <row r="150" spans="1:9" hidden="1" x14ac:dyDescent="0.25">
      <c r="A150" t="s">
        <v>197</v>
      </c>
      <c r="B150" t="s">
        <v>198</v>
      </c>
      <c r="C150">
        <v>4.5999999999999996</v>
      </c>
      <c r="D150">
        <v>5972</v>
      </c>
      <c r="E150">
        <v>10</v>
      </c>
      <c r="F150">
        <v>2014</v>
      </c>
      <c r="G150" t="s">
        <v>8</v>
      </c>
      <c r="I150" t="str">
        <v/>
      </c>
    </row>
    <row r="151" spans="1:9" hidden="1" x14ac:dyDescent="0.25">
      <c r="A151" t="s">
        <v>199</v>
      </c>
      <c r="B151" t="s">
        <v>155</v>
      </c>
      <c r="C151">
        <v>4.4000000000000004</v>
      </c>
      <c r="D151">
        <v>25624</v>
      </c>
      <c r="E151">
        <v>14</v>
      </c>
      <c r="F151">
        <v>2015</v>
      </c>
      <c r="G151" t="s">
        <v>10</v>
      </c>
      <c r="I151" t="str">
        <v/>
      </c>
    </row>
    <row r="152" spans="1:9" hidden="1" x14ac:dyDescent="0.25">
      <c r="A152" t="s">
        <v>200</v>
      </c>
      <c r="B152" t="s">
        <v>201</v>
      </c>
      <c r="C152">
        <v>4.8</v>
      </c>
      <c r="D152">
        <v>5476</v>
      </c>
      <c r="E152">
        <v>7</v>
      </c>
      <c r="F152">
        <v>2019</v>
      </c>
      <c r="G152" t="s">
        <v>8</v>
      </c>
      <c r="I152" t="str">
        <v/>
      </c>
    </row>
    <row r="153" spans="1:9" hidden="1" x14ac:dyDescent="0.25">
      <c r="A153" t="s">
        <v>202</v>
      </c>
      <c r="B153" t="s">
        <v>203</v>
      </c>
      <c r="C153">
        <v>4.9000000000000004</v>
      </c>
      <c r="D153">
        <v>5867</v>
      </c>
      <c r="E153">
        <v>54</v>
      </c>
      <c r="F153">
        <v>2016</v>
      </c>
      <c r="G153" t="s">
        <v>8</v>
      </c>
      <c r="I153" t="str">
        <v/>
      </c>
    </row>
    <row r="154" spans="1:9" hidden="1" x14ac:dyDescent="0.25">
      <c r="A154" t="s">
        <v>204</v>
      </c>
      <c r="B154" t="s">
        <v>205</v>
      </c>
      <c r="C154">
        <v>4.8</v>
      </c>
      <c r="D154">
        <v>4148</v>
      </c>
      <c r="E154">
        <v>11</v>
      </c>
      <c r="F154">
        <v>2013</v>
      </c>
      <c r="G154" t="s">
        <v>8</v>
      </c>
      <c r="I154" t="str">
        <v/>
      </c>
    </row>
    <row r="155" spans="1:9" hidden="1" x14ac:dyDescent="0.25">
      <c r="A155" t="s">
        <v>206</v>
      </c>
      <c r="B155" t="s">
        <v>151</v>
      </c>
      <c r="C155">
        <v>4.9000000000000004</v>
      </c>
      <c r="D155">
        <v>19622</v>
      </c>
      <c r="E155">
        <v>30</v>
      </c>
      <c r="F155">
        <v>2016</v>
      </c>
      <c r="G155" t="s">
        <v>10</v>
      </c>
      <c r="I155" t="str">
        <v/>
      </c>
    </row>
    <row r="156" spans="1:9" hidden="1" x14ac:dyDescent="0.25">
      <c r="A156" t="s">
        <v>207</v>
      </c>
      <c r="B156" t="s">
        <v>151</v>
      </c>
      <c r="C156">
        <v>4</v>
      </c>
      <c r="D156">
        <v>23973</v>
      </c>
      <c r="E156">
        <v>12</v>
      </c>
      <c r="F156">
        <v>2016</v>
      </c>
      <c r="G156" t="s">
        <v>10</v>
      </c>
      <c r="I156" t="str">
        <v/>
      </c>
    </row>
    <row r="157" spans="1:9" hidden="1" x14ac:dyDescent="0.25">
      <c r="A157" t="s">
        <v>208</v>
      </c>
      <c r="B157" t="s">
        <v>209</v>
      </c>
      <c r="C157">
        <v>4.9000000000000004</v>
      </c>
      <c r="D157">
        <v>7758</v>
      </c>
      <c r="E157">
        <v>18</v>
      </c>
      <c r="F157">
        <v>2019</v>
      </c>
      <c r="G157" t="s">
        <v>10</v>
      </c>
      <c r="I157" t="str">
        <v/>
      </c>
    </row>
    <row r="158" spans="1:9" hidden="1" x14ac:dyDescent="0.25">
      <c r="A158" t="s">
        <v>210</v>
      </c>
      <c r="B158" t="s">
        <v>151</v>
      </c>
      <c r="C158">
        <v>4.9000000000000004</v>
      </c>
      <c r="D158">
        <v>3146</v>
      </c>
      <c r="E158">
        <v>30</v>
      </c>
      <c r="F158">
        <v>2017</v>
      </c>
      <c r="G158" t="s">
        <v>10</v>
      </c>
      <c r="I158" t="str">
        <v/>
      </c>
    </row>
    <row r="159" spans="1:9" hidden="1" x14ac:dyDescent="0.25">
      <c r="A159" t="s">
        <v>211</v>
      </c>
      <c r="B159" t="s">
        <v>151</v>
      </c>
      <c r="C159">
        <v>4.9000000000000004</v>
      </c>
      <c r="D159">
        <v>10052</v>
      </c>
      <c r="E159">
        <v>22</v>
      </c>
      <c r="F159">
        <v>2016</v>
      </c>
      <c r="G159" t="s">
        <v>10</v>
      </c>
      <c r="I159" t="str">
        <v/>
      </c>
    </row>
    <row r="160" spans="1:9" hidden="1" x14ac:dyDescent="0.25">
      <c r="A160" t="s">
        <v>212</v>
      </c>
      <c r="B160" t="s">
        <v>213</v>
      </c>
      <c r="C160">
        <v>4.7</v>
      </c>
      <c r="D160">
        <v>3564</v>
      </c>
      <c r="E160">
        <v>9</v>
      </c>
      <c r="F160">
        <v>2015</v>
      </c>
      <c r="G160" t="s">
        <v>8</v>
      </c>
      <c r="I160" t="str">
        <v/>
      </c>
    </row>
    <row r="161" spans="1:9" hidden="1" x14ac:dyDescent="0.25">
      <c r="A161" t="s">
        <v>214</v>
      </c>
      <c r="B161" t="s">
        <v>209</v>
      </c>
      <c r="C161">
        <v>4.8</v>
      </c>
      <c r="D161">
        <v>13471</v>
      </c>
      <c r="E161">
        <v>52</v>
      </c>
      <c r="F161">
        <v>2016</v>
      </c>
      <c r="G161" t="s">
        <v>10</v>
      </c>
      <c r="I161" t="str">
        <v/>
      </c>
    </row>
    <row r="162" spans="1:9" hidden="1" x14ac:dyDescent="0.25">
      <c r="A162" t="s">
        <v>215</v>
      </c>
      <c r="B162" t="s">
        <v>216</v>
      </c>
      <c r="C162">
        <v>4.8</v>
      </c>
      <c r="D162">
        <v>1930</v>
      </c>
      <c r="E162">
        <v>4</v>
      </c>
      <c r="F162">
        <v>2009</v>
      </c>
      <c r="G162" t="s">
        <v>8</v>
      </c>
      <c r="I162" t="str">
        <v/>
      </c>
    </row>
    <row r="163" spans="1:9" hidden="1" x14ac:dyDescent="0.25">
      <c r="A163" t="s">
        <v>217</v>
      </c>
      <c r="B163" t="s">
        <v>218</v>
      </c>
      <c r="C163">
        <v>4.7</v>
      </c>
      <c r="D163">
        <v>15779</v>
      </c>
      <c r="E163">
        <v>10</v>
      </c>
      <c r="F163">
        <v>2011</v>
      </c>
      <c r="G163" t="s">
        <v>8</v>
      </c>
      <c r="I163" t="str">
        <v/>
      </c>
    </row>
    <row r="164" spans="1:9" hidden="1" x14ac:dyDescent="0.25">
      <c r="A164" t="s">
        <v>217</v>
      </c>
      <c r="B164" t="s">
        <v>218</v>
      </c>
      <c r="C164">
        <v>4.7</v>
      </c>
      <c r="D164">
        <v>15779</v>
      </c>
      <c r="E164">
        <v>10</v>
      </c>
      <c r="F164">
        <v>2012</v>
      </c>
      <c r="G164" t="s">
        <v>8</v>
      </c>
      <c r="I164" t="str">
        <v/>
      </c>
    </row>
    <row r="165" spans="1:9" hidden="1" x14ac:dyDescent="0.25">
      <c r="A165" t="s">
        <v>219</v>
      </c>
      <c r="B165" t="s">
        <v>220</v>
      </c>
      <c r="C165">
        <v>4.4000000000000004</v>
      </c>
      <c r="D165">
        <v>15526</v>
      </c>
      <c r="E165">
        <v>14</v>
      </c>
      <c r="F165">
        <v>2016</v>
      </c>
      <c r="G165" t="s">
        <v>8</v>
      </c>
      <c r="I165" t="str">
        <v/>
      </c>
    </row>
    <row r="166" spans="1:9" hidden="1" x14ac:dyDescent="0.25">
      <c r="A166" t="s">
        <v>219</v>
      </c>
      <c r="B166" t="s">
        <v>220</v>
      </c>
      <c r="C166">
        <v>4.4000000000000004</v>
      </c>
      <c r="D166">
        <v>15526</v>
      </c>
      <c r="E166">
        <v>14</v>
      </c>
      <c r="F166">
        <v>2017</v>
      </c>
      <c r="G166" t="s">
        <v>8</v>
      </c>
      <c r="I166" t="str">
        <v/>
      </c>
    </row>
    <row r="167" spans="1:9" hidden="1" x14ac:dyDescent="0.25">
      <c r="A167" t="s">
        <v>221</v>
      </c>
      <c r="B167" t="s">
        <v>222</v>
      </c>
      <c r="C167">
        <v>4.8</v>
      </c>
      <c r="D167">
        <v>3776</v>
      </c>
      <c r="E167">
        <v>22</v>
      </c>
      <c r="F167">
        <v>2018</v>
      </c>
      <c r="G167" t="s">
        <v>8</v>
      </c>
      <c r="I167" t="str">
        <v/>
      </c>
    </row>
    <row r="168" spans="1:9" hidden="1" x14ac:dyDescent="0.25">
      <c r="A168" t="s">
        <v>223</v>
      </c>
      <c r="B168" t="s">
        <v>224</v>
      </c>
      <c r="C168">
        <v>4.7</v>
      </c>
      <c r="D168">
        <v>25001</v>
      </c>
      <c r="E168">
        <v>11</v>
      </c>
      <c r="F168">
        <v>2014</v>
      </c>
      <c r="G168" t="s">
        <v>8</v>
      </c>
      <c r="I168" t="str">
        <v/>
      </c>
    </row>
    <row r="169" spans="1:9" hidden="1" x14ac:dyDescent="0.25">
      <c r="A169" t="s">
        <v>223</v>
      </c>
      <c r="B169" t="s">
        <v>224</v>
      </c>
      <c r="C169">
        <v>4.7</v>
      </c>
      <c r="D169">
        <v>25001</v>
      </c>
      <c r="E169">
        <v>11</v>
      </c>
      <c r="F169">
        <v>2015</v>
      </c>
      <c r="G169" t="s">
        <v>8</v>
      </c>
      <c r="I169" t="str">
        <v/>
      </c>
    </row>
    <row r="170" spans="1:9" hidden="1" x14ac:dyDescent="0.25">
      <c r="A170" t="s">
        <v>223</v>
      </c>
      <c r="B170" t="s">
        <v>224</v>
      </c>
      <c r="C170">
        <v>4.7</v>
      </c>
      <c r="D170">
        <v>25001</v>
      </c>
      <c r="E170">
        <v>11</v>
      </c>
      <c r="F170">
        <v>2016</v>
      </c>
      <c r="G170" t="s">
        <v>8</v>
      </c>
      <c r="I170" t="str">
        <v/>
      </c>
    </row>
    <row r="171" spans="1:9" hidden="1" x14ac:dyDescent="0.25">
      <c r="A171" t="s">
        <v>223</v>
      </c>
      <c r="B171" t="s">
        <v>224</v>
      </c>
      <c r="C171">
        <v>4.7</v>
      </c>
      <c r="D171">
        <v>25001</v>
      </c>
      <c r="E171">
        <v>11</v>
      </c>
      <c r="F171">
        <v>2017</v>
      </c>
      <c r="G171" t="s">
        <v>8</v>
      </c>
      <c r="I171" t="str">
        <v/>
      </c>
    </row>
    <row r="172" spans="1:9" hidden="1" x14ac:dyDescent="0.25">
      <c r="A172" t="s">
        <v>223</v>
      </c>
      <c r="B172" t="s">
        <v>224</v>
      </c>
      <c r="C172">
        <v>4.7</v>
      </c>
      <c r="D172">
        <v>25001</v>
      </c>
      <c r="E172">
        <v>11</v>
      </c>
      <c r="F172">
        <v>2018</v>
      </c>
      <c r="G172" t="s">
        <v>8</v>
      </c>
      <c r="I172" t="str">
        <v/>
      </c>
    </row>
    <row r="173" spans="1:9" hidden="1" x14ac:dyDescent="0.25">
      <c r="A173" t="s">
        <v>225</v>
      </c>
      <c r="B173" t="s">
        <v>226</v>
      </c>
      <c r="C173">
        <v>4.3</v>
      </c>
      <c r="D173">
        <v>5272</v>
      </c>
      <c r="E173">
        <v>16</v>
      </c>
      <c r="F173">
        <v>2019</v>
      </c>
      <c r="G173" t="s">
        <v>8</v>
      </c>
      <c r="I173" t="str">
        <v/>
      </c>
    </row>
    <row r="174" spans="1:9" hidden="1" x14ac:dyDescent="0.25">
      <c r="A174" t="s">
        <v>227</v>
      </c>
      <c r="B174" t="s">
        <v>228</v>
      </c>
      <c r="C174">
        <v>4.8</v>
      </c>
      <c r="D174">
        <v>3490</v>
      </c>
      <c r="E174">
        <v>15</v>
      </c>
      <c r="F174">
        <v>2013</v>
      </c>
      <c r="G174" t="s">
        <v>8</v>
      </c>
      <c r="I174" t="str">
        <v/>
      </c>
    </row>
    <row r="175" spans="1:9" hidden="1" x14ac:dyDescent="0.25">
      <c r="A175" t="s">
        <v>227</v>
      </c>
      <c r="B175" t="s">
        <v>228</v>
      </c>
      <c r="C175">
        <v>4.8</v>
      </c>
      <c r="D175">
        <v>3490</v>
      </c>
      <c r="E175">
        <v>15</v>
      </c>
      <c r="F175">
        <v>2014</v>
      </c>
      <c r="G175" t="s">
        <v>8</v>
      </c>
      <c r="I175" t="str">
        <v/>
      </c>
    </row>
    <row r="176" spans="1:9" hidden="1" x14ac:dyDescent="0.25">
      <c r="A176" t="s">
        <v>229</v>
      </c>
      <c r="B176" t="s">
        <v>228</v>
      </c>
      <c r="C176">
        <v>4.9000000000000004</v>
      </c>
      <c r="D176">
        <v>2812</v>
      </c>
      <c r="E176">
        <v>17</v>
      </c>
      <c r="F176">
        <v>2015</v>
      </c>
      <c r="G176" t="s">
        <v>8</v>
      </c>
      <c r="I176" t="str">
        <v/>
      </c>
    </row>
    <row r="177" spans="1:9" hidden="1" x14ac:dyDescent="0.25">
      <c r="A177" t="s">
        <v>230</v>
      </c>
      <c r="B177" t="s">
        <v>231</v>
      </c>
      <c r="C177">
        <v>4.7</v>
      </c>
      <c r="D177">
        <v>4896</v>
      </c>
      <c r="E177">
        <v>17</v>
      </c>
      <c r="F177">
        <v>2013</v>
      </c>
      <c r="G177" t="s">
        <v>8</v>
      </c>
      <c r="I177" t="str">
        <v/>
      </c>
    </row>
    <row r="178" spans="1:9" hidden="1" x14ac:dyDescent="0.25">
      <c r="A178" t="s">
        <v>232</v>
      </c>
      <c r="B178" t="s">
        <v>233</v>
      </c>
      <c r="C178">
        <v>4.8</v>
      </c>
      <c r="D178">
        <v>9737</v>
      </c>
      <c r="E178">
        <v>7</v>
      </c>
      <c r="F178">
        <v>2019</v>
      </c>
      <c r="G178" t="s">
        <v>8</v>
      </c>
      <c r="I178" t="str">
        <v/>
      </c>
    </row>
    <row r="179" spans="1:9" hidden="1" x14ac:dyDescent="0.25">
      <c r="A179" t="s">
        <v>234</v>
      </c>
      <c r="B179" t="s">
        <v>235</v>
      </c>
      <c r="C179">
        <v>4.5999999999999996</v>
      </c>
      <c r="D179">
        <v>1320</v>
      </c>
      <c r="E179">
        <v>7</v>
      </c>
      <c r="F179">
        <v>2009</v>
      </c>
      <c r="G179" t="s">
        <v>10</v>
      </c>
      <c r="I179" t="str">
        <v/>
      </c>
    </row>
    <row r="180" spans="1:9" hidden="1" x14ac:dyDescent="0.25">
      <c r="A180" t="s">
        <v>236</v>
      </c>
      <c r="B180" t="s">
        <v>237</v>
      </c>
      <c r="C180">
        <v>4.8</v>
      </c>
      <c r="D180">
        <v>16643</v>
      </c>
      <c r="E180">
        <v>4</v>
      </c>
      <c r="F180">
        <v>2017</v>
      </c>
      <c r="G180" t="s">
        <v>10</v>
      </c>
      <c r="I180" t="str">
        <v/>
      </c>
    </row>
    <row r="181" spans="1:9" hidden="1" x14ac:dyDescent="0.25">
      <c r="A181" t="s">
        <v>236</v>
      </c>
      <c r="B181" t="s">
        <v>237</v>
      </c>
      <c r="C181">
        <v>4.8</v>
      </c>
      <c r="D181">
        <v>16643</v>
      </c>
      <c r="E181">
        <v>4</v>
      </c>
      <c r="F181">
        <v>2019</v>
      </c>
      <c r="G181" t="s">
        <v>10</v>
      </c>
      <c r="I181" t="str">
        <v/>
      </c>
    </row>
    <row r="182" spans="1:9" hidden="1" x14ac:dyDescent="0.25">
      <c r="A182" t="s">
        <v>238</v>
      </c>
      <c r="B182" t="s">
        <v>239</v>
      </c>
      <c r="C182">
        <v>4.3</v>
      </c>
      <c r="D182">
        <v>7153</v>
      </c>
      <c r="E182">
        <v>9</v>
      </c>
      <c r="F182">
        <v>2014</v>
      </c>
      <c r="G182" t="s">
        <v>10</v>
      </c>
      <c r="I182" t="str">
        <v/>
      </c>
    </row>
    <row r="183" spans="1:9" hidden="1" x14ac:dyDescent="0.25">
      <c r="A183" t="s">
        <v>240</v>
      </c>
      <c r="B183" t="s">
        <v>241</v>
      </c>
      <c r="C183">
        <v>4.4000000000000004</v>
      </c>
      <c r="D183">
        <v>4571</v>
      </c>
      <c r="E183">
        <v>21</v>
      </c>
      <c r="F183">
        <v>2011</v>
      </c>
      <c r="G183" t="s">
        <v>8</v>
      </c>
      <c r="I183" t="str">
        <v/>
      </c>
    </row>
    <row r="184" spans="1:9" hidden="1" x14ac:dyDescent="0.25">
      <c r="A184" t="s">
        <v>242</v>
      </c>
      <c r="B184" t="s">
        <v>243</v>
      </c>
      <c r="C184">
        <v>4.0999999999999996</v>
      </c>
      <c r="D184">
        <v>29651</v>
      </c>
      <c r="E184">
        <v>14</v>
      </c>
      <c r="F184">
        <v>2013</v>
      </c>
      <c r="G184" t="s">
        <v>10</v>
      </c>
      <c r="I184" t="str">
        <v/>
      </c>
    </row>
    <row r="185" spans="1:9" hidden="1" x14ac:dyDescent="0.25">
      <c r="A185" t="s">
        <v>244</v>
      </c>
      <c r="B185" t="s">
        <v>245</v>
      </c>
      <c r="C185">
        <v>4.5999999999999996</v>
      </c>
      <c r="D185">
        <v>5299</v>
      </c>
      <c r="E185">
        <v>20</v>
      </c>
      <c r="F185">
        <v>2011</v>
      </c>
      <c r="G185" t="s">
        <v>10</v>
      </c>
      <c r="I185" t="str">
        <v/>
      </c>
    </row>
    <row r="186" spans="1:9" hidden="1" x14ac:dyDescent="0.25">
      <c r="A186" t="s">
        <v>246</v>
      </c>
      <c r="B186" t="s">
        <v>247</v>
      </c>
      <c r="C186">
        <v>4.4000000000000004</v>
      </c>
      <c r="D186">
        <v>7396</v>
      </c>
      <c r="E186">
        <v>13</v>
      </c>
      <c r="F186">
        <v>2019</v>
      </c>
      <c r="G186" t="s">
        <v>8</v>
      </c>
      <c r="I186" t="str">
        <v/>
      </c>
    </row>
    <row r="187" spans="1:9" hidden="1" x14ac:dyDescent="0.25">
      <c r="A187" t="s">
        <v>246</v>
      </c>
      <c r="B187" t="s">
        <v>247</v>
      </c>
      <c r="C187">
        <v>4.4000000000000004</v>
      </c>
      <c r="D187">
        <v>7396</v>
      </c>
      <c r="E187">
        <v>13</v>
      </c>
      <c r="F187">
        <v>2018</v>
      </c>
      <c r="G187" t="s">
        <v>8</v>
      </c>
      <c r="I187" t="str">
        <v/>
      </c>
    </row>
    <row r="188" spans="1:9" hidden="1" x14ac:dyDescent="0.25">
      <c r="A188" t="s">
        <v>248</v>
      </c>
      <c r="B188" t="s">
        <v>249</v>
      </c>
      <c r="C188">
        <v>4.8</v>
      </c>
      <c r="D188">
        <v>7062</v>
      </c>
      <c r="E188">
        <v>12</v>
      </c>
      <c r="F188">
        <v>2019</v>
      </c>
      <c r="G188" t="s">
        <v>8</v>
      </c>
      <c r="I188" t="str">
        <v/>
      </c>
    </row>
    <row r="189" spans="1:9" hidden="1" x14ac:dyDescent="0.25">
      <c r="A189" t="s">
        <v>250</v>
      </c>
      <c r="B189" t="s">
        <v>251</v>
      </c>
      <c r="C189">
        <v>4.9000000000000004</v>
      </c>
      <c r="D189">
        <v>19576</v>
      </c>
      <c r="E189">
        <v>8</v>
      </c>
      <c r="F189">
        <v>2011</v>
      </c>
      <c r="G189" t="s">
        <v>8</v>
      </c>
      <c r="I189" t="str">
        <v/>
      </c>
    </row>
    <row r="190" spans="1:9" hidden="1" x14ac:dyDescent="0.25">
      <c r="A190" t="s">
        <v>250</v>
      </c>
      <c r="B190" t="s">
        <v>251</v>
      </c>
      <c r="C190">
        <v>4.9000000000000004</v>
      </c>
      <c r="D190">
        <v>19576</v>
      </c>
      <c r="E190">
        <v>8</v>
      </c>
      <c r="F190">
        <v>2012</v>
      </c>
      <c r="G190" t="s">
        <v>8</v>
      </c>
      <c r="I190" t="str">
        <v/>
      </c>
    </row>
    <row r="191" spans="1:9" hidden="1" x14ac:dyDescent="0.25">
      <c r="A191" t="s">
        <v>250</v>
      </c>
      <c r="B191" t="s">
        <v>251</v>
      </c>
      <c r="C191">
        <v>4.9000000000000004</v>
      </c>
      <c r="D191">
        <v>19576</v>
      </c>
      <c r="E191">
        <v>8</v>
      </c>
      <c r="F191">
        <v>2013</v>
      </c>
      <c r="G191" t="s">
        <v>8</v>
      </c>
      <c r="I191" t="str">
        <v/>
      </c>
    </row>
    <row r="192" spans="1:9" hidden="1" x14ac:dyDescent="0.25">
      <c r="A192" t="s">
        <v>250</v>
      </c>
      <c r="B192" t="s">
        <v>251</v>
      </c>
      <c r="C192">
        <v>4.9000000000000004</v>
      </c>
      <c r="D192">
        <v>19576</v>
      </c>
      <c r="E192">
        <v>8</v>
      </c>
      <c r="F192">
        <v>2014</v>
      </c>
      <c r="G192" t="s">
        <v>8</v>
      </c>
      <c r="I192" t="str">
        <v/>
      </c>
    </row>
    <row r="193" spans="1:9" hidden="1" x14ac:dyDescent="0.25">
      <c r="A193" t="s">
        <v>250</v>
      </c>
      <c r="B193" t="s">
        <v>251</v>
      </c>
      <c r="C193">
        <v>4.9000000000000004</v>
      </c>
      <c r="D193">
        <v>19576</v>
      </c>
      <c r="E193">
        <v>8</v>
      </c>
      <c r="F193">
        <v>2015</v>
      </c>
      <c r="G193" t="s">
        <v>8</v>
      </c>
      <c r="I193" t="str">
        <v/>
      </c>
    </row>
    <row r="194" spans="1:9" hidden="1" x14ac:dyDescent="0.25">
      <c r="A194" t="s">
        <v>250</v>
      </c>
      <c r="B194" t="s">
        <v>251</v>
      </c>
      <c r="C194">
        <v>4.9000000000000004</v>
      </c>
      <c r="D194">
        <v>19576</v>
      </c>
      <c r="E194">
        <v>8</v>
      </c>
      <c r="F194">
        <v>2016</v>
      </c>
      <c r="G194" t="s">
        <v>8</v>
      </c>
      <c r="I194" t="str">
        <v/>
      </c>
    </row>
    <row r="195" spans="1:9" hidden="1" x14ac:dyDescent="0.25">
      <c r="A195" t="s">
        <v>252</v>
      </c>
      <c r="B195" t="s">
        <v>166</v>
      </c>
      <c r="C195">
        <v>4.5999999999999996</v>
      </c>
      <c r="D195">
        <v>978</v>
      </c>
      <c r="E195">
        <v>0</v>
      </c>
      <c r="F195">
        <v>2014</v>
      </c>
      <c r="G195" t="s">
        <v>10</v>
      </c>
      <c r="I195" t="str">
        <v/>
      </c>
    </row>
    <row r="196" spans="1:9" hidden="1" x14ac:dyDescent="0.25">
      <c r="A196" t="s">
        <v>253</v>
      </c>
      <c r="B196" t="s">
        <v>9</v>
      </c>
      <c r="C196">
        <v>4.5</v>
      </c>
      <c r="D196">
        <v>4748</v>
      </c>
      <c r="E196">
        <v>12</v>
      </c>
      <c r="F196">
        <v>2013</v>
      </c>
      <c r="G196" t="s">
        <v>10</v>
      </c>
      <c r="I196" t="str">
        <v/>
      </c>
    </row>
    <row r="197" spans="1:9" hidden="1" x14ac:dyDescent="0.25">
      <c r="A197" t="s">
        <v>254</v>
      </c>
      <c r="B197" t="s">
        <v>255</v>
      </c>
      <c r="C197">
        <v>4.5999999999999996</v>
      </c>
      <c r="D197">
        <v>8393</v>
      </c>
      <c r="E197">
        <v>17</v>
      </c>
      <c r="F197">
        <v>2017</v>
      </c>
      <c r="G197" t="s">
        <v>8</v>
      </c>
      <c r="I197" t="str">
        <v/>
      </c>
    </row>
    <row r="198" spans="1:9" hidden="1" x14ac:dyDescent="0.25">
      <c r="A198" t="s">
        <v>256</v>
      </c>
      <c r="B198" t="s">
        <v>257</v>
      </c>
      <c r="C198">
        <v>4.5</v>
      </c>
      <c r="D198">
        <v>11391</v>
      </c>
      <c r="E198">
        <v>12</v>
      </c>
      <c r="F198">
        <v>2013</v>
      </c>
      <c r="G198" t="s">
        <v>8</v>
      </c>
      <c r="I198" t="str">
        <v/>
      </c>
    </row>
    <row r="199" spans="1:9" hidden="1" x14ac:dyDescent="0.25">
      <c r="A199" t="s">
        <v>258</v>
      </c>
      <c r="B199" t="s">
        <v>257</v>
      </c>
      <c r="C199">
        <v>4.5999999999999996</v>
      </c>
      <c r="D199">
        <v>8634</v>
      </c>
      <c r="E199">
        <v>25</v>
      </c>
      <c r="F199">
        <v>2012</v>
      </c>
      <c r="G199" t="s">
        <v>8</v>
      </c>
      <c r="I199" t="str">
        <v/>
      </c>
    </row>
    <row r="200" spans="1:9" hidden="1" x14ac:dyDescent="0.25">
      <c r="A200" t="s">
        <v>259</v>
      </c>
      <c r="B200" t="s">
        <v>257</v>
      </c>
      <c r="C200">
        <v>4.7</v>
      </c>
      <c r="D200">
        <v>9342</v>
      </c>
      <c r="E200">
        <v>10</v>
      </c>
      <c r="F200">
        <v>2011</v>
      </c>
      <c r="G200" t="s">
        <v>8</v>
      </c>
      <c r="I200" t="str">
        <v/>
      </c>
    </row>
    <row r="201" spans="1:9" hidden="1" x14ac:dyDescent="0.25">
      <c r="A201" t="s">
        <v>259</v>
      </c>
      <c r="B201" t="s">
        <v>257</v>
      </c>
      <c r="C201">
        <v>4.7</v>
      </c>
      <c r="D201">
        <v>9342</v>
      </c>
      <c r="E201">
        <v>10</v>
      </c>
      <c r="F201">
        <v>2012</v>
      </c>
      <c r="G201" t="s">
        <v>8</v>
      </c>
      <c r="I201" t="str">
        <v/>
      </c>
    </row>
    <row r="202" spans="1:9" hidden="1" x14ac:dyDescent="0.25">
      <c r="A202" t="s">
        <v>260</v>
      </c>
      <c r="B202" t="s">
        <v>257</v>
      </c>
      <c r="C202">
        <v>4.5999999999999996</v>
      </c>
      <c r="D202">
        <v>10927</v>
      </c>
      <c r="E202">
        <v>6</v>
      </c>
      <c r="F202">
        <v>2014</v>
      </c>
      <c r="G202" t="s">
        <v>8</v>
      </c>
      <c r="I202" t="str">
        <v/>
      </c>
    </row>
    <row r="203" spans="1:9" hidden="1" x14ac:dyDescent="0.25">
      <c r="A203" t="s">
        <v>261</v>
      </c>
      <c r="B203" t="s">
        <v>257</v>
      </c>
      <c r="C203">
        <v>4.5999999999999996</v>
      </c>
      <c r="D203">
        <v>5235</v>
      </c>
      <c r="E203">
        <v>5</v>
      </c>
      <c r="F203">
        <v>2015</v>
      </c>
      <c r="G203" t="s">
        <v>8</v>
      </c>
      <c r="I203" t="str">
        <v/>
      </c>
    </row>
    <row r="204" spans="1:9" hidden="1" x14ac:dyDescent="0.25">
      <c r="A204" t="s">
        <v>262</v>
      </c>
      <c r="B204" t="s">
        <v>257</v>
      </c>
      <c r="C204">
        <v>4.8</v>
      </c>
      <c r="D204">
        <v>8916</v>
      </c>
      <c r="E204">
        <v>6</v>
      </c>
      <c r="F204">
        <v>2016</v>
      </c>
      <c r="G204" t="s">
        <v>8</v>
      </c>
      <c r="I204" t="str">
        <v/>
      </c>
    </row>
    <row r="205" spans="1:9" hidden="1" x14ac:dyDescent="0.25">
      <c r="A205" t="s">
        <v>263</v>
      </c>
      <c r="B205" t="s">
        <v>264</v>
      </c>
      <c r="C205">
        <v>4.8</v>
      </c>
      <c r="D205">
        <v>2507</v>
      </c>
      <c r="E205">
        <v>8</v>
      </c>
      <c r="F205">
        <v>2018</v>
      </c>
      <c r="G205" t="s">
        <v>8</v>
      </c>
      <c r="I205" t="str">
        <v/>
      </c>
    </row>
    <row r="206" spans="1:9" hidden="1" x14ac:dyDescent="0.25">
      <c r="A206" t="s">
        <v>265</v>
      </c>
      <c r="B206" t="s">
        <v>266</v>
      </c>
      <c r="C206">
        <v>4.5</v>
      </c>
      <c r="D206">
        <v>3673</v>
      </c>
      <c r="E206">
        <v>4</v>
      </c>
      <c r="F206">
        <v>2013</v>
      </c>
      <c r="G206" t="s">
        <v>8</v>
      </c>
      <c r="I206" t="str">
        <v/>
      </c>
    </row>
    <row r="207" spans="1:9" hidden="1" x14ac:dyDescent="0.25">
      <c r="A207" t="s">
        <v>265</v>
      </c>
      <c r="B207" t="s">
        <v>266</v>
      </c>
      <c r="C207">
        <v>4.5</v>
      </c>
      <c r="D207">
        <v>3673</v>
      </c>
      <c r="E207">
        <v>4</v>
      </c>
      <c r="F207">
        <v>2014</v>
      </c>
      <c r="G207" t="s">
        <v>8</v>
      </c>
      <c r="I207" t="str">
        <v/>
      </c>
    </row>
    <row r="208" spans="1:9" hidden="1" x14ac:dyDescent="0.25">
      <c r="A208" t="s">
        <v>265</v>
      </c>
      <c r="B208" t="s">
        <v>266</v>
      </c>
      <c r="C208">
        <v>4.5</v>
      </c>
      <c r="D208">
        <v>3673</v>
      </c>
      <c r="E208">
        <v>4</v>
      </c>
      <c r="F208">
        <v>2015</v>
      </c>
      <c r="G208" t="s">
        <v>8</v>
      </c>
      <c r="I208" t="str">
        <v/>
      </c>
    </row>
    <row r="209" spans="1:9" hidden="1" x14ac:dyDescent="0.25">
      <c r="A209" t="s">
        <v>267</v>
      </c>
      <c r="B209" t="s">
        <v>268</v>
      </c>
      <c r="C209">
        <v>4.9000000000000004</v>
      </c>
      <c r="D209">
        <v>11881</v>
      </c>
      <c r="E209">
        <v>13</v>
      </c>
      <c r="F209">
        <v>2018</v>
      </c>
      <c r="G209" t="s">
        <v>10</v>
      </c>
      <c r="I209" t="str">
        <v/>
      </c>
    </row>
    <row r="210" spans="1:9" hidden="1" x14ac:dyDescent="0.25">
      <c r="A210" t="s">
        <v>269</v>
      </c>
      <c r="B210" t="s">
        <v>266</v>
      </c>
      <c r="C210">
        <v>4.5999999999999996</v>
      </c>
      <c r="D210">
        <v>6990</v>
      </c>
      <c r="E210">
        <v>4</v>
      </c>
      <c r="F210">
        <v>2013</v>
      </c>
      <c r="G210" t="s">
        <v>8</v>
      </c>
      <c r="I210" t="str">
        <v/>
      </c>
    </row>
    <row r="211" spans="1:9" hidden="1" x14ac:dyDescent="0.25">
      <c r="A211" t="s">
        <v>269</v>
      </c>
      <c r="B211" t="s">
        <v>266</v>
      </c>
      <c r="C211">
        <v>4.5999999999999996</v>
      </c>
      <c r="D211">
        <v>6990</v>
      </c>
      <c r="E211">
        <v>4</v>
      </c>
      <c r="F211">
        <v>2014</v>
      </c>
      <c r="G211" t="s">
        <v>8</v>
      </c>
      <c r="I211" t="str">
        <v/>
      </c>
    </row>
    <row r="212" spans="1:9" hidden="1" x14ac:dyDescent="0.25">
      <c r="A212" t="s">
        <v>269</v>
      </c>
      <c r="B212" t="s">
        <v>266</v>
      </c>
      <c r="C212">
        <v>4.5999999999999996</v>
      </c>
      <c r="D212">
        <v>6990</v>
      </c>
      <c r="E212">
        <v>4</v>
      </c>
      <c r="F212">
        <v>2015</v>
      </c>
      <c r="G212" t="s">
        <v>8</v>
      </c>
      <c r="I212" t="str">
        <v/>
      </c>
    </row>
    <row r="213" spans="1:9" hidden="1" x14ac:dyDescent="0.25">
      <c r="A213" t="s">
        <v>269</v>
      </c>
      <c r="B213" t="s">
        <v>266</v>
      </c>
      <c r="C213">
        <v>4.5999999999999996</v>
      </c>
      <c r="D213">
        <v>6990</v>
      </c>
      <c r="E213">
        <v>4</v>
      </c>
      <c r="F213">
        <v>2016</v>
      </c>
      <c r="G213" t="s">
        <v>8</v>
      </c>
      <c r="I213" t="str">
        <v/>
      </c>
    </row>
    <row r="214" spans="1:9" hidden="1" x14ac:dyDescent="0.25">
      <c r="A214" t="s">
        <v>269</v>
      </c>
      <c r="B214" t="s">
        <v>266</v>
      </c>
      <c r="C214">
        <v>4.5999999999999996</v>
      </c>
      <c r="D214">
        <v>6990</v>
      </c>
      <c r="E214">
        <v>4</v>
      </c>
      <c r="F214">
        <v>2017</v>
      </c>
      <c r="G214" t="s">
        <v>8</v>
      </c>
      <c r="I214" t="str">
        <v/>
      </c>
    </row>
    <row r="215" spans="1:9" hidden="1" x14ac:dyDescent="0.25">
      <c r="A215" t="s">
        <v>270</v>
      </c>
      <c r="B215" t="s">
        <v>271</v>
      </c>
      <c r="C215">
        <v>4.5</v>
      </c>
      <c r="D215">
        <v>6132</v>
      </c>
      <c r="E215">
        <v>13</v>
      </c>
      <c r="F215">
        <v>2013</v>
      </c>
      <c r="G215" t="s">
        <v>8</v>
      </c>
      <c r="I215" t="str">
        <v/>
      </c>
    </row>
    <row r="216" spans="1:9" hidden="1" x14ac:dyDescent="0.25">
      <c r="A216" t="s">
        <v>272</v>
      </c>
      <c r="B216" t="s">
        <v>273</v>
      </c>
      <c r="C216">
        <v>4.5</v>
      </c>
      <c r="D216">
        <v>3014</v>
      </c>
      <c r="E216">
        <v>21</v>
      </c>
      <c r="F216">
        <v>2017</v>
      </c>
      <c r="G216" t="s">
        <v>8</v>
      </c>
      <c r="I216" t="str">
        <v/>
      </c>
    </row>
    <row r="217" spans="1:9" hidden="1" x14ac:dyDescent="0.25">
      <c r="A217" t="s">
        <v>274</v>
      </c>
      <c r="B217" t="s">
        <v>275</v>
      </c>
      <c r="C217">
        <v>4.4000000000000004</v>
      </c>
      <c r="D217">
        <v>7550</v>
      </c>
      <c r="E217">
        <v>6</v>
      </c>
      <c r="F217">
        <v>2018</v>
      </c>
      <c r="G217" t="s">
        <v>8</v>
      </c>
      <c r="I217" t="str">
        <v/>
      </c>
    </row>
    <row r="218" spans="1:9" hidden="1" x14ac:dyDescent="0.25">
      <c r="A218" t="s">
        <v>276</v>
      </c>
      <c r="B218" t="s">
        <v>277</v>
      </c>
      <c r="C218">
        <v>4.8</v>
      </c>
      <c r="D218">
        <v>3828</v>
      </c>
      <c r="E218">
        <v>15</v>
      </c>
      <c r="F218">
        <v>2009</v>
      </c>
      <c r="G218" t="s">
        <v>8</v>
      </c>
      <c r="I218" t="str">
        <v/>
      </c>
    </row>
    <row r="219" spans="1:9" hidden="1" x14ac:dyDescent="0.25">
      <c r="A219" t="s">
        <v>278</v>
      </c>
      <c r="B219" t="s">
        <v>279</v>
      </c>
      <c r="C219">
        <v>4.5</v>
      </c>
      <c r="D219">
        <v>2752</v>
      </c>
      <c r="E219">
        <v>18</v>
      </c>
      <c r="F219">
        <v>2010</v>
      </c>
      <c r="G219" t="s">
        <v>8</v>
      </c>
      <c r="I219" t="str">
        <v/>
      </c>
    </row>
    <row r="220" spans="1:9" hidden="1" x14ac:dyDescent="0.25">
      <c r="A220" t="s">
        <v>280</v>
      </c>
      <c r="B220" t="s">
        <v>281</v>
      </c>
      <c r="C220">
        <v>4.0999999999999996</v>
      </c>
      <c r="D220">
        <v>1467</v>
      </c>
      <c r="E220">
        <v>10</v>
      </c>
      <c r="F220">
        <v>2010</v>
      </c>
      <c r="G220" t="s">
        <v>10</v>
      </c>
      <c r="I220" t="str">
        <v/>
      </c>
    </row>
    <row r="221" spans="1:9" hidden="1" x14ac:dyDescent="0.25">
      <c r="A221" t="s">
        <v>282</v>
      </c>
      <c r="B221" t="s">
        <v>283</v>
      </c>
      <c r="C221">
        <v>4.9000000000000004</v>
      </c>
      <c r="D221">
        <v>1884</v>
      </c>
      <c r="E221">
        <v>0</v>
      </c>
      <c r="F221">
        <v>2014</v>
      </c>
      <c r="G221" t="s">
        <v>10</v>
      </c>
      <c r="I221" t="str">
        <v/>
      </c>
    </row>
    <row r="222" spans="1:9" hidden="1" x14ac:dyDescent="0.25">
      <c r="A222" t="s">
        <v>284</v>
      </c>
      <c r="B222" t="s">
        <v>285</v>
      </c>
      <c r="C222">
        <v>4.5</v>
      </c>
      <c r="D222">
        <v>25706</v>
      </c>
      <c r="E222">
        <v>12</v>
      </c>
      <c r="F222">
        <v>2018</v>
      </c>
      <c r="G222" t="s">
        <v>10</v>
      </c>
      <c r="I222" t="str">
        <v/>
      </c>
    </row>
    <row r="223" spans="1:9" hidden="1" x14ac:dyDescent="0.25">
      <c r="A223" t="s">
        <v>286</v>
      </c>
      <c r="B223" t="s">
        <v>287</v>
      </c>
      <c r="C223">
        <v>4.5</v>
      </c>
      <c r="D223">
        <v>8491</v>
      </c>
      <c r="E223">
        <v>7</v>
      </c>
      <c r="F223">
        <v>2014</v>
      </c>
      <c r="G223" t="s">
        <v>10</v>
      </c>
      <c r="I223" t="str">
        <v/>
      </c>
    </row>
    <row r="224" spans="1:9" hidden="1" x14ac:dyDescent="0.25">
      <c r="A224" t="s">
        <v>288</v>
      </c>
      <c r="B224" t="s">
        <v>289</v>
      </c>
      <c r="C224">
        <v>4.2</v>
      </c>
      <c r="D224">
        <v>1649</v>
      </c>
      <c r="E224">
        <v>13</v>
      </c>
      <c r="F224">
        <v>2011</v>
      </c>
      <c r="G224" t="s">
        <v>8</v>
      </c>
      <c r="I224" t="str">
        <v/>
      </c>
    </row>
    <row r="225" spans="1:9" hidden="1" x14ac:dyDescent="0.25">
      <c r="A225" t="s">
        <v>290</v>
      </c>
      <c r="B225" t="s">
        <v>291</v>
      </c>
      <c r="C225">
        <v>4.8</v>
      </c>
      <c r="D225">
        <v>18613</v>
      </c>
      <c r="E225">
        <v>5</v>
      </c>
      <c r="F225">
        <v>2014</v>
      </c>
      <c r="G225" t="s">
        <v>10</v>
      </c>
      <c r="I225" t="str">
        <v/>
      </c>
    </row>
    <row r="226" spans="1:9" hidden="1" x14ac:dyDescent="0.25">
      <c r="A226" t="s">
        <v>290</v>
      </c>
      <c r="B226" t="s">
        <v>291</v>
      </c>
      <c r="C226">
        <v>4.8</v>
      </c>
      <c r="D226">
        <v>18613</v>
      </c>
      <c r="E226">
        <v>5</v>
      </c>
      <c r="F226">
        <v>2015</v>
      </c>
      <c r="G226" t="s">
        <v>10</v>
      </c>
      <c r="I226" t="str">
        <v/>
      </c>
    </row>
    <row r="227" spans="1:9" hidden="1" x14ac:dyDescent="0.25">
      <c r="A227" t="s">
        <v>292</v>
      </c>
      <c r="B227" t="s">
        <v>222</v>
      </c>
      <c r="C227">
        <v>4.8</v>
      </c>
      <c r="D227">
        <v>9867</v>
      </c>
      <c r="E227">
        <v>16</v>
      </c>
      <c r="F227">
        <v>2018</v>
      </c>
      <c r="G227" t="s">
        <v>8</v>
      </c>
      <c r="I227" t="str">
        <v/>
      </c>
    </row>
    <row r="228" spans="1:9" hidden="1" x14ac:dyDescent="0.25">
      <c r="A228" t="s">
        <v>293</v>
      </c>
      <c r="B228" t="s">
        <v>62</v>
      </c>
      <c r="C228">
        <v>4.5</v>
      </c>
      <c r="D228">
        <v>1386</v>
      </c>
      <c r="E228">
        <v>20</v>
      </c>
      <c r="F228">
        <v>2014</v>
      </c>
      <c r="G228" t="s">
        <v>8</v>
      </c>
      <c r="I228" t="str">
        <v/>
      </c>
    </row>
    <row r="229" spans="1:9" hidden="1" x14ac:dyDescent="0.25">
      <c r="A229" t="s">
        <v>294</v>
      </c>
      <c r="B229" t="s">
        <v>295</v>
      </c>
      <c r="C229">
        <v>4.7</v>
      </c>
      <c r="D229">
        <v>10199</v>
      </c>
      <c r="E229">
        <v>11</v>
      </c>
      <c r="F229">
        <v>2017</v>
      </c>
      <c r="G229" t="s">
        <v>8</v>
      </c>
      <c r="I229" t="str">
        <v/>
      </c>
    </row>
    <row r="230" spans="1:9" hidden="1" x14ac:dyDescent="0.25">
      <c r="A230" t="s">
        <v>296</v>
      </c>
      <c r="B230" t="s">
        <v>297</v>
      </c>
      <c r="C230">
        <v>4.8</v>
      </c>
      <c r="D230">
        <v>2926</v>
      </c>
      <c r="E230">
        <v>27</v>
      </c>
      <c r="F230">
        <v>2009</v>
      </c>
      <c r="G230" t="s">
        <v>8</v>
      </c>
      <c r="I230" t="str">
        <v/>
      </c>
    </row>
    <row r="231" spans="1:9" hidden="1" x14ac:dyDescent="0.25">
      <c r="A231" t="s">
        <v>298</v>
      </c>
      <c r="B231" t="s">
        <v>299</v>
      </c>
      <c r="C231">
        <v>4.7</v>
      </c>
      <c r="D231">
        <v>17739</v>
      </c>
      <c r="E231">
        <v>8</v>
      </c>
      <c r="F231">
        <v>2016</v>
      </c>
      <c r="G231" t="s">
        <v>8</v>
      </c>
      <c r="I231" t="str">
        <v/>
      </c>
    </row>
    <row r="232" spans="1:9" hidden="1" x14ac:dyDescent="0.25">
      <c r="A232" t="s">
        <v>298</v>
      </c>
      <c r="B232" t="s">
        <v>299</v>
      </c>
      <c r="C232">
        <v>4.7</v>
      </c>
      <c r="D232">
        <v>17739</v>
      </c>
      <c r="E232">
        <v>8</v>
      </c>
      <c r="F232">
        <v>2017</v>
      </c>
      <c r="G232" t="s">
        <v>8</v>
      </c>
      <c r="I232" t="str">
        <v/>
      </c>
    </row>
    <row r="233" spans="1:9" hidden="1" x14ac:dyDescent="0.25">
      <c r="A233" t="s">
        <v>298</v>
      </c>
      <c r="B233" t="s">
        <v>299</v>
      </c>
      <c r="C233">
        <v>4.7</v>
      </c>
      <c r="D233">
        <v>17739</v>
      </c>
      <c r="E233">
        <v>8</v>
      </c>
      <c r="F233">
        <v>2018</v>
      </c>
      <c r="G233" t="s">
        <v>8</v>
      </c>
      <c r="I233" t="str">
        <v/>
      </c>
    </row>
    <row r="234" spans="1:9" hidden="1" x14ac:dyDescent="0.25">
      <c r="A234" t="s">
        <v>300</v>
      </c>
      <c r="B234" t="s">
        <v>301</v>
      </c>
      <c r="C234">
        <v>4.4000000000000004</v>
      </c>
      <c r="D234">
        <v>3113</v>
      </c>
      <c r="E234">
        <v>6</v>
      </c>
      <c r="F234">
        <v>2017</v>
      </c>
      <c r="G234" t="s">
        <v>8</v>
      </c>
      <c r="I234" t="str">
        <v/>
      </c>
    </row>
    <row r="235" spans="1:9" hidden="1" x14ac:dyDescent="0.25">
      <c r="A235" t="s">
        <v>302</v>
      </c>
      <c r="B235" t="s">
        <v>303</v>
      </c>
      <c r="C235">
        <v>4.5999999999999996</v>
      </c>
      <c r="D235">
        <v>5542</v>
      </c>
      <c r="E235">
        <v>10</v>
      </c>
      <c r="F235">
        <v>2014</v>
      </c>
      <c r="G235" t="s">
        <v>8</v>
      </c>
      <c r="I235" t="str">
        <v/>
      </c>
    </row>
    <row r="236" spans="1:9" hidden="1" x14ac:dyDescent="0.25">
      <c r="A236" t="s">
        <v>302</v>
      </c>
      <c r="B236" t="s">
        <v>303</v>
      </c>
      <c r="C236">
        <v>4.5999999999999996</v>
      </c>
      <c r="D236">
        <v>5542</v>
      </c>
      <c r="E236">
        <v>10</v>
      </c>
      <c r="F236">
        <v>2015</v>
      </c>
      <c r="G236" t="s">
        <v>8</v>
      </c>
      <c r="I236" t="str">
        <v/>
      </c>
    </row>
    <row r="237" spans="1:9" hidden="1" x14ac:dyDescent="0.25">
      <c r="A237" t="s">
        <v>302</v>
      </c>
      <c r="B237" t="s">
        <v>303</v>
      </c>
      <c r="C237">
        <v>4.5999999999999996</v>
      </c>
      <c r="D237">
        <v>5542</v>
      </c>
      <c r="E237">
        <v>10</v>
      </c>
      <c r="F237">
        <v>2016</v>
      </c>
      <c r="G237" t="s">
        <v>8</v>
      </c>
      <c r="I237" t="str">
        <v/>
      </c>
    </row>
    <row r="238" spans="1:9" hidden="1" x14ac:dyDescent="0.25">
      <c r="A238" t="s">
        <v>304</v>
      </c>
      <c r="B238" t="s">
        <v>86</v>
      </c>
      <c r="C238">
        <v>4.5</v>
      </c>
      <c r="D238">
        <v>26741</v>
      </c>
      <c r="E238">
        <v>8</v>
      </c>
      <c r="F238">
        <v>2010</v>
      </c>
      <c r="G238" t="s">
        <v>10</v>
      </c>
      <c r="I238" t="str">
        <v/>
      </c>
    </row>
    <row r="239" spans="1:9" hidden="1" x14ac:dyDescent="0.25">
      <c r="A239" t="s">
        <v>304</v>
      </c>
      <c r="B239" t="s">
        <v>86</v>
      </c>
      <c r="C239">
        <v>4.5</v>
      </c>
      <c r="D239">
        <v>26741</v>
      </c>
      <c r="E239">
        <v>8</v>
      </c>
      <c r="F239">
        <v>2011</v>
      </c>
      <c r="G239" t="s">
        <v>10</v>
      </c>
      <c r="I239" t="str">
        <v/>
      </c>
    </row>
    <row r="240" spans="1:9" hidden="1" x14ac:dyDescent="0.25">
      <c r="A240" t="s">
        <v>304</v>
      </c>
      <c r="B240" t="s">
        <v>86</v>
      </c>
      <c r="C240">
        <v>4.5</v>
      </c>
      <c r="D240">
        <v>26741</v>
      </c>
      <c r="E240">
        <v>8</v>
      </c>
      <c r="F240">
        <v>2012</v>
      </c>
      <c r="G240" t="s">
        <v>10</v>
      </c>
      <c r="I240" t="str">
        <v/>
      </c>
    </row>
    <row r="241" spans="1:9" hidden="1" x14ac:dyDescent="0.25">
      <c r="A241" t="s">
        <v>305</v>
      </c>
      <c r="B241" t="s">
        <v>306</v>
      </c>
      <c r="C241">
        <v>4.8</v>
      </c>
      <c r="D241">
        <v>5347</v>
      </c>
      <c r="E241">
        <v>16</v>
      </c>
      <c r="F241">
        <v>2019</v>
      </c>
      <c r="G241" t="s">
        <v>8</v>
      </c>
      <c r="I241" t="str">
        <v/>
      </c>
    </row>
    <row r="242" spans="1:9" hidden="1" x14ac:dyDescent="0.25">
      <c r="A242" t="s">
        <v>307</v>
      </c>
      <c r="B242" t="s">
        <v>308</v>
      </c>
      <c r="C242">
        <v>4.8</v>
      </c>
      <c r="D242">
        <v>7866</v>
      </c>
      <c r="E242">
        <v>11</v>
      </c>
      <c r="F242">
        <v>2019</v>
      </c>
      <c r="G242" t="s">
        <v>8</v>
      </c>
      <c r="I242" t="str">
        <v/>
      </c>
    </row>
    <row r="243" spans="1:9" hidden="1" x14ac:dyDescent="0.25">
      <c r="A243" t="s">
        <v>309</v>
      </c>
      <c r="B243" t="s">
        <v>73</v>
      </c>
      <c r="C243">
        <v>4.5999999999999996</v>
      </c>
      <c r="D243">
        <v>5680</v>
      </c>
      <c r="E243">
        <v>10</v>
      </c>
      <c r="F243">
        <v>2009</v>
      </c>
      <c r="G243" t="s">
        <v>10</v>
      </c>
      <c r="I243" t="str">
        <v/>
      </c>
    </row>
    <row r="244" spans="1:9" hidden="1" x14ac:dyDescent="0.25">
      <c r="A244" t="s">
        <v>310</v>
      </c>
      <c r="B244" t="s">
        <v>311</v>
      </c>
      <c r="C244">
        <v>4.7</v>
      </c>
      <c r="D244">
        <v>5178</v>
      </c>
      <c r="E244">
        <v>9</v>
      </c>
      <c r="F244">
        <v>2016</v>
      </c>
      <c r="G244" t="s">
        <v>8</v>
      </c>
      <c r="I244" t="str">
        <v/>
      </c>
    </row>
    <row r="245" spans="1:9" hidden="1" x14ac:dyDescent="0.25">
      <c r="A245" t="s">
        <v>312</v>
      </c>
      <c r="B245" t="s">
        <v>313</v>
      </c>
      <c r="C245">
        <v>4.5999999999999996</v>
      </c>
      <c r="D245">
        <v>8093</v>
      </c>
      <c r="E245">
        <v>14</v>
      </c>
      <c r="F245">
        <v>2012</v>
      </c>
      <c r="G245" t="s">
        <v>8</v>
      </c>
      <c r="I245" t="str">
        <v/>
      </c>
    </row>
    <row r="246" spans="1:9" hidden="1" x14ac:dyDescent="0.25">
      <c r="A246" t="s">
        <v>314</v>
      </c>
      <c r="B246" t="s">
        <v>315</v>
      </c>
      <c r="C246">
        <v>4.9000000000000004</v>
      </c>
      <c r="D246">
        <v>3192</v>
      </c>
      <c r="E246">
        <v>22</v>
      </c>
      <c r="F246">
        <v>2017</v>
      </c>
      <c r="G246" t="s">
        <v>8</v>
      </c>
      <c r="I246" t="str">
        <v/>
      </c>
    </row>
    <row r="247" spans="1:9" hidden="1" x14ac:dyDescent="0.25">
      <c r="A247" t="s">
        <v>316</v>
      </c>
      <c r="B247" t="s">
        <v>317</v>
      </c>
      <c r="C247">
        <v>4.9000000000000004</v>
      </c>
      <c r="D247">
        <v>21834</v>
      </c>
      <c r="E247">
        <v>8</v>
      </c>
      <c r="F247">
        <v>2012</v>
      </c>
      <c r="G247" t="s">
        <v>10</v>
      </c>
      <c r="I247" t="str">
        <v/>
      </c>
    </row>
    <row r="248" spans="1:9" hidden="1" x14ac:dyDescent="0.25">
      <c r="A248" t="s">
        <v>316</v>
      </c>
      <c r="B248" t="s">
        <v>317</v>
      </c>
      <c r="C248">
        <v>4.9000000000000004</v>
      </c>
      <c r="D248">
        <v>21834</v>
      </c>
      <c r="E248">
        <v>8</v>
      </c>
      <c r="F248">
        <v>2013</v>
      </c>
      <c r="G248" t="s">
        <v>10</v>
      </c>
      <c r="I248" t="str">
        <v/>
      </c>
    </row>
    <row r="249" spans="1:9" hidden="1" x14ac:dyDescent="0.25">
      <c r="A249" t="s">
        <v>316</v>
      </c>
      <c r="B249" t="s">
        <v>317</v>
      </c>
      <c r="C249">
        <v>4.9000000000000004</v>
      </c>
      <c r="D249">
        <v>21834</v>
      </c>
      <c r="E249">
        <v>8</v>
      </c>
      <c r="F249">
        <v>2014</v>
      </c>
      <c r="G249" t="s">
        <v>10</v>
      </c>
      <c r="I249" t="str">
        <v/>
      </c>
    </row>
    <row r="250" spans="1:9" hidden="1" x14ac:dyDescent="0.25">
      <c r="A250" t="s">
        <v>316</v>
      </c>
      <c r="B250" t="s">
        <v>317</v>
      </c>
      <c r="C250">
        <v>4.9000000000000004</v>
      </c>
      <c r="D250">
        <v>21834</v>
      </c>
      <c r="E250">
        <v>8</v>
      </c>
      <c r="F250">
        <v>2015</v>
      </c>
      <c r="G250" t="s">
        <v>10</v>
      </c>
      <c r="I250" t="str">
        <v/>
      </c>
    </row>
    <row r="251" spans="1:9" hidden="1" x14ac:dyDescent="0.25">
      <c r="A251" t="s">
        <v>316</v>
      </c>
      <c r="B251" t="s">
        <v>317</v>
      </c>
      <c r="C251">
        <v>4.9000000000000004</v>
      </c>
      <c r="D251">
        <v>21834</v>
      </c>
      <c r="E251">
        <v>8</v>
      </c>
      <c r="F251">
        <v>2016</v>
      </c>
      <c r="G251" t="s">
        <v>10</v>
      </c>
      <c r="I251" t="str">
        <v/>
      </c>
    </row>
    <row r="252" spans="1:9" hidden="1" x14ac:dyDescent="0.25">
      <c r="A252" t="s">
        <v>316</v>
      </c>
      <c r="B252" t="s">
        <v>317</v>
      </c>
      <c r="C252">
        <v>4.9000000000000004</v>
      </c>
      <c r="D252">
        <v>21834</v>
      </c>
      <c r="E252">
        <v>8</v>
      </c>
      <c r="F252">
        <v>2017</v>
      </c>
      <c r="G252" t="s">
        <v>10</v>
      </c>
      <c r="I252" t="str">
        <v/>
      </c>
    </row>
    <row r="253" spans="1:9" hidden="1" x14ac:dyDescent="0.25">
      <c r="A253" t="s">
        <v>316</v>
      </c>
      <c r="B253" t="s">
        <v>317</v>
      </c>
      <c r="C253">
        <v>4.9000000000000004</v>
      </c>
      <c r="D253">
        <v>21834</v>
      </c>
      <c r="E253">
        <v>8</v>
      </c>
      <c r="F253">
        <v>2018</v>
      </c>
      <c r="G253" t="s">
        <v>10</v>
      </c>
      <c r="I253" t="str">
        <v/>
      </c>
    </row>
    <row r="254" spans="1:9" hidden="1" x14ac:dyDescent="0.25">
      <c r="A254" t="s">
        <v>316</v>
      </c>
      <c r="B254" t="s">
        <v>317</v>
      </c>
      <c r="C254">
        <v>4.9000000000000004</v>
      </c>
      <c r="D254">
        <v>21834</v>
      </c>
      <c r="E254">
        <v>8</v>
      </c>
      <c r="F254">
        <v>2019</v>
      </c>
      <c r="G254" t="s">
        <v>10</v>
      </c>
      <c r="I254" t="str">
        <v/>
      </c>
    </row>
    <row r="255" spans="1:9" hidden="1" x14ac:dyDescent="0.25">
      <c r="A255" t="s">
        <v>318</v>
      </c>
      <c r="B255" t="s">
        <v>78</v>
      </c>
      <c r="C255">
        <v>4.8</v>
      </c>
      <c r="D255">
        <v>6169</v>
      </c>
      <c r="E255">
        <v>7</v>
      </c>
      <c r="F255">
        <v>2015</v>
      </c>
      <c r="G255" t="s">
        <v>10</v>
      </c>
      <c r="I255" t="str">
        <v/>
      </c>
    </row>
    <row r="256" spans="1:9" hidden="1" x14ac:dyDescent="0.25">
      <c r="A256" t="s">
        <v>319</v>
      </c>
      <c r="B256" t="s">
        <v>320</v>
      </c>
      <c r="C256">
        <v>4.2</v>
      </c>
      <c r="D256">
        <v>4519</v>
      </c>
      <c r="E256">
        <v>12</v>
      </c>
      <c r="F256">
        <v>2009</v>
      </c>
      <c r="G256" t="s">
        <v>10</v>
      </c>
      <c r="I256" t="str">
        <v/>
      </c>
    </row>
    <row r="257" spans="1:9" hidden="1" x14ac:dyDescent="0.25">
      <c r="A257" t="s">
        <v>321</v>
      </c>
      <c r="B257" t="s">
        <v>322</v>
      </c>
      <c r="C257">
        <v>4.5999999999999996</v>
      </c>
      <c r="D257">
        <v>3163</v>
      </c>
      <c r="E257">
        <v>13</v>
      </c>
      <c r="F257">
        <v>2011</v>
      </c>
      <c r="G257" t="s">
        <v>8</v>
      </c>
      <c r="I257" t="str">
        <v/>
      </c>
    </row>
    <row r="258" spans="1:9" hidden="1" x14ac:dyDescent="0.25">
      <c r="A258" t="s">
        <v>321</v>
      </c>
      <c r="B258" t="s">
        <v>322</v>
      </c>
      <c r="C258">
        <v>4.5999999999999996</v>
      </c>
      <c r="D258">
        <v>3163</v>
      </c>
      <c r="E258">
        <v>13</v>
      </c>
      <c r="F258">
        <v>2012</v>
      </c>
      <c r="G258" t="s">
        <v>8</v>
      </c>
      <c r="I258" t="str">
        <v/>
      </c>
    </row>
    <row r="259" spans="1:9" hidden="1" x14ac:dyDescent="0.25">
      <c r="A259" t="s">
        <v>323</v>
      </c>
      <c r="B259" t="s">
        <v>271</v>
      </c>
      <c r="C259">
        <v>4.5</v>
      </c>
      <c r="D259">
        <v>1831</v>
      </c>
      <c r="E259">
        <v>9</v>
      </c>
      <c r="F259">
        <v>2017</v>
      </c>
      <c r="G259" t="s">
        <v>8</v>
      </c>
      <c r="I259" t="str">
        <v/>
      </c>
    </row>
    <row r="260" spans="1:9" hidden="1" x14ac:dyDescent="0.25">
      <c r="A260" t="s">
        <v>324</v>
      </c>
      <c r="B260" t="s">
        <v>243</v>
      </c>
      <c r="C260">
        <v>4.3</v>
      </c>
      <c r="D260">
        <v>18904</v>
      </c>
      <c r="E260">
        <v>13</v>
      </c>
      <c r="F260">
        <v>2017</v>
      </c>
      <c r="G260" t="s">
        <v>10</v>
      </c>
      <c r="I260" t="str">
        <v/>
      </c>
    </row>
    <row r="261" spans="1:9" hidden="1" x14ac:dyDescent="0.25">
      <c r="A261" t="s">
        <v>325</v>
      </c>
      <c r="B261" t="s">
        <v>326</v>
      </c>
      <c r="C261">
        <v>4.5999999999999996</v>
      </c>
      <c r="D261">
        <v>21930</v>
      </c>
      <c r="E261">
        <v>11</v>
      </c>
      <c r="F261">
        <v>2014</v>
      </c>
      <c r="G261" t="s">
        <v>10</v>
      </c>
      <c r="I261" t="str">
        <v/>
      </c>
    </row>
    <row r="262" spans="1:9" hidden="1" x14ac:dyDescent="0.25">
      <c r="A262" t="s">
        <v>327</v>
      </c>
      <c r="B262" t="s">
        <v>101</v>
      </c>
      <c r="C262">
        <v>4.5999999999999996</v>
      </c>
      <c r="D262">
        <v>10426</v>
      </c>
      <c r="E262">
        <v>20</v>
      </c>
      <c r="F262">
        <v>2009</v>
      </c>
      <c r="G262" t="s">
        <v>8</v>
      </c>
      <c r="I262" t="str">
        <v/>
      </c>
    </row>
    <row r="263" spans="1:9" hidden="1" x14ac:dyDescent="0.25">
      <c r="A263" t="s">
        <v>327</v>
      </c>
      <c r="B263" t="s">
        <v>101</v>
      </c>
      <c r="C263">
        <v>4.5999999999999996</v>
      </c>
      <c r="D263">
        <v>10426</v>
      </c>
      <c r="E263">
        <v>20</v>
      </c>
      <c r="F263">
        <v>2010</v>
      </c>
      <c r="G263" t="s">
        <v>8</v>
      </c>
      <c r="I263" t="str">
        <v/>
      </c>
    </row>
    <row r="264" spans="1:9" hidden="1" x14ac:dyDescent="0.25">
      <c r="A264" t="s">
        <v>328</v>
      </c>
      <c r="B264" t="s">
        <v>329</v>
      </c>
      <c r="C264">
        <v>4.7</v>
      </c>
      <c r="D264">
        <v>10820</v>
      </c>
      <c r="E264">
        <v>5</v>
      </c>
      <c r="F264">
        <v>2018</v>
      </c>
      <c r="G264" t="s">
        <v>8</v>
      </c>
      <c r="I264" t="str">
        <v/>
      </c>
    </row>
    <row r="265" spans="1:9" hidden="1" x14ac:dyDescent="0.25">
      <c r="A265" t="s">
        <v>328</v>
      </c>
      <c r="B265" t="s">
        <v>329</v>
      </c>
      <c r="C265">
        <v>4.7</v>
      </c>
      <c r="D265">
        <v>10820</v>
      </c>
      <c r="E265">
        <v>5</v>
      </c>
      <c r="F265">
        <v>2019</v>
      </c>
      <c r="G265" t="s">
        <v>8</v>
      </c>
      <c r="I265" t="str">
        <v/>
      </c>
    </row>
    <row r="266" spans="1:9" hidden="1" x14ac:dyDescent="0.25">
      <c r="A266" t="s">
        <v>330</v>
      </c>
      <c r="B266" t="s">
        <v>331</v>
      </c>
      <c r="C266">
        <v>4.8</v>
      </c>
      <c r="D266">
        <v>548</v>
      </c>
      <c r="E266">
        <v>2</v>
      </c>
      <c r="F266">
        <v>2010</v>
      </c>
      <c r="G266" t="s">
        <v>10</v>
      </c>
      <c r="I266" t="str">
        <v/>
      </c>
    </row>
    <row r="267" spans="1:9" hidden="1" x14ac:dyDescent="0.25">
      <c r="A267" t="s">
        <v>332</v>
      </c>
      <c r="B267" t="s">
        <v>333</v>
      </c>
      <c r="C267">
        <v>4.8</v>
      </c>
      <c r="D267">
        <v>16990</v>
      </c>
      <c r="E267">
        <v>27</v>
      </c>
      <c r="F267">
        <v>2017</v>
      </c>
      <c r="G267" t="s">
        <v>10</v>
      </c>
      <c r="I267" t="str">
        <v/>
      </c>
    </row>
    <row r="268" spans="1:9" hidden="1" x14ac:dyDescent="0.25">
      <c r="A268" t="s">
        <v>332</v>
      </c>
      <c r="B268" t="s">
        <v>333</v>
      </c>
      <c r="C268">
        <v>4.8</v>
      </c>
      <c r="D268">
        <v>16990</v>
      </c>
      <c r="E268">
        <v>27</v>
      </c>
      <c r="F268">
        <v>2018</v>
      </c>
      <c r="G268" t="s">
        <v>10</v>
      </c>
      <c r="I268" t="str">
        <v/>
      </c>
    </row>
    <row r="269" spans="1:9" hidden="1" x14ac:dyDescent="0.25">
      <c r="A269" t="s">
        <v>332</v>
      </c>
      <c r="B269" t="s">
        <v>333</v>
      </c>
      <c r="C269">
        <v>4.8</v>
      </c>
      <c r="D269">
        <v>16990</v>
      </c>
      <c r="E269">
        <v>27</v>
      </c>
      <c r="F269">
        <v>2019</v>
      </c>
      <c r="G269" t="s">
        <v>10</v>
      </c>
      <c r="I269" t="str">
        <v/>
      </c>
    </row>
    <row r="270" spans="1:9" hidden="1" x14ac:dyDescent="0.25">
      <c r="A270" t="s">
        <v>334</v>
      </c>
      <c r="B270" t="s">
        <v>213</v>
      </c>
      <c r="C270">
        <v>4.7</v>
      </c>
      <c r="D270">
        <v>3503</v>
      </c>
      <c r="E270">
        <v>9</v>
      </c>
      <c r="F270">
        <v>2016</v>
      </c>
      <c r="G270" t="s">
        <v>10</v>
      </c>
      <c r="I270" t="str">
        <v/>
      </c>
    </row>
    <row r="271" spans="1:9" hidden="1" x14ac:dyDescent="0.25">
      <c r="A271" t="s">
        <v>335</v>
      </c>
      <c r="B271" t="s">
        <v>336</v>
      </c>
      <c r="C271">
        <v>4.3</v>
      </c>
      <c r="D271">
        <v>13616</v>
      </c>
      <c r="E271">
        <v>10</v>
      </c>
      <c r="F271">
        <v>2012</v>
      </c>
      <c r="G271" t="s">
        <v>8</v>
      </c>
      <c r="I271" t="str">
        <v/>
      </c>
    </row>
    <row r="272" spans="1:9" hidden="1" x14ac:dyDescent="0.25">
      <c r="A272" t="s">
        <v>335</v>
      </c>
      <c r="B272" t="s">
        <v>336</v>
      </c>
      <c r="C272">
        <v>4.3</v>
      </c>
      <c r="D272">
        <v>13616</v>
      </c>
      <c r="E272">
        <v>10</v>
      </c>
      <c r="F272">
        <v>2013</v>
      </c>
      <c r="G272" t="s">
        <v>8</v>
      </c>
      <c r="I272" t="str">
        <v/>
      </c>
    </row>
    <row r="273" spans="1:9" hidden="1" x14ac:dyDescent="0.25">
      <c r="A273" t="s">
        <v>337</v>
      </c>
      <c r="B273" t="s">
        <v>338</v>
      </c>
      <c r="C273">
        <v>4.5</v>
      </c>
      <c r="D273">
        <v>8580</v>
      </c>
      <c r="E273">
        <v>46</v>
      </c>
      <c r="F273">
        <v>2009</v>
      </c>
      <c r="G273" t="s">
        <v>8</v>
      </c>
      <c r="I273" t="str">
        <v/>
      </c>
    </row>
    <row r="274" spans="1:9" hidden="1" x14ac:dyDescent="0.25">
      <c r="A274" t="s">
        <v>337</v>
      </c>
      <c r="B274" t="s">
        <v>338</v>
      </c>
      <c r="C274">
        <v>4.5</v>
      </c>
      <c r="D274">
        <v>8580</v>
      </c>
      <c r="E274">
        <v>46</v>
      </c>
      <c r="F274">
        <v>2010</v>
      </c>
      <c r="G274" t="s">
        <v>8</v>
      </c>
      <c r="I274" t="str">
        <v/>
      </c>
    </row>
    <row r="275" spans="1:9" hidden="1" x14ac:dyDescent="0.25">
      <c r="A275" t="s">
        <v>337</v>
      </c>
      <c r="B275" t="s">
        <v>338</v>
      </c>
      <c r="C275">
        <v>4.5</v>
      </c>
      <c r="D275">
        <v>8580</v>
      </c>
      <c r="E275">
        <v>46</v>
      </c>
      <c r="F275">
        <v>2011</v>
      </c>
      <c r="G275" t="s">
        <v>8</v>
      </c>
      <c r="I275" t="str">
        <v/>
      </c>
    </row>
    <row r="276" spans="1:9" hidden="1" x14ac:dyDescent="0.25">
      <c r="A276" t="s">
        <v>337</v>
      </c>
      <c r="B276" t="s">
        <v>338</v>
      </c>
      <c r="C276">
        <v>4.5</v>
      </c>
      <c r="D276">
        <v>8580</v>
      </c>
      <c r="E276">
        <v>46</v>
      </c>
      <c r="F276">
        <v>2012</v>
      </c>
      <c r="G276" t="s">
        <v>8</v>
      </c>
      <c r="I276" t="str">
        <v/>
      </c>
    </row>
    <row r="277" spans="1:9" hidden="1" x14ac:dyDescent="0.25">
      <c r="A277" t="s">
        <v>337</v>
      </c>
      <c r="B277" t="s">
        <v>338</v>
      </c>
      <c r="C277">
        <v>4.5</v>
      </c>
      <c r="D277">
        <v>8580</v>
      </c>
      <c r="E277">
        <v>46</v>
      </c>
      <c r="F277">
        <v>2013</v>
      </c>
      <c r="G277" t="s">
        <v>8</v>
      </c>
      <c r="I277" t="str">
        <v/>
      </c>
    </row>
    <row r="278" spans="1:9" hidden="1" x14ac:dyDescent="0.25">
      <c r="A278" t="s">
        <v>337</v>
      </c>
      <c r="B278" t="s">
        <v>338</v>
      </c>
      <c r="C278">
        <v>4.5</v>
      </c>
      <c r="D278">
        <v>8580</v>
      </c>
      <c r="E278">
        <v>46</v>
      </c>
      <c r="F278">
        <v>2014</v>
      </c>
      <c r="G278" t="s">
        <v>8</v>
      </c>
      <c r="I278" t="str">
        <v/>
      </c>
    </row>
    <row r="279" spans="1:9" hidden="1" x14ac:dyDescent="0.25">
      <c r="A279" t="s">
        <v>337</v>
      </c>
      <c r="B279" t="s">
        <v>338</v>
      </c>
      <c r="C279">
        <v>4.5</v>
      </c>
      <c r="D279">
        <v>8580</v>
      </c>
      <c r="E279">
        <v>46</v>
      </c>
      <c r="F279">
        <v>2015</v>
      </c>
      <c r="G279" t="s">
        <v>8</v>
      </c>
      <c r="I279" t="str">
        <v/>
      </c>
    </row>
    <row r="280" spans="1:9" hidden="1" x14ac:dyDescent="0.25">
      <c r="A280" t="s">
        <v>337</v>
      </c>
      <c r="B280" t="s">
        <v>338</v>
      </c>
      <c r="C280">
        <v>4.5</v>
      </c>
      <c r="D280">
        <v>8580</v>
      </c>
      <c r="E280">
        <v>46</v>
      </c>
      <c r="F280">
        <v>2016</v>
      </c>
      <c r="G280" t="s">
        <v>8</v>
      </c>
      <c r="I280" t="str">
        <v/>
      </c>
    </row>
    <row r="281" spans="1:9" hidden="1" x14ac:dyDescent="0.25">
      <c r="A281" t="s">
        <v>337</v>
      </c>
      <c r="B281" t="s">
        <v>338</v>
      </c>
      <c r="C281">
        <v>4.5</v>
      </c>
      <c r="D281">
        <v>8580</v>
      </c>
      <c r="E281">
        <v>46</v>
      </c>
      <c r="F281">
        <v>2017</v>
      </c>
      <c r="G281" t="s">
        <v>8</v>
      </c>
      <c r="I281" t="str">
        <v/>
      </c>
    </row>
    <row r="282" spans="1:9" hidden="1" x14ac:dyDescent="0.25">
      <c r="A282" t="s">
        <v>337</v>
      </c>
      <c r="B282" t="s">
        <v>338</v>
      </c>
      <c r="C282">
        <v>4.5</v>
      </c>
      <c r="D282">
        <v>8580</v>
      </c>
      <c r="E282">
        <v>46</v>
      </c>
      <c r="F282">
        <v>2018</v>
      </c>
      <c r="G282" t="s">
        <v>8</v>
      </c>
      <c r="I282" t="str">
        <v/>
      </c>
    </row>
    <row r="283" spans="1:9" hidden="1" x14ac:dyDescent="0.25">
      <c r="A283" t="s">
        <v>339</v>
      </c>
      <c r="B283" t="s">
        <v>340</v>
      </c>
      <c r="C283">
        <v>4.8</v>
      </c>
      <c r="D283">
        <v>4757</v>
      </c>
      <c r="E283">
        <v>4</v>
      </c>
      <c r="F283">
        <v>2017</v>
      </c>
      <c r="G283" t="s">
        <v>10</v>
      </c>
      <c r="I283" t="str">
        <v/>
      </c>
    </row>
    <row r="284" spans="1:9" hidden="1" x14ac:dyDescent="0.25">
      <c r="A284" t="s">
        <v>341</v>
      </c>
      <c r="B284" t="s">
        <v>342</v>
      </c>
      <c r="C284">
        <v>4.5999999999999996</v>
      </c>
      <c r="D284">
        <v>10009</v>
      </c>
      <c r="E284">
        <v>20</v>
      </c>
      <c r="F284">
        <v>2012</v>
      </c>
      <c r="G284" t="s">
        <v>8</v>
      </c>
      <c r="I284" t="str">
        <v/>
      </c>
    </row>
    <row r="285" spans="1:9" hidden="1" x14ac:dyDescent="0.25">
      <c r="A285" t="s">
        <v>341</v>
      </c>
      <c r="B285" t="s">
        <v>342</v>
      </c>
      <c r="C285">
        <v>4.5999999999999996</v>
      </c>
      <c r="D285">
        <v>10009</v>
      </c>
      <c r="E285">
        <v>7</v>
      </c>
      <c r="F285">
        <v>2013</v>
      </c>
      <c r="G285" t="s">
        <v>8</v>
      </c>
      <c r="I285" t="str">
        <v/>
      </c>
    </row>
    <row r="286" spans="1:9" hidden="1" x14ac:dyDescent="0.25">
      <c r="A286" t="s">
        <v>343</v>
      </c>
      <c r="B286" t="s">
        <v>344</v>
      </c>
      <c r="C286">
        <v>4.7</v>
      </c>
      <c r="D286">
        <v>1985</v>
      </c>
      <c r="E286">
        <v>9</v>
      </c>
      <c r="F286">
        <v>2010</v>
      </c>
      <c r="G286" t="s">
        <v>8</v>
      </c>
      <c r="I286" t="str">
        <v/>
      </c>
    </row>
    <row r="287" spans="1:9" hidden="1" x14ac:dyDescent="0.25">
      <c r="A287" t="s">
        <v>343</v>
      </c>
      <c r="B287" t="s">
        <v>344</v>
      </c>
      <c r="C287">
        <v>4.7</v>
      </c>
      <c r="D287">
        <v>1985</v>
      </c>
      <c r="E287">
        <v>9</v>
      </c>
      <c r="F287">
        <v>2011</v>
      </c>
      <c r="G287" t="s">
        <v>8</v>
      </c>
      <c r="I287" t="str">
        <v/>
      </c>
    </row>
    <row r="288" spans="1:9" hidden="1" x14ac:dyDescent="0.25">
      <c r="A288" t="s">
        <v>345</v>
      </c>
      <c r="B288" t="s">
        <v>346</v>
      </c>
      <c r="C288">
        <v>4.5999999999999996</v>
      </c>
      <c r="D288">
        <v>22536</v>
      </c>
      <c r="E288">
        <v>12</v>
      </c>
      <c r="F288">
        <v>2017</v>
      </c>
      <c r="G288" t="s">
        <v>10</v>
      </c>
      <c r="I288" t="str">
        <v/>
      </c>
    </row>
    <row r="289" spans="1:9" hidden="1" x14ac:dyDescent="0.25">
      <c r="A289" t="s">
        <v>345</v>
      </c>
      <c r="B289" t="s">
        <v>346</v>
      </c>
      <c r="C289">
        <v>4.5999999999999996</v>
      </c>
      <c r="D289">
        <v>22536</v>
      </c>
      <c r="E289">
        <v>12</v>
      </c>
      <c r="F289">
        <v>2018</v>
      </c>
      <c r="G289" t="s">
        <v>10</v>
      </c>
      <c r="I289" t="str">
        <v/>
      </c>
    </row>
    <row r="290" spans="1:9" hidden="1" x14ac:dyDescent="0.25">
      <c r="A290" t="s">
        <v>347</v>
      </c>
      <c r="B290" t="s">
        <v>348</v>
      </c>
      <c r="C290">
        <v>4.9000000000000004</v>
      </c>
      <c r="D290">
        <v>7150</v>
      </c>
      <c r="E290">
        <v>12</v>
      </c>
      <c r="F290">
        <v>2013</v>
      </c>
      <c r="G290" t="s">
        <v>10</v>
      </c>
      <c r="I290" t="str">
        <v/>
      </c>
    </row>
    <row r="291" spans="1:9" hidden="1" x14ac:dyDescent="0.25">
      <c r="A291" t="s">
        <v>349</v>
      </c>
      <c r="B291" t="s">
        <v>348</v>
      </c>
      <c r="C291">
        <v>4.9000000000000004</v>
      </c>
      <c r="D291">
        <v>3836</v>
      </c>
      <c r="E291">
        <v>12</v>
      </c>
      <c r="F291">
        <v>2014</v>
      </c>
      <c r="G291" t="s">
        <v>10</v>
      </c>
      <c r="I291" t="str">
        <v/>
      </c>
    </row>
    <row r="292" spans="1:9" hidden="1" x14ac:dyDescent="0.25">
      <c r="A292" t="s">
        <v>350</v>
      </c>
      <c r="B292" t="s">
        <v>351</v>
      </c>
      <c r="C292">
        <v>4.8</v>
      </c>
      <c r="D292">
        <v>7802</v>
      </c>
      <c r="E292">
        <v>20</v>
      </c>
      <c r="F292">
        <v>2018</v>
      </c>
      <c r="G292" t="s">
        <v>8</v>
      </c>
      <c r="I292" t="str">
        <v/>
      </c>
    </row>
    <row r="293" spans="1:9" hidden="1" x14ac:dyDescent="0.25">
      <c r="A293" t="s">
        <v>350</v>
      </c>
      <c r="B293" t="s">
        <v>351</v>
      </c>
      <c r="C293">
        <v>4.8</v>
      </c>
      <c r="D293">
        <v>7802</v>
      </c>
      <c r="E293">
        <v>20</v>
      </c>
      <c r="F293">
        <v>2019</v>
      </c>
      <c r="G293" t="s">
        <v>8</v>
      </c>
      <c r="I293" t="str">
        <v/>
      </c>
    </row>
    <row r="294" spans="1:9" hidden="1" x14ac:dyDescent="0.25">
      <c r="A294" t="s">
        <v>352</v>
      </c>
      <c r="B294" t="s">
        <v>353</v>
      </c>
      <c r="C294">
        <v>4.5999999999999996</v>
      </c>
      <c r="D294">
        <v>3619</v>
      </c>
      <c r="E294">
        <v>10</v>
      </c>
      <c r="F294">
        <v>2010</v>
      </c>
      <c r="G294" t="s">
        <v>10</v>
      </c>
      <c r="I294" t="str">
        <v/>
      </c>
    </row>
    <row r="295" spans="1:9" hidden="1" x14ac:dyDescent="0.25">
      <c r="A295" t="s">
        <v>354</v>
      </c>
      <c r="B295" t="s">
        <v>355</v>
      </c>
      <c r="C295">
        <v>4.8</v>
      </c>
      <c r="D295">
        <v>23047</v>
      </c>
      <c r="E295">
        <v>6</v>
      </c>
      <c r="F295">
        <v>2018</v>
      </c>
      <c r="G295" t="s">
        <v>8</v>
      </c>
      <c r="I295" t="str">
        <v/>
      </c>
    </row>
    <row r="296" spans="1:9" hidden="1" x14ac:dyDescent="0.25">
      <c r="A296" t="s">
        <v>354</v>
      </c>
      <c r="B296" t="s">
        <v>355</v>
      </c>
      <c r="C296">
        <v>4.8</v>
      </c>
      <c r="D296">
        <v>23047</v>
      </c>
      <c r="E296">
        <v>6</v>
      </c>
      <c r="F296">
        <v>2019</v>
      </c>
      <c r="G296" t="s">
        <v>8</v>
      </c>
      <c r="I296" t="str">
        <v/>
      </c>
    </row>
    <row r="297" spans="1:9" hidden="1" x14ac:dyDescent="0.25">
      <c r="A297" t="s">
        <v>356</v>
      </c>
      <c r="B297" t="s">
        <v>147</v>
      </c>
      <c r="C297">
        <v>4.7</v>
      </c>
      <c r="D297">
        <v>9366</v>
      </c>
      <c r="E297">
        <v>9</v>
      </c>
      <c r="F297">
        <v>2015</v>
      </c>
      <c r="G297" t="s">
        <v>8</v>
      </c>
      <c r="I297" t="str">
        <v/>
      </c>
    </row>
    <row r="298" spans="1:9" hidden="1" x14ac:dyDescent="0.25">
      <c r="A298" t="s">
        <v>357</v>
      </c>
      <c r="B298" t="s">
        <v>358</v>
      </c>
      <c r="C298">
        <v>4.7</v>
      </c>
      <c r="D298">
        <v>1265</v>
      </c>
      <c r="E298">
        <v>11</v>
      </c>
      <c r="F298">
        <v>2010</v>
      </c>
      <c r="G298" t="s">
        <v>8</v>
      </c>
      <c r="I298" t="str">
        <v/>
      </c>
    </row>
    <row r="299" spans="1:9" hidden="1" x14ac:dyDescent="0.25">
      <c r="A299" t="s">
        <v>359</v>
      </c>
      <c r="B299" t="s">
        <v>360</v>
      </c>
      <c r="C299">
        <v>4.8</v>
      </c>
      <c r="D299">
        <v>3923</v>
      </c>
      <c r="E299">
        <v>16</v>
      </c>
      <c r="F299">
        <v>2018</v>
      </c>
      <c r="G299" t="s">
        <v>8</v>
      </c>
      <c r="I299" t="str">
        <v/>
      </c>
    </row>
    <row r="300" spans="1:9" hidden="1" x14ac:dyDescent="0.25">
      <c r="A300" t="s">
        <v>361</v>
      </c>
      <c r="B300" t="s">
        <v>362</v>
      </c>
      <c r="C300">
        <v>4.0999999999999996</v>
      </c>
      <c r="D300">
        <v>2272</v>
      </c>
      <c r="E300">
        <v>6</v>
      </c>
      <c r="F300">
        <v>2013</v>
      </c>
      <c r="G300" t="s">
        <v>8</v>
      </c>
      <c r="I300" t="str">
        <v/>
      </c>
    </row>
    <row r="301" spans="1:9" hidden="1" x14ac:dyDescent="0.25">
      <c r="A301" t="s">
        <v>363</v>
      </c>
      <c r="B301" t="s">
        <v>103</v>
      </c>
      <c r="C301">
        <v>4.7</v>
      </c>
      <c r="D301">
        <v>973</v>
      </c>
      <c r="E301">
        <v>25</v>
      </c>
      <c r="F301">
        <v>2009</v>
      </c>
      <c r="G301" t="s">
        <v>10</v>
      </c>
      <c r="I301" t="str">
        <v/>
      </c>
    </row>
    <row r="302" spans="1:9" hidden="1" x14ac:dyDescent="0.25">
      <c r="A302" t="s">
        <v>364</v>
      </c>
      <c r="B302" t="s">
        <v>122</v>
      </c>
      <c r="C302">
        <v>4.5999999999999996</v>
      </c>
      <c r="D302">
        <v>220</v>
      </c>
      <c r="E302">
        <v>17</v>
      </c>
      <c r="F302">
        <v>2013</v>
      </c>
      <c r="G302" t="s">
        <v>8</v>
      </c>
      <c r="I302" t="str">
        <v/>
      </c>
    </row>
    <row r="303" spans="1:9" hidden="1" x14ac:dyDescent="0.25">
      <c r="A303" t="s">
        <v>365</v>
      </c>
      <c r="B303" t="s">
        <v>273</v>
      </c>
      <c r="C303">
        <v>4.5999999999999996</v>
      </c>
      <c r="D303">
        <v>7827</v>
      </c>
      <c r="E303">
        <v>20</v>
      </c>
      <c r="F303">
        <v>2011</v>
      </c>
      <c r="G303" t="s">
        <v>8</v>
      </c>
      <c r="I303" t="str">
        <v/>
      </c>
    </row>
    <row r="304" spans="1:9" hidden="1" x14ac:dyDescent="0.25">
      <c r="A304" t="s">
        <v>365</v>
      </c>
      <c r="B304" t="s">
        <v>273</v>
      </c>
      <c r="C304">
        <v>4.5999999999999996</v>
      </c>
      <c r="D304">
        <v>7827</v>
      </c>
      <c r="E304">
        <v>20</v>
      </c>
      <c r="F304">
        <v>2012</v>
      </c>
      <c r="G304" t="s">
        <v>8</v>
      </c>
      <c r="I304" t="str">
        <v/>
      </c>
    </row>
    <row r="305" spans="1:9" hidden="1" x14ac:dyDescent="0.25">
      <c r="A305" t="s">
        <v>366</v>
      </c>
      <c r="B305" t="s">
        <v>367</v>
      </c>
      <c r="C305">
        <v>4.9000000000000004</v>
      </c>
      <c r="D305">
        <v>9382</v>
      </c>
      <c r="E305">
        <v>6</v>
      </c>
      <c r="F305">
        <v>2019</v>
      </c>
      <c r="G305" t="s">
        <v>10</v>
      </c>
      <c r="I305" t="str">
        <v/>
      </c>
    </row>
    <row r="306" spans="1:9" hidden="1" x14ac:dyDescent="0.25">
      <c r="A306" t="s">
        <v>368</v>
      </c>
      <c r="B306" t="s">
        <v>369</v>
      </c>
      <c r="C306">
        <v>4</v>
      </c>
      <c r="D306">
        <v>5069</v>
      </c>
      <c r="E306">
        <v>17</v>
      </c>
      <c r="F306">
        <v>2009</v>
      </c>
      <c r="G306" t="s">
        <v>8</v>
      </c>
      <c r="I306" t="str">
        <v/>
      </c>
    </row>
    <row r="307" spans="1:9" hidden="1" x14ac:dyDescent="0.25">
      <c r="A307" t="s">
        <v>368</v>
      </c>
      <c r="B307" t="s">
        <v>369</v>
      </c>
      <c r="C307">
        <v>4</v>
      </c>
      <c r="D307">
        <v>5069</v>
      </c>
      <c r="E307">
        <v>17</v>
      </c>
      <c r="F307">
        <v>2010</v>
      </c>
      <c r="G307" t="s">
        <v>8</v>
      </c>
      <c r="I307" t="str">
        <v/>
      </c>
    </row>
    <row r="308" spans="1:9" hidden="1" x14ac:dyDescent="0.25">
      <c r="A308" t="s">
        <v>368</v>
      </c>
      <c r="B308" t="s">
        <v>369</v>
      </c>
      <c r="C308">
        <v>4</v>
      </c>
      <c r="D308">
        <v>5069</v>
      </c>
      <c r="E308">
        <v>17</v>
      </c>
      <c r="F308">
        <v>2011</v>
      </c>
      <c r="G308" t="s">
        <v>8</v>
      </c>
      <c r="I308" t="str">
        <v/>
      </c>
    </row>
    <row r="309" spans="1:9" hidden="1" x14ac:dyDescent="0.25">
      <c r="A309" t="s">
        <v>368</v>
      </c>
      <c r="B309" t="s">
        <v>369</v>
      </c>
      <c r="C309">
        <v>4</v>
      </c>
      <c r="D309">
        <v>5069</v>
      </c>
      <c r="E309">
        <v>17</v>
      </c>
      <c r="F309">
        <v>2012</v>
      </c>
      <c r="G309" t="s">
        <v>8</v>
      </c>
      <c r="I309" t="str">
        <v/>
      </c>
    </row>
    <row r="310" spans="1:9" hidden="1" x14ac:dyDescent="0.25">
      <c r="A310" t="s">
        <v>368</v>
      </c>
      <c r="B310" t="s">
        <v>369</v>
      </c>
      <c r="C310">
        <v>4</v>
      </c>
      <c r="D310">
        <v>5069</v>
      </c>
      <c r="E310">
        <v>17</v>
      </c>
      <c r="F310">
        <v>2013</v>
      </c>
      <c r="G310" t="s">
        <v>8</v>
      </c>
      <c r="I310" t="str">
        <v/>
      </c>
    </row>
    <row r="311" spans="1:9" hidden="1" x14ac:dyDescent="0.25">
      <c r="A311" t="s">
        <v>368</v>
      </c>
      <c r="B311" t="s">
        <v>369</v>
      </c>
      <c r="C311">
        <v>4</v>
      </c>
      <c r="D311">
        <v>5069</v>
      </c>
      <c r="E311">
        <v>17</v>
      </c>
      <c r="F311">
        <v>2014</v>
      </c>
      <c r="G311" t="s">
        <v>8</v>
      </c>
      <c r="I311" t="str">
        <v/>
      </c>
    </row>
    <row r="312" spans="1:9" hidden="1" x14ac:dyDescent="0.25">
      <c r="A312" t="s">
        <v>368</v>
      </c>
      <c r="B312" t="s">
        <v>369</v>
      </c>
      <c r="C312">
        <v>4</v>
      </c>
      <c r="D312">
        <v>5069</v>
      </c>
      <c r="E312">
        <v>17</v>
      </c>
      <c r="F312">
        <v>2015</v>
      </c>
      <c r="G312" t="s">
        <v>8</v>
      </c>
      <c r="I312" t="str">
        <v/>
      </c>
    </row>
    <row r="313" spans="1:9" hidden="1" x14ac:dyDescent="0.25">
      <c r="A313" t="s">
        <v>368</v>
      </c>
      <c r="B313" t="s">
        <v>369</v>
      </c>
      <c r="C313">
        <v>4</v>
      </c>
      <c r="D313">
        <v>5069</v>
      </c>
      <c r="E313">
        <v>17</v>
      </c>
      <c r="F313">
        <v>2016</v>
      </c>
      <c r="G313" t="s">
        <v>8</v>
      </c>
      <c r="I313" t="str">
        <v/>
      </c>
    </row>
    <row r="314" spans="1:9" hidden="1" x14ac:dyDescent="0.25">
      <c r="A314" t="s">
        <v>368</v>
      </c>
      <c r="B314" t="s">
        <v>369</v>
      </c>
      <c r="C314">
        <v>4</v>
      </c>
      <c r="D314">
        <v>5069</v>
      </c>
      <c r="E314">
        <v>17</v>
      </c>
      <c r="F314">
        <v>2017</v>
      </c>
      <c r="G314" t="s">
        <v>8</v>
      </c>
      <c r="I314" t="str">
        <v/>
      </c>
    </row>
    <row r="315" spans="1:9" hidden="1" x14ac:dyDescent="0.25">
      <c r="A315" t="s">
        <v>370</v>
      </c>
      <c r="B315" t="s">
        <v>371</v>
      </c>
      <c r="C315">
        <v>4.5</v>
      </c>
      <c r="D315">
        <v>1583</v>
      </c>
      <c r="E315">
        <v>18</v>
      </c>
      <c r="F315">
        <v>2009</v>
      </c>
      <c r="G315" t="s">
        <v>8</v>
      </c>
      <c r="I315" t="str">
        <v/>
      </c>
    </row>
    <row r="316" spans="1:9" hidden="1" x14ac:dyDescent="0.25">
      <c r="A316" t="s">
        <v>372</v>
      </c>
      <c r="B316" t="s">
        <v>373</v>
      </c>
      <c r="C316">
        <v>4.5999999999999996</v>
      </c>
      <c r="D316">
        <v>1907</v>
      </c>
      <c r="E316">
        <v>13</v>
      </c>
      <c r="F316">
        <v>2010</v>
      </c>
      <c r="G316" t="s">
        <v>8</v>
      </c>
      <c r="I316" t="str">
        <v/>
      </c>
    </row>
    <row r="317" spans="1:9" hidden="1" x14ac:dyDescent="0.25">
      <c r="A317" t="s">
        <v>374</v>
      </c>
      <c r="B317" t="s">
        <v>375</v>
      </c>
      <c r="C317">
        <v>4.5</v>
      </c>
      <c r="D317">
        <v>23114</v>
      </c>
      <c r="E317">
        <v>18</v>
      </c>
      <c r="F317">
        <v>2013</v>
      </c>
      <c r="G317" t="s">
        <v>10</v>
      </c>
      <c r="I317" t="str">
        <v/>
      </c>
    </row>
    <row r="318" spans="1:9" hidden="1" x14ac:dyDescent="0.25">
      <c r="A318" t="s">
        <v>376</v>
      </c>
      <c r="B318" t="s">
        <v>377</v>
      </c>
      <c r="C318">
        <v>4.4000000000000004</v>
      </c>
      <c r="D318">
        <v>637</v>
      </c>
      <c r="E318">
        <v>20</v>
      </c>
      <c r="F318">
        <v>2010</v>
      </c>
      <c r="G318" t="s">
        <v>8</v>
      </c>
      <c r="I318" t="str">
        <v/>
      </c>
    </row>
    <row r="319" spans="1:9" hidden="1" x14ac:dyDescent="0.25">
      <c r="A319" t="s">
        <v>376</v>
      </c>
      <c r="B319" t="s">
        <v>377</v>
      </c>
      <c r="C319">
        <v>4.4000000000000004</v>
      </c>
      <c r="D319">
        <v>637</v>
      </c>
      <c r="E319">
        <v>20</v>
      </c>
      <c r="F319">
        <v>2011</v>
      </c>
      <c r="G319" t="s">
        <v>8</v>
      </c>
      <c r="I319" t="str">
        <v/>
      </c>
    </row>
    <row r="320" spans="1:9" hidden="1" x14ac:dyDescent="0.25">
      <c r="A320" t="s">
        <v>378</v>
      </c>
      <c r="B320" t="s">
        <v>379</v>
      </c>
      <c r="C320">
        <v>4.3</v>
      </c>
      <c r="D320">
        <v>2314</v>
      </c>
      <c r="E320">
        <v>22</v>
      </c>
      <c r="F320">
        <v>2011</v>
      </c>
      <c r="G320" t="s">
        <v>8</v>
      </c>
      <c r="I320" t="str">
        <v/>
      </c>
    </row>
    <row r="321" spans="1:9" hidden="1" x14ac:dyDescent="0.25">
      <c r="A321" t="s">
        <v>380</v>
      </c>
      <c r="B321" t="s">
        <v>381</v>
      </c>
      <c r="C321">
        <v>4.3</v>
      </c>
      <c r="D321">
        <v>4587</v>
      </c>
      <c r="E321">
        <v>21</v>
      </c>
      <c r="F321">
        <v>2011</v>
      </c>
      <c r="G321" t="s">
        <v>8</v>
      </c>
      <c r="I321" t="str">
        <v/>
      </c>
    </row>
    <row r="322" spans="1:9" hidden="1" x14ac:dyDescent="0.25">
      <c r="A322" t="s">
        <v>382</v>
      </c>
      <c r="B322" t="s">
        <v>383</v>
      </c>
      <c r="C322">
        <v>4.7</v>
      </c>
      <c r="D322">
        <v>3477</v>
      </c>
      <c r="E322">
        <v>28</v>
      </c>
      <c r="F322">
        <v>2010</v>
      </c>
      <c r="G322" t="s">
        <v>8</v>
      </c>
      <c r="I322" t="str">
        <v/>
      </c>
    </row>
    <row r="323" spans="1:9" hidden="1" x14ac:dyDescent="0.25">
      <c r="A323" t="s">
        <v>382</v>
      </c>
      <c r="B323" t="s">
        <v>383</v>
      </c>
      <c r="C323">
        <v>4.7</v>
      </c>
      <c r="D323">
        <v>3477</v>
      </c>
      <c r="E323">
        <v>28</v>
      </c>
      <c r="F323">
        <v>2011</v>
      </c>
      <c r="G323" t="s">
        <v>8</v>
      </c>
      <c r="I323" t="str">
        <v/>
      </c>
    </row>
    <row r="324" spans="1:9" hidden="1" x14ac:dyDescent="0.25">
      <c r="A324" t="s">
        <v>382</v>
      </c>
      <c r="B324" t="s">
        <v>383</v>
      </c>
      <c r="C324">
        <v>4.7</v>
      </c>
      <c r="D324">
        <v>3477</v>
      </c>
      <c r="E324">
        <v>28</v>
      </c>
      <c r="F324">
        <v>2012</v>
      </c>
      <c r="G324" t="s">
        <v>8</v>
      </c>
      <c r="I324" t="str">
        <v/>
      </c>
    </row>
    <row r="325" spans="1:9" hidden="1" x14ac:dyDescent="0.25">
      <c r="A325" t="s">
        <v>382</v>
      </c>
      <c r="B325" t="s">
        <v>383</v>
      </c>
      <c r="C325">
        <v>4.7</v>
      </c>
      <c r="D325">
        <v>3477</v>
      </c>
      <c r="E325">
        <v>28</v>
      </c>
      <c r="F325">
        <v>2013</v>
      </c>
      <c r="G325" t="s">
        <v>8</v>
      </c>
      <c r="I325" t="str">
        <v/>
      </c>
    </row>
    <row r="326" spans="1:9" hidden="1" x14ac:dyDescent="0.25">
      <c r="A326" t="s">
        <v>382</v>
      </c>
      <c r="B326" t="s">
        <v>383</v>
      </c>
      <c r="C326">
        <v>4.7</v>
      </c>
      <c r="D326">
        <v>3477</v>
      </c>
      <c r="E326">
        <v>28</v>
      </c>
      <c r="F326">
        <v>2014</v>
      </c>
      <c r="G326" t="s">
        <v>8</v>
      </c>
      <c r="I326" t="str">
        <v/>
      </c>
    </row>
    <row r="327" spans="1:9" hidden="1" x14ac:dyDescent="0.25">
      <c r="A327" t="s">
        <v>384</v>
      </c>
      <c r="B327" t="s">
        <v>383</v>
      </c>
      <c r="C327">
        <v>4.8</v>
      </c>
      <c r="D327">
        <v>25554</v>
      </c>
      <c r="E327">
        <v>8</v>
      </c>
      <c r="F327">
        <v>2015</v>
      </c>
      <c r="G327" t="s">
        <v>8</v>
      </c>
      <c r="I327" t="str">
        <v/>
      </c>
    </row>
    <row r="328" spans="1:9" hidden="1" x14ac:dyDescent="0.25">
      <c r="A328" t="s">
        <v>384</v>
      </c>
      <c r="B328" t="s">
        <v>383</v>
      </c>
      <c r="C328">
        <v>4.8</v>
      </c>
      <c r="D328">
        <v>25554</v>
      </c>
      <c r="E328">
        <v>8</v>
      </c>
      <c r="F328">
        <v>2016</v>
      </c>
      <c r="G328" t="s">
        <v>8</v>
      </c>
      <c r="I328" t="str">
        <v/>
      </c>
    </row>
    <row r="329" spans="1:9" hidden="1" x14ac:dyDescent="0.25">
      <c r="A329" t="s">
        <v>384</v>
      </c>
      <c r="B329" t="s">
        <v>383</v>
      </c>
      <c r="C329">
        <v>4.8</v>
      </c>
      <c r="D329">
        <v>25554</v>
      </c>
      <c r="E329">
        <v>8</v>
      </c>
      <c r="F329">
        <v>2017</v>
      </c>
      <c r="G329" t="s">
        <v>8</v>
      </c>
      <c r="I329" t="str">
        <v/>
      </c>
    </row>
    <row r="330" spans="1:9" hidden="1" x14ac:dyDescent="0.25">
      <c r="A330" t="s">
        <v>384</v>
      </c>
      <c r="B330" t="s">
        <v>383</v>
      </c>
      <c r="C330">
        <v>4.8</v>
      </c>
      <c r="D330">
        <v>25554</v>
      </c>
      <c r="E330">
        <v>8</v>
      </c>
      <c r="F330">
        <v>2018</v>
      </c>
      <c r="G330" t="s">
        <v>8</v>
      </c>
      <c r="I330" t="str">
        <v/>
      </c>
    </row>
    <row r="331" spans="1:9" hidden="1" x14ac:dyDescent="0.25">
      <c r="A331" t="s">
        <v>384</v>
      </c>
      <c r="B331" t="s">
        <v>383</v>
      </c>
      <c r="C331">
        <v>4.8</v>
      </c>
      <c r="D331">
        <v>25554</v>
      </c>
      <c r="E331">
        <v>8</v>
      </c>
      <c r="F331">
        <v>2019</v>
      </c>
      <c r="G331" t="s">
        <v>8</v>
      </c>
      <c r="I331" t="str">
        <v/>
      </c>
    </row>
    <row r="332" spans="1:9" hidden="1" x14ac:dyDescent="0.25">
      <c r="A332" t="s">
        <v>385</v>
      </c>
      <c r="B332" t="s">
        <v>386</v>
      </c>
      <c r="C332">
        <v>4.8</v>
      </c>
      <c r="D332">
        <v>1680</v>
      </c>
      <c r="E332">
        <v>12</v>
      </c>
      <c r="F332">
        <v>2009</v>
      </c>
      <c r="G332" t="s">
        <v>8</v>
      </c>
      <c r="I332" t="str">
        <v/>
      </c>
    </row>
    <row r="333" spans="1:9" hidden="1" x14ac:dyDescent="0.25">
      <c r="A333" t="s">
        <v>387</v>
      </c>
      <c r="B333" t="s">
        <v>388</v>
      </c>
      <c r="C333">
        <v>4.5999999999999996</v>
      </c>
      <c r="D333">
        <v>9325</v>
      </c>
      <c r="E333">
        <v>24</v>
      </c>
      <c r="F333">
        <v>2009</v>
      </c>
      <c r="G333" t="s">
        <v>8</v>
      </c>
      <c r="I333" t="str">
        <v/>
      </c>
    </row>
    <row r="334" spans="1:9" hidden="1" x14ac:dyDescent="0.25">
      <c r="A334" t="s">
        <v>387</v>
      </c>
      <c r="B334" t="s">
        <v>388</v>
      </c>
      <c r="C334">
        <v>4.5999999999999996</v>
      </c>
      <c r="D334">
        <v>9325</v>
      </c>
      <c r="E334">
        <v>24</v>
      </c>
      <c r="F334">
        <v>2011</v>
      </c>
      <c r="G334" t="s">
        <v>8</v>
      </c>
      <c r="I334" t="str">
        <v/>
      </c>
    </row>
    <row r="335" spans="1:9" hidden="1" x14ac:dyDescent="0.25">
      <c r="A335" t="s">
        <v>387</v>
      </c>
      <c r="B335" t="s">
        <v>388</v>
      </c>
      <c r="C335">
        <v>4.5999999999999996</v>
      </c>
      <c r="D335">
        <v>9325</v>
      </c>
      <c r="E335">
        <v>24</v>
      </c>
      <c r="F335">
        <v>2012</v>
      </c>
      <c r="G335" t="s">
        <v>8</v>
      </c>
      <c r="I335" t="str">
        <v/>
      </c>
    </row>
    <row r="336" spans="1:9" hidden="1" x14ac:dyDescent="0.25">
      <c r="A336" t="s">
        <v>387</v>
      </c>
      <c r="B336" t="s">
        <v>388</v>
      </c>
      <c r="C336">
        <v>4.5999999999999996</v>
      </c>
      <c r="D336">
        <v>9325</v>
      </c>
      <c r="E336">
        <v>24</v>
      </c>
      <c r="F336">
        <v>2013</v>
      </c>
      <c r="G336" t="s">
        <v>8</v>
      </c>
      <c r="I336" t="str">
        <v/>
      </c>
    </row>
    <row r="337" spans="1:9" hidden="1" x14ac:dyDescent="0.25">
      <c r="A337" t="s">
        <v>387</v>
      </c>
      <c r="B337" t="s">
        <v>388</v>
      </c>
      <c r="C337">
        <v>4.7</v>
      </c>
      <c r="D337">
        <v>4725</v>
      </c>
      <c r="E337">
        <v>16</v>
      </c>
      <c r="F337">
        <v>2015</v>
      </c>
      <c r="G337" t="s">
        <v>8</v>
      </c>
      <c r="I337" t="str">
        <v/>
      </c>
    </row>
    <row r="338" spans="1:9" hidden="1" x14ac:dyDescent="0.25">
      <c r="A338" t="s">
        <v>387</v>
      </c>
      <c r="B338" t="s">
        <v>388</v>
      </c>
      <c r="C338">
        <v>4.7</v>
      </c>
      <c r="D338">
        <v>4725</v>
      </c>
      <c r="E338">
        <v>16</v>
      </c>
      <c r="F338">
        <v>2016</v>
      </c>
      <c r="G338" t="s">
        <v>8</v>
      </c>
      <c r="I338" t="str">
        <v/>
      </c>
    </row>
    <row r="339" spans="1:9" hidden="1" x14ac:dyDescent="0.25">
      <c r="A339" t="s">
        <v>387</v>
      </c>
      <c r="B339" t="s">
        <v>388</v>
      </c>
      <c r="C339">
        <v>4.7</v>
      </c>
      <c r="D339">
        <v>4725</v>
      </c>
      <c r="E339">
        <v>16</v>
      </c>
      <c r="F339">
        <v>2017</v>
      </c>
      <c r="G339" t="s">
        <v>8</v>
      </c>
      <c r="I339" t="str">
        <v/>
      </c>
    </row>
    <row r="340" spans="1:9" hidden="1" x14ac:dyDescent="0.25">
      <c r="A340" t="s">
        <v>389</v>
      </c>
      <c r="B340" t="s">
        <v>390</v>
      </c>
      <c r="C340">
        <v>4.7</v>
      </c>
      <c r="D340">
        <v>35799</v>
      </c>
      <c r="E340">
        <v>39</v>
      </c>
      <c r="F340">
        <v>2014</v>
      </c>
      <c r="G340" t="s">
        <v>10</v>
      </c>
      <c r="I340" t="str">
        <v/>
      </c>
    </row>
    <row r="341" spans="1:9" hidden="1" x14ac:dyDescent="0.25">
      <c r="A341" t="s">
        <v>391</v>
      </c>
      <c r="B341" t="s">
        <v>392</v>
      </c>
      <c r="C341">
        <v>4.5999999999999996</v>
      </c>
      <c r="D341">
        <v>2580</v>
      </c>
      <c r="E341">
        <v>9</v>
      </c>
      <c r="F341">
        <v>2012</v>
      </c>
      <c r="G341" t="s">
        <v>8</v>
      </c>
      <c r="I341" t="str">
        <v/>
      </c>
    </row>
    <row r="342" spans="1:9" hidden="1" x14ac:dyDescent="0.25">
      <c r="A342" t="s">
        <v>393</v>
      </c>
      <c r="B342" t="s">
        <v>394</v>
      </c>
      <c r="C342">
        <v>4.7</v>
      </c>
      <c r="D342">
        <v>11813</v>
      </c>
      <c r="E342">
        <v>10</v>
      </c>
      <c r="F342">
        <v>2010</v>
      </c>
      <c r="G342" t="s">
        <v>10</v>
      </c>
      <c r="I342" t="str">
        <v/>
      </c>
    </row>
    <row r="343" spans="1:9" hidden="1" x14ac:dyDescent="0.25">
      <c r="A343" t="s">
        <v>393</v>
      </c>
      <c r="B343" t="s">
        <v>394</v>
      </c>
      <c r="C343">
        <v>4.7</v>
      </c>
      <c r="D343">
        <v>11813</v>
      </c>
      <c r="E343">
        <v>10</v>
      </c>
      <c r="F343">
        <v>2011</v>
      </c>
      <c r="G343" t="s">
        <v>10</v>
      </c>
      <c r="I343" t="str">
        <v/>
      </c>
    </row>
    <row r="344" spans="1:9" hidden="1" x14ac:dyDescent="0.25">
      <c r="A344" t="s">
        <v>395</v>
      </c>
      <c r="B344" t="s">
        <v>396</v>
      </c>
      <c r="C344">
        <v>4.7</v>
      </c>
      <c r="D344">
        <v>3536</v>
      </c>
      <c r="E344">
        <v>17</v>
      </c>
      <c r="F344">
        <v>2010</v>
      </c>
      <c r="G344" t="s">
        <v>8</v>
      </c>
      <c r="I344" t="str">
        <v/>
      </c>
    </row>
    <row r="345" spans="1:9" hidden="1" x14ac:dyDescent="0.25">
      <c r="A345" t="s">
        <v>397</v>
      </c>
      <c r="B345" t="s">
        <v>331</v>
      </c>
      <c r="C345">
        <v>4.8</v>
      </c>
      <c r="D345">
        <v>6600</v>
      </c>
      <c r="E345">
        <v>11</v>
      </c>
      <c r="F345">
        <v>2014</v>
      </c>
      <c r="G345" t="s">
        <v>10</v>
      </c>
      <c r="I345" t="str">
        <v/>
      </c>
    </row>
    <row r="346" spans="1:9" hidden="1" x14ac:dyDescent="0.25">
      <c r="A346" t="s">
        <v>398</v>
      </c>
      <c r="B346" t="s">
        <v>399</v>
      </c>
      <c r="C346">
        <v>4.2</v>
      </c>
      <c r="D346">
        <v>1789</v>
      </c>
      <c r="E346">
        <v>14</v>
      </c>
      <c r="F346">
        <v>2012</v>
      </c>
      <c r="G346" t="s">
        <v>8</v>
      </c>
      <c r="I346" t="str">
        <v/>
      </c>
    </row>
    <row r="347" spans="1:9" hidden="1" x14ac:dyDescent="0.25">
      <c r="A347" t="s">
        <v>400</v>
      </c>
      <c r="B347" t="s">
        <v>401</v>
      </c>
      <c r="C347">
        <v>4.8</v>
      </c>
      <c r="D347">
        <v>12361</v>
      </c>
      <c r="E347">
        <v>12</v>
      </c>
      <c r="F347">
        <v>2019</v>
      </c>
      <c r="G347" t="s">
        <v>8</v>
      </c>
      <c r="I347" t="str">
        <v/>
      </c>
    </row>
    <row r="348" spans="1:9" hidden="1" x14ac:dyDescent="0.25">
      <c r="A348" t="s">
        <v>402</v>
      </c>
      <c r="B348" t="s">
        <v>403</v>
      </c>
      <c r="C348">
        <v>4.7</v>
      </c>
      <c r="D348">
        <v>858</v>
      </c>
      <c r="E348">
        <v>53</v>
      </c>
      <c r="F348">
        <v>2009</v>
      </c>
      <c r="G348" t="s">
        <v>8</v>
      </c>
      <c r="I348" t="str">
        <v/>
      </c>
    </row>
    <row r="349" spans="1:9" hidden="1" x14ac:dyDescent="0.25">
      <c r="A349" t="s">
        <v>404</v>
      </c>
      <c r="B349" t="s">
        <v>405</v>
      </c>
      <c r="C349">
        <v>4.5999999999999996</v>
      </c>
      <c r="D349">
        <v>23148</v>
      </c>
      <c r="E349">
        <v>6</v>
      </c>
      <c r="F349">
        <v>2013</v>
      </c>
      <c r="G349" t="s">
        <v>10</v>
      </c>
      <c r="I349" t="str">
        <v/>
      </c>
    </row>
    <row r="350" spans="1:9" hidden="1" x14ac:dyDescent="0.25">
      <c r="A350" t="s">
        <v>404</v>
      </c>
      <c r="B350" t="s">
        <v>405</v>
      </c>
      <c r="C350">
        <v>4.5999999999999996</v>
      </c>
      <c r="D350">
        <v>23148</v>
      </c>
      <c r="E350">
        <v>6</v>
      </c>
      <c r="F350">
        <v>2014</v>
      </c>
      <c r="G350" t="s">
        <v>10</v>
      </c>
      <c r="I350" t="str">
        <v/>
      </c>
    </row>
    <row r="351" spans="1:9" hidden="1" x14ac:dyDescent="0.25">
      <c r="A351" t="s">
        <v>406</v>
      </c>
      <c r="B351" t="s">
        <v>407</v>
      </c>
      <c r="C351">
        <v>4.8</v>
      </c>
      <c r="D351">
        <v>8081</v>
      </c>
      <c r="E351">
        <v>8</v>
      </c>
      <c r="F351">
        <v>2014</v>
      </c>
      <c r="G351" t="s">
        <v>10</v>
      </c>
      <c r="I351" t="str">
        <v/>
      </c>
    </row>
    <row r="352" spans="1:9" hidden="1" x14ac:dyDescent="0.25">
      <c r="A352" t="s">
        <v>406</v>
      </c>
      <c r="B352" t="s">
        <v>407</v>
      </c>
      <c r="C352">
        <v>4.8</v>
      </c>
      <c r="D352">
        <v>8081</v>
      </c>
      <c r="E352">
        <v>8</v>
      </c>
      <c r="F352">
        <v>2015</v>
      </c>
      <c r="G352" t="s">
        <v>10</v>
      </c>
      <c r="I352" t="str">
        <v/>
      </c>
    </row>
    <row r="353" spans="1:9" hidden="1" x14ac:dyDescent="0.25">
      <c r="A353" t="s">
        <v>408</v>
      </c>
      <c r="B353" t="s">
        <v>409</v>
      </c>
      <c r="C353">
        <v>4.8</v>
      </c>
      <c r="D353">
        <v>23358</v>
      </c>
      <c r="E353">
        <v>12</v>
      </c>
      <c r="F353">
        <v>2014</v>
      </c>
      <c r="G353" t="s">
        <v>8</v>
      </c>
      <c r="I353" t="str">
        <v/>
      </c>
    </row>
    <row r="354" spans="1:9" hidden="1" x14ac:dyDescent="0.25">
      <c r="A354" t="s">
        <v>408</v>
      </c>
      <c r="B354" t="s">
        <v>409</v>
      </c>
      <c r="C354">
        <v>4.8</v>
      </c>
      <c r="D354">
        <v>23358</v>
      </c>
      <c r="E354">
        <v>12</v>
      </c>
      <c r="F354">
        <v>2015</v>
      </c>
      <c r="G354" t="s">
        <v>8</v>
      </c>
      <c r="I354" t="str">
        <v/>
      </c>
    </row>
    <row r="355" spans="1:9" x14ac:dyDescent="0.25">
      <c r="A355" t="s">
        <v>410</v>
      </c>
      <c r="B355" t="s">
        <v>151</v>
      </c>
      <c r="C355">
        <v>3.3</v>
      </c>
      <c r="D355">
        <v>9372</v>
      </c>
      <c r="E355">
        <v>12</v>
      </c>
      <c r="F355">
        <v>2012</v>
      </c>
      <c r="G355" t="s">
        <v>10</v>
      </c>
      <c r="I355" s="4" t="str">
        <v>The Casual Vacancy</v>
      </c>
    </row>
    <row r="356" spans="1:9" hidden="1" x14ac:dyDescent="0.25">
      <c r="A356" t="s">
        <v>411</v>
      </c>
      <c r="B356" t="s">
        <v>412</v>
      </c>
      <c r="C356">
        <v>4.7</v>
      </c>
      <c r="D356">
        <v>4633</v>
      </c>
      <c r="E356">
        <v>21</v>
      </c>
      <c r="F356">
        <v>2011</v>
      </c>
      <c r="G356" t="s">
        <v>8</v>
      </c>
      <c r="I356" t="str">
        <v/>
      </c>
    </row>
    <row r="357" spans="1:9" hidden="1" x14ac:dyDescent="0.25">
      <c r="A357" t="s">
        <v>413</v>
      </c>
      <c r="B357" t="s">
        <v>414</v>
      </c>
      <c r="C357">
        <v>4.3</v>
      </c>
      <c r="D357">
        <v>13061</v>
      </c>
      <c r="E357">
        <v>6</v>
      </c>
      <c r="F357">
        <v>2018</v>
      </c>
      <c r="G357" t="s">
        <v>8</v>
      </c>
      <c r="I357" t="str">
        <v/>
      </c>
    </row>
    <row r="358" spans="1:9" hidden="1" x14ac:dyDescent="0.25">
      <c r="A358" t="s">
        <v>413</v>
      </c>
      <c r="B358" t="s">
        <v>414</v>
      </c>
      <c r="C358">
        <v>4.3</v>
      </c>
      <c r="D358">
        <v>13061</v>
      </c>
      <c r="E358">
        <v>6</v>
      </c>
      <c r="F358">
        <v>2019</v>
      </c>
      <c r="G358" t="s">
        <v>8</v>
      </c>
      <c r="I358" t="str">
        <v/>
      </c>
    </row>
    <row r="359" spans="1:9" hidden="1" x14ac:dyDescent="0.25">
      <c r="A359" t="s">
        <v>415</v>
      </c>
      <c r="B359" t="s">
        <v>375</v>
      </c>
      <c r="C359">
        <v>4.3</v>
      </c>
      <c r="D359">
        <v>3523</v>
      </c>
      <c r="E359">
        <v>13</v>
      </c>
      <c r="F359">
        <v>2010</v>
      </c>
      <c r="G359" t="s">
        <v>10</v>
      </c>
      <c r="I359" t="str">
        <v/>
      </c>
    </row>
    <row r="360" spans="1:9" hidden="1" x14ac:dyDescent="0.25">
      <c r="A360" t="s">
        <v>416</v>
      </c>
      <c r="B360" t="s">
        <v>417</v>
      </c>
      <c r="C360">
        <v>4.8</v>
      </c>
      <c r="D360">
        <v>2774</v>
      </c>
      <c r="E360">
        <v>0</v>
      </c>
      <c r="F360">
        <v>2016</v>
      </c>
      <c r="G360" t="s">
        <v>8</v>
      </c>
      <c r="I360" t="str">
        <v/>
      </c>
    </row>
    <row r="361" spans="1:9" hidden="1" x14ac:dyDescent="0.25">
      <c r="A361" t="s">
        <v>418</v>
      </c>
      <c r="B361" t="s">
        <v>419</v>
      </c>
      <c r="C361">
        <v>4.4000000000000004</v>
      </c>
      <c r="D361">
        <v>440</v>
      </c>
      <c r="E361">
        <v>11</v>
      </c>
      <c r="F361">
        <v>2010</v>
      </c>
      <c r="G361" t="s">
        <v>8</v>
      </c>
      <c r="I361" t="str">
        <v/>
      </c>
    </row>
    <row r="362" spans="1:9" hidden="1" x14ac:dyDescent="0.25">
      <c r="A362" t="s">
        <v>420</v>
      </c>
      <c r="B362" t="s">
        <v>421</v>
      </c>
      <c r="C362">
        <v>4.8</v>
      </c>
      <c r="D362">
        <v>8922</v>
      </c>
      <c r="E362">
        <v>9</v>
      </c>
      <c r="F362">
        <v>2013</v>
      </c>
      <c r="G362" t="s">
        <v>10</v>
      </c>
      <c r="I362" t="str">
        <v/>
      </c>
    </row>
    <row r="363" spans="1:9" hidden="1" x14ac:dyDescent="0.25">
      <c r="A363" t="s">
        <v>420</v>
      </c>
      <c r="B363" t="s">
        <v>421</v>
      </c>
      <c r="C363">
        <v>4.8</v>
      </c>
      <c r="D363">
        <v>8922</v>
      </c>
      <c r="E363">
        <v>9</v>
      </c>
      <c r="F363">
        <v>2014</v>
      </c>
      <c r="G363" t="s">
        <v>10</v>
      </c>
      <c r="I363" t="str">
        <v/>
      </c>
    </row>
    <row r="364" spans="1:9" hidden="1" x14ac:dyDescent="0.25">
      <c r="A364" t="s">
        <v>420</v>
      </c>
      <c r="B364" t="s">
        <v>421</v>
      </c>
      <c r="C364">
        <v>4.8</v>
      </c>
      <c r="D364">
        <v>8922</v>
      </c>
      <c r="E364">
        <v>9</v>
      </c>
      <c r="F364">
        <v>2015</v>
      </c>
      <c r="G364" t="s">
        <v>10</v>
      </c>
      <c r="I364" t="str">
        <v/>
      </c>
    </row>
    <row r="365" spans="1:9" hidden="1" x14ac:dyDescent="0.25">
      <c r="A365" t="s">
        <v>422</v>
      </c>
      <c r="B365" t="s">
        <v>423</v>
      </c>
      <c r="C365">
        <v>4.0999999999999996</v>
      </c>
      <c r="D365">
        <v>2023</v>
      </c>
      <c r="E365">
        <v>15</v>
      </c>
      <c r="F365">
        <v>2011</v>
      </c>
      <c r="G365" t="s">
        <v>8</v>
      </c>
      <c r="I365" t="str">
        <v/>
      </c>
    </row>
    <row r="366" spans="1:9" hidden="1" x14ac:dyDescent="0.25">
      <c r="A366" t="s">
        <v>424</v>
      </c>
      <c r="B366" t="s">
        <v>425</v>
      </c>
      <c r="C366">
        <v>4</v>
      </c>
      <c r="D366">
        <v>1859</v>
      </c>
      <c r="E366">
        <v>11</v>
      </c>
      <c r="F366">
        <v>2009</v>
      </c>
      <c r="G366" t="s">
        <v>10</v>
      </c>
      <c r="I366" t="str">
        <v/>
      </c>
    </row>
    <row r="367" spans="1:9" hidden="1" x14ac:dyDescent="0.25">
      <c r="A367" t="s">
        <v>426</v>
      </c>
      <c r="B367" t="s">
        <v>287</v>
      </c>
      <c r="C367">
        <v>4.7</v>
      </c>
      <c r="D367">
        <v>50482</v>
      </c>
      <c r="E367">
        <v>13</v>
      </c>
      <c r="F367">
        <v>2012</v>
      </c>
      <c r="G367" t="s">
        <v>10</v>
      </c>
      <c r="I367" t="str">
        <v/>
      </c>
    </row>
    <row r="368" spans="1:9" hidden="1" x14ac:dyDescent="0.25">
      <c r="A368" t="s">
        <v>426</v>
      </c>
      <c r="B368" t="s">
        <v>287</v>
      </c>
      <c r="C368">
        <v>4.7</v>
      </c>
      <c r="D368">
        <v>50482</v>
      </c>
      <c r="E368">
        <v>13</v>
      </c>
      <c r="F368">
        <v>2013</v>
      </c>
      <c r="G368" t="s">
        <v>10</v>
      </c>
      <c r="I368" t="str">
        <v/>
      </c>
    </row>
    <row r="369" spans="1:9" hidden="1" x14ac:dyDescent="0.25">
      <c r="A369" t="s">
        <v>426</v>
      </c>
      <c r="B369" t="s">
        <v>287</v>
      </c>
      <c r="C369">
        <v>4.7</v>
      </c>
      <c r="D369">
        <v>50482</v>
      </c>
      <c r="E369">
        <v>7</v>
      </c>
      <c r="F369">
        <v>2014</v>
      </c>
      <c r="G369" t="s">
        <v>10</v>
      </c>
      <c r="I369" t="str">
        <v/>
      </c>
    </row>
    <row r="370" spans="1:9" hidden="1" x14ac:dyDescent="0.25">
      <c r="A370" t="s">
        <v>426</v>
      </c>
      <c r="B370" t="s">
        <v>287</v>
      </c>
      <c r="C370">
        <v>4.7</v>
      </c>
      <c r="D370">
        <v>50482</v>
      </c>
      <c r="E370">
        <v>13</v>
      </c>
      <c r="F370">
        <v>2014</v>
      </c>
      <c r="G370" t="s">
        <v>10</v>
      </c>
      <c r="I370" t="str">
        <v/>
      </c>
    </row>
    <row r="371" spans="1:9" hidden="1" x14ac:dyDescent="0.25">
      <c r="A371" t="s">
        <v>427</v>
      </c>
      <c r="B371" t="s">
        <v>428</v>
      </c>
      <c r="C371">
        <v>4.5999999999999996</v>
      </c>
      <c r="D371">
        <v>3207</v>
      </c>
      <c r="E371">
        <v>6</v>
      </c>
      <c r="F371">
        <v>2009</v>
      </c>
      <c r="G371" t="s">
        <v>8</v>
      </c>
      <c r="I371" t="str">
        <v/>
      </c>
    </row>
    <row r="372" spans="1:9" hidden="1" x14ac:dyDescent="0.25">
      <c r="A372" t="s">
        <v>427</v>
      </c>
      <c r="B372" t="s">
        <v>428</v>
      </c>
      <c r="C372">
        <v>4.5999999999999996</v>
      </c>
      <c r="D372">
        <v>3207</v>
      </c>
      <c r="E372">
        <v>6</v>
      </c>
      <c r="F372">
        <v>2010</v>
      </c>
      <c r="G372" t="s">
        <v>8</v>
      </c>
      <c r="I372" t="str">
        <v/>
      </c>
    </row>
    <row r="373" spans="1:9" hidden="1" x14ac:dyDescent="0.25">
      <c r="A373" t="s">
        <v>427</v>
      </c>
      <c r="B373" t="s">
        <v>428</v>
      </c>
      <c r="C373">
        <v>4.5999999999999996</v>
      </c>
      <c r="D373">
        <v>3207</v>
      </c>
      <c r="E373">
        <v>6</v>
      </c>
      <c r="F373">
        <v>2011</v>
      </c>
      <c r="G373" t="s">
        <v>8</v>
      </c>
      <c r="I373" t="str">
        <v/>
      </c>
    </row>
    <row r="374" spans="1:9" hidden="1" x14ac:dyDescent="0.25">
      <c r="A374" t="s">
        <v>427</v>
      </c>
      <c r="B374" t="s">
        <v>428</v>
      </c>
      <c r="C374">
        <v>4.5999999999999996</v>
      </c>
      <c r="D374">
        <v>3207</v>
      </c>
      <c r="E374">
        <v>6</v>
      </c>
      <c r="F374">
        <v>2012</v>
      </c>
      <c r="G374" t="s">
        <v>8</v>
      </c>
      <c r="I374" t="str">
        <v/>
      </c>
    </row>
    <row r="375" spans="1:9" hidden="1" x14ac:dyDescent="0.25">
      <c r="A375" t="s">
        <v>427</v>
      </c>
      <c r="B375" t="s">
        <v>428</v>
      </c>
      <c r="C375">
        <v>4.5999999999999996</v>
      </c>
      <c r="D375">
        <v>3207</v>
      </c>
      <c r="E375">
        <v>6</v>
      </c>
      <c r="F375">
        <v>2013</v>
      </c>
      <c r="G375" t="s">
        <v>8</v>
      </c>
      <c r="I375" t="str">
        <v/>
      </c>
    </row>
    <row r="376" spans="1:9" hidden="1" x14ac:dyDescent="0.25">
      <c r="A376" t="s">
        <v>429</v>
      </c>
      <c r="B376" t="s">
        <v>383</v>
      </c>
      <c r="C376">
        <v>4.5999999999999996</v>
      </c>
      <c r="D376">
        <v>803</v>
      </c>
      <c r="E376">
        <v>9</v>
      </c>
      <c r="F376">
        <v>2009</v>
      </c>
      <c r="G376" t="s">
        <v>8</v>
      </c>
      <c r="I376" t="str">
        <v/>
      </c>
    </row>
    <row r="377" spans="1:9" hidden="1" x14ac:dyDescent="0.25">
      <c r="A377" t="s">
        <v>430</v>
      </c>
      <c r="B377" t="s">
        <v>431</v>
      </c>
      <c r="C377">
        <v>4.7</v>
      </c>
      <c r="D377">
        <v>23308</v>
      </c>
      <c r="E377">
        <v>6</v>
      </c>
      <c r="F377">
        <v>2013</v>
      </c>
      <c r="G377" t="s">
        <v>8</v>
      </c>
      <c r="I377" t="str">
        <v/>
      </c>
    </row>
    <row r="378" spans="1:9" hidden="1" x14ac:dyDescent="0.25">
      <c r="A378" t="s">
        <v>430</v>
      </c>
      <c r="B378" t="s">
        <v>431</v>
      </c>
      <c r="C378">
        <v>4.7</v>
      </c>
      <c r="D378">
        <v>23308</v>
      </c>
      <c r="E378">
        <v>6</v>
      </c>
      <c r="F378">
        <v>2015</v>
      </c>
      <c r="G378" t="s">
        <v>8</v>
      </c>
      <c r="I378" t="str">
        <v/>
      </c>
    </row>
    <row r="379" spans="1:9" hidden="1" x14ac:dyDescent="0.25">
      <c r="A379" t="s">
        <v>430</v>
      </c>
      <c r="B379" t="s">
        <v>431</v>
      </c>
      <c r="C379">
        <v>4.7</v>
      </c>
      <c r="D379">
        <v>23308</v>
      </c>
      <c r="E379">
        <v>6</v>
      </c>
      <c r="F379">
        <v>2016</v>
      </c>
      <c r="G379" t="s">
        <v>8</v>
      </c>
      <c r="I379" t="str">
        <v/>
      </c>
    </row>
    <row r="380" spans="1:9" hidden="1" x14ac:dyDescent="0.25">
      <c r="A380" t="s">
        <v>430</v>
      </c>
      <c r="B380" t="s">
        <v>431</v>
      </c>
      <c r="C380">
        <v>4.7</v>
      </c>
      <c r="D380">
        <v>23308</v>
      </c>
      <c r="E380">
        <v>6</v>
      </c>
      <c r="F380">
        <v>2017</v>
      </c>
      <c r="G380" t="s">
        <v>8</v>
      </c>
      <c r="I380" t="str">
        <v/>
      </c>
    </row>
    <row r="381" spans="1:9" hidden="1" x14ac:dyDescent="0.25">
      <c r="A381" t="s">
        <v>430</v>
      </c>
      <c r="B381" t="s">
        <v>431</v>
      </c>
      <c r="C381">
        <v>4.7</v>
      </c>
      <c r="D381">
        <v>23308</v>
      </c>
      <c r="E381">
        <v>6</v>
      </c>
      <c r="F381">
        <v>2018</v>
      </c>
      <c r="G381" t="s">
        <v>8</v>
      </c>
      <c r="I381" t="str">
        <v/>
      </c>
    </row>
    <row r="382" spans="1:9" hidden="1" x14ac:dyDescent="0.25">
      <c r="A382" t="s">
        <v>430</v>
      </c>
      <c r="B382" t="s">
        <v>431</v>
      </c>
      <c r="C382">
        <v>4.7</v>
      </c>
      <c r="D382">
        <v>23308</v>
      </c>
      <c r="E382">
        <v>6</v>
      </c>
      <c r="F382">
        <v>2019</v>
      </c>
      <c r="G382" t="s">
        <v>8</v>
      </c>
      <c r="I382" t="str">
        <v/>
      </c>
    </row>
    <row r="383" spans="1:9" hidden="1" x14ac:dyDescent="0.25">
      <c r="A383" t="s">
        <v>432</v>
      </c>
      <c r="B383" t="s">
        <v>78</v>
      </c>
      <c r="C383">
        <v>4.8</v>
      </c>
      <c r="D383">
        <v>5836</v>
      </c>
      <c r="E383">
        <v>0</v>
      </c>
      <c r="F383">
        <v>2017</v>
      </c>
      <c r="G383" t="s">
        <v>10</v>
      </c>
      <c r="I383" t="str">
        <v/>
      </c>
    </row>
    <row r="384" spans="1:9" hidden="1" x14ac:dyDescent="0.25">
      <c r="A384" t="s">
        <v>433</v>
      </c>
      <c r="B384" t="s">
        <v>434</v>
      </c>
      <c r="C384">
        <v>4.0999999999999996</v>
      </c>
      <c r="D384">
        <v>79446</v>
      </c>
      <c r="E384">
        <v>18</v>
      </c>
      <c r="F384">
        <v>2015</v>
      </c>
      <c r="G384" t="s">
        <v>10</v>
      </c>
      <c r="I384" t="str">
        <v/>
      </c>
    </row>
    <row r="385" spans="1:9" hidden="1" x14ac:dyDescent="0.25">
      <c r="A385" t="s">
        <v>433</v>
      </c>
      <c r="B385" t="s">
        <v>434</v>
      </c>
      <c r="C385">
        <v>4.0999999999999996</v>
      </c>
      <c r="D385">
        <v>79446</v>
      </c>
      <c r="E385">
        <v>7</v>
      </c>
      <c r="F385">
        <v>2016</v>
      </c>
      <c r="G385" t="s">
        <v>10</v>
      </c>
      <c r="I385" t="str">
        <v/>
      </c>
    </row>
    <row r="386" spans="1:9" hidden="1" x14ac:dyDescent="0.25">
      <c r="A386" t="s">
        <v>435</v>
      </c>
      <c r="B386" t="s">
        <v>436</v>
      </c>
      <c r="C386">
        <v>4.7</v>
      </c>
      <c r="D386">
        <v>7747</v>
      </c>
      <c r="E386">
        <v>14</v>
      </c>
      <c r="F386">
        <v>2010</v>
      </c>
      <c r="G386" t="s">
        <v>10</v>
      </c>
      <c r="I386" t="str">
        <v/>
      </c>
    </row>
    <row r="387" spans="1:9" hidden="1" x14ac:dyDescent="0.25">
      <c r="A387" t="s">
        <v>435</v>
      </c>
      <c r="B387" t="s">
        <v>436</v>
      </c>
      <c r="C387">
        <v>4.7</v>
      </c>
      <c r="D387">
        <v>7747</v>
      </c>
      <c r="E387">
        <v>14</v>
      </c>
      <c r="F387">
        <v>2011</v>
      </c>
      <c r="G387" t="s">
        <v>10</v>
      </c>
      <c r="I387" t="str">
        <v/>
      </c>
    </row>
    <row r="388" spans="1:9" hidden="1" x14ac:dyDescent="0.25">
      <c r="A388" t="s">
        <v>437</v>
      </c>
      <c r="B388" t="s">
        <v>436</v>
      </c>
      <c r="C388">
        <v>4.7</v>
      </c>
      <c r="D388">
        <v>7251</v>
      </c>
      <c r="E388">
        <v>9</v>
      </c>
      <c r="F388">
        <v>2010</v>
      </c>
      <c r="G388" t="s">
        <v>10</v>
      </c>
      <c r="I388" t="str">
        <v/>
      </c>
    </row>
    <row r="389" spans="1:9" hidden="1" x14ac:dyDescent="0.25">
      <c r="A389" t="s">
        <v>438</v>
      </c>
      <c r="B389" t="s">
        <v>436</v>
      </c>
      <c r="C389">
        <v>4.7</v>
      </c>
      <c r="D389">
        <v>7251</v>
      </c>
      <c r="E389">
        <v>16</v>
      </c>
      <c r="F389">
        <v>2009</v>
      </c>
      <c r="G389" t="s">
        <v>10</v>
      </c>
      <c r="I389" t="str">
        <v/>
      </c>
    </row>
    <row r="390" spans="1:9" hidden="1" x14ac:dyDescent="0.25">
      <c r="A390" t="s">
        <v>439</v>
      </c>
      <c r="B390" t="s">
        <v>436</v>
      </c>
      <c r="C390">
        <v>4.4000000000000004</v>
      </c>
      <c r="D390">
        <v>10559</v>
      </c>
      <c r="E390">
        <v>2</v>
      </c>
      <c r="F390">
        <v>2009</v>
      </c>
      <c r="G390" t="s">
        <v>10</v>
      </c>
      <c r="I390" t="str">
        <v/>
      </c>
    </row>
    <row r="391" spans="1:9" hidden="1" x14ac:dyDescent="0.25">
      <c r="A391" t="s">
        <v>439</v>
      </c>
      <c r="B391" t="s">
        <v>436</v>
      </c>
      <c r="C391">
        <v>4.4000000000000004</v>
      </c>
      <c r="D391">
        <v>10559</v>
      </c>
      <c r="E391">
        <v>2</v>
      </c>
      <c r="F391">
        <v>2010</v>
      </c>
      <c r="G391" t="s">
        <v>10</v>
      </c>
      <c r="I391" t="str">
        <v/>
      </c>
    </row>
    <row r="392" spans="1:9" hidden="1" x14ac:dyDescent="0.25">
      <c r="A392" t="s">
        <v>440</v>
      </c>
      <c r="B392" t="s">
        <v>441</v>
      </c>
      <c r="C392">
        <v>4.8</v>
      </c>
      <c r="D392">
        <v>5249</v>
      </c>
      <c r="E392">
        <v>5</v>
      </c>
      <c r="F392">
        <v>2016</v>
      </c>
      <c r="G392" t="s">
        <v>10</v>
      </c>
      <c r="I392" t="str">
        <v/>
      </c>
    </row>
    <row r="393" spans="1:9" hidden="1" x14ac:dyDescent="0.25">
      <c r="A393" t="s">
        <v>440</v>
      </c>
      <c r="B393" t="s">
        <v>441</v>
      </c>
      <c r="C393">
        <v>4.8</v>
      </c>
      <c r="D393">
        <v>5249</v>
      </c>
      <c r="E393">
        <v>5</v>
      </c>
      <c r="F393">
        <v>2017</v>
      </c>
      <c r="G393" t="s">
        <v>10</v>
      </c>
      <c r="I393" t="str">
        <v/>
      </c>
    </row>
    <row r="394" spans="1:9" hidden="1" x14ac:dyDescent="0.25">
      <c r="A394" t="s">
        <v>442</v>
      </c>
      <c r="B394" t="s">
        <v>443</v>
      </c>
      <c r="C394">
        <v>3.9</v>
      </c>
      <c r="D394">
        <v>33844</v>
      </c>
      <c r="E394">
        <v>20</v>
      </c>
      <c r="F394">
        <v>2013</v>
      </c>
      <c r="G394" t="s">
        <v>10</v>
      </c>
      <c r="I394" t="str">
        <v/>
      </c>
    </row>
    <row r="395" spans="1:9" hidden="1" x14ac:dyDescent="0.25">
      <c r="A395" t="s">
        <v>442</v>
      </c>
      <c r="B395" t="s">
        <v>443</v>
      </c>
      <c r="C395">
        <v>3.9</v>
      </c>
      <c r="D395">
        <v>33844</v>
      </c>
      <c r="E395">
        <v>20</v>
      </c>
      <c r="F395">
        <v>2014</v>
      </c>
      <c r="G395" t="s">
        <v>10</v>
      </c>
      <c r="I395" t="str">
        <v/>
      </c>
    </row>
    <row r="396" spans="1:9" hidden="1" x14ac:dyDescent="0.25">
      <c r="A396" t="s">
        <v>444</v>
      </c>
      <c r="B396" t="s">
        <v>445</v>
      </c>
      <c r="C396">
        <v>4.4000000000000004</v>
      </c>
      <c r="D396">
        <v>11616</v>
      </c>
      <c r="E396">
        <v>7</v>
      </c>
      <c r="F396">
        <v>2012</v>
      </c>
      <c r="G396" t="s">
        <v>10</v>
      </c>
      <c r="I396" t="str">
        <v/>
      </c>
    </row>
    <row r="397" spans="1:9" hidden="1" x14ac:dyDescent="0.25">
      <c r="A397" t="s">
        <v>444</v>
      </c>
      <c r="B397" t="s">
        <v>445</v>
      </c>
      <c r="C397">
        <v>4.4000000000000004</v>
      </c>
      <c r="D397">
        <v>11616</v>
      </c>
      <c r="E397">
        <v>7</v>
      </c>
      <c r="F397">
        <v>2013</v>
      </c>
      <c r="G397" t="s">
        <v>10</v>
      </c>
      <c r="I397" t="str">
        <v/>
      </c>
    </row>
    <row r="398" spans="1:9" hidden="1" x14ac:dyDescent="0.25">
      <c r="A398" t="s">
        <v>444</v>
      </c>
      <c r="B398" t="s">
        <v>445</v>
      </c>
      <c r="C398">
        <v>4.4000000000000004</v>
      </c>
      <c r="D398">
        <v>11616</v>
      </c>
      <c r="E398">
        <v>7</v>
      </c>
      <c r="F398">
        <v>2014</v>
      </c>
      <c r="G398" t="s">
        <v>10</v>
      </c>
      <c r="I398" t="str">
        <v/>
      </c>
    </row>
    <row r="399" spans="1:9" hidden="1" x14ac:dyDescent="0.25">
      <c r="A399" t="s">
        <v>446</v>
      </c>
      <c r="B399" t="s">
        <v>375</v>
      </c>
      <c r="C399">
        <v>4.5</v>
      </c>
      <c r="D399">
        <v>13609</v>
      </c>
      <c r="E399">
        <v>14</v>
      </c>
      <c r="F399">
        <v>2019</v>
      </c>
      <c r="G399" t="s">
        <v>10</v>
      </c>
      <c r="I399" t="str">
        <v/>
      </c>
    </row>
    <row r="400" spans="1:9" hidden="1" x14ac:dyDescent="0.25">
      <c r="A400" t="s">
        <v>447</v>
      </c>
      <c r="B400" t="s">
        <v>448</v>
      </c>
      <c r="C400">
        <v>4.7</v>
      </c>
      <c r="D400">
        <v>8587</v>
      </c>
      <c r="E400">
        <v>10</v>
      </c>
      <c r="F400">
        <v>2009</v>
      </c>
      <c r="G400" t="s">
        <v>10</v>
      </c>
      <c r="I400" t="str">
        <v/>
      </c>
    </row>
    <row r="401" spans="1:9" hidden="1" x14ac:dyDescent="0.25">
      <c r="A401" t="s">
        <v>449</v>
      </c>
      <c r="B401" t="s">
        <v>450</v>
      </c>
      <c r="C401">
        <v>4.3</v>
      </c>
      <c r="D401">
        <v>29442</v>
      </c>
      <c r="E401">
        <v>7</v>
      </c>
      <c r="F401">
        <v>2017</v>
      </c>
      <c r="G401" t="s">
        <v>10</v>
      </c>
      <c r="I401" t="str">
        <v/>
      </c>
    </row>
    <row r="402" spans="1:9" hidden="1" x14ac:dyDescent="0.25">
      <c r="A402" t="s">
        <v>451</v>
      </c>
      <c r="B402" t="s">
        <v>452</v>
      </c>
      <c r="C402">
        <v>4.5999999999999996</v>
      </c>
      <c r="D402">
        <v>11098</v>
      </c>
      <c r="E402">
        <v>13</v>
      </c>
      <c r="F402">
        <v>2012</v>
      </c>
      <c r="G402" t="s">
        <v>10</v>
      </c>
      <c r="I402" t="str">
        <v/>
      </c>
    </row>
    <row r="403" spans="1:9" hidden="1" x14ac:dyDescent="0.25">
      <c r="A403" t="s">
        <v>453</v>
      </c>
      <c r="B403" t="s">
        <v>454</v>
      </c>
      <c r="C403">
        <v>4.8</v>
      </c>
      <c r="D403">
        <v>9947</v>
      </c>
      <c r="E403">
        <v>11</v>
      </c>
      <c r="F403">
        <v>2018</v>
      </c>
      <c r="G403" t="s">
        <v>10</v>
      </c>
      <c r="I403" t="str">
        <v/>
      </c>
    </row>
    <row r="404" spans="1:9" hidden="1" x14ac:dyDescent="0.25">
      <c r="A404" t="s">
        <v>455</v>
      </c>
      <c r="B404" t="s">
        <v>456</v>
      </c>
      <c r="C404">
        <v>4.8</v>
      </c>
      <c r="D404">
        <v>13871</v>
      </c>
      <c r="E404">
        <v>6</v>
      </c>
      <c r="F404">
        <v>2009</v>
      </c>
      <c r="G404" t="s">
        <v>10</v>
      </c>
      <c r="I404" t="str">
        <v/>
      </c>
    </row>
    <row r="405" spans="1:9" hidden="1" x14ac:dyDescent="0.25">
      <c r="A405" t="s">
        <v>455</v>
      </c>
      <c r="B405" t="s">
        <v>456</v>
      </c>
      <c r="C405">
        <v>4.8</v>
      </c>
      <c r="D405">
        <v>13871</v>
      </c>
      <c r="E405">
        <v>6</v>
      </c>
      <c r="F405">
        <v>2010</v>
      </c>
      <c r="G405" t="s">
        <v>10</v>
      </c>
      <c r="I405" t="str">
        <v/>
      </c>
    </row>
    <row r="406" spans="1:9" hidden="1" x14ac:dyDescent="0.25">
      <c r="A406" t="s">
        <v>455</v>
      </c>
      <c r="B406" t="s">
        <v>456</v>
      </c>
      <c r="C406">
        <v>4.8</v>
      </c>
      <c r="D406">
        <v>13871</v>
      </c>
      <c r="E406">
        <v>8</v>
      </c>
      <c r="F406">
        <v>2011</v>
      </c>
      <c r="G406" t="s">
        <v>10</v>
      </c>
      <c r="I406" t="str">
        <v/>
      </c>
    </row>
    <row r="407" spans="1:9" hidden="1" x14ac:dyDescent="0.25">
      <c r="A407" t="s">
        <v>455</v>
      </c>
      <c r="B407" t="s">
        <v>456</v>
      </c>
      <c r="C407">
        <v>4.8</v>
      </c>
      <c r="D407">
        <v>13871</v>
      </c>
      <c r="E407">
        <v>7</v>
      </c>
      <c r="F407">
        <v>2011</v>
      </c>
      <c r="G407" t="s">
        <v>10</v>
      </c>
      <c r="I407" t="str">
        <v/>
      </c>
    </row>
    <row r="408" spans="1:9" hidden="1" x14ac:dyDescent="0.25">
      <c r="A408" t="s">
        <v>457</v>
      </c>
      <c r="B408" t="s">
        <v>331</v>
      </c>
      <c r="C408">
        <v>4.8</v>
      </c>
      <c r="D408">
        <v>6982</v>
      </c>
      <c r="E408">
        <v>14</v>
      </c>
      <c r="F408">
        <v>2013</v>
      </c>
      <c r="G408" t="s">
        <v>10</v>
      </c>
      <c r="I408" t="str">
        <v/>
      </c>
    </row>
    <row r="409" spans="1:9" hidden="1" x14ac:dyDescent="0.25">
      <c r="A409" t="s">
        <v>458</v>
      </c>
      <c r="B409" t="s">
        <v>86</v>
      </c>
      <c r="C409">
        <v>4.7</v>
      </c>
      <c r="D409">
        <v>32122</v>
      </c>
      <c r="E409">
        <v>14</v>
      </c>
      <c r="F409">
        <v>2010</v>
      </c>
      <c r="G409" t="s">
        <v>10</v>
      </c>
      <c r="I409" t="str">
        <v/>
      </c>
    </row>
    <row r="410" spans="1:9" hidden="1" x14ac:dyDescent="0.25">
      <c r="A410" t="s">
        <v>459</v>
      </c>
      <c r="B410" t="s">
        <v>86</v>
      </c>
      <c r="C410">
        <v>4.7</v>
      </c>
      <c r="D410">
        <v>32122</v>
      </c>
      <c r="E410">
        <v>8</v>
      </c>
      <c r="F410">
        <v>2011</v>
      </c>
      <c r="G410" t="s">
        <v>10</v>
      </c>
      <c r="I410" t="str">
        <v/>
      </c>
    </row>
    <row r="411" spans="1:9" hidden="1" x14ac:dyDescent="0.25">
      <c r="A411" t="s">
        <v>459</v>
      </c>
      <c r="B411" t="s">
        <v>86</v>
      </c>
      <c r="C411">
        <v>4.7</v>
      </c>
      <c r="D411">
        <v>32122</v>
      </c>
      <c r="E411">
        <v>8</v>
      </c>
      <c r="F411">
        <v>2012</v>
      </c>
      <c r="G411" t="s">
        <v>10</v>
      </c>
      <c r="I411" t="str">
        <v/>
      </c>
    </row>
    <row r="412" spans="1:9" hidden="1" x14ac:dyDescent="0.25">
      <c r="A412" t="s">
        <v>460</v>
      </c>
      <c r="B412" t="s">
        <v>86</v>
      </c>
      <c r="C412">
        <v>4.8</v>
      </c>
      <c r="D412">
        <v>16949</v>
      </c>
      <c r="E412">
        <v>30</v>
      </c>
      <c r="F412">
        <v>2011</v>
      </c>
      <c r="G412" t="s">
        <v>10</v>
      </c>
      <c r="I412" t="str">
        <v/>
      </c>
    </row>
    <row r="413" spans="1:9" hidden="1" x14ac:dyDescent="0.25">
      <c r="A413" t="s">
        <v>460</v>
      </c>
      <c r="B413" t="s">
        <v>86</v>
      </c>
      <c r="C413">
        <v>4.8</v>
      </c>
      <c r="D413">
        <v>16949</v>
      </c>
      <c r="E413">
        <v>30</v>
      </c>
      <c r="F413">
        <v>2012</v>
      </c>
      <c r="G413" t="s">
        <v>10</v>
      </c>
      <c r="I413" t="str">
        <v/>
      </c>
    </row>
    <row r="414" spans="1:9" hidden="1" x14ac:dyDescent="0.25">
      <c r="A414" t="s">
        <v>461</v>
      </c>
      <c r="B414" t="s">
        <v>462</v>
      </c>
      <c r="C414">
        <v>4.7</v>
      </c>
      <c r="D414">
        <v>9289</v>
      </c>
      <c r="E414">
        <v>13</v>
      </c>
      <c r="F414">
        <v>2010</v>
      </c>
      <c r="G414" t="s">
        <v>8</v>
      </c>
      <c r="I414" t="str">
        <v/>
      </c>
    </row>
    <row r="415" spans="1:9" hidden="1" x14ac:dyDescent="0.25">
      <c r="A415" t="s">
        <v>461</v>
      </c>
      <c r="B415" t="s">
        <v>462</v>
      </c>
      <c r="C415">
        <v>4.7</v>
      </c>
      <c r="D415">
        <v>9289</v>
      </c>
      <c r="E415">
        <v>9</v>
      </c>
      <c r="F415">
        <v>2011</v>
      </c>
      <c r="G415" t="s">
        <v>8</v>
      </c>
      <c r="I415" t="str">
        <v/>
      </c>
    </row>
    <row r="416" spans="1:9" hidden="1" x14ac:dyDescent="0.25">
      <c r="A416" t="s">
        <v>461</v>
      </c>
      <c r="B416" t="s">
        <v>462</v>
      </c>
      <c r="C416">
        <v>4.7</v>
      </c>
      <c r="D416">
        <v>9289</v>
      </c>
      <c r="E416">
        <v>9</v>
      </c>
      <c r="F416">
        <v>2012</v>
      </c>
      <c r="G416" t="s">
        <v>8</v>
      </c>
      <c r="I416" t="str">
        <v/>
      </c>
    </row>
    <row r="417" spans="1:9" hidden="1" x14ac:dyDescent="0.25">
      <c r="A417" t="s">
        <v>463</v>
      </c>
      <c r="B417" t="s">
        <v>464</v>
      </c>
      <c r="C417">
        <v>4.3</v>
      </c>
      <c r="D417">
        <v>7368</v>
      </c>
      <c r="E417">
        <v>7</v>
      </c>
      <c r="F417">
        <v>2017</v>
      </c>
      <c r="G417" t="s">
        <v>8</v>
      </c>
      <c r="I417" t="str">
        <v/>
      </c>
    </row>
    <row r="418" spans="1:9" hidden="1" x14ac:dyDescent="0.25">
      <c r="A418" t="s">
        <v>463</v>
      </c>
      <c r="B418" t="s">
        <v>464</v>
      </c>
      <c r="C418">
        <v>4.3</v>
      </c>
      <c r="D418">
        <v>7368</v>
      </c>
      <c r="E418">
        <v>7</v>
      </c>
      <c r="F418">
        <v>2018</v>
      </c>
      <c r="G418" t="s">
        <v>8</v>
      </c>
      <c r="I418" t="str">
        <v/>
      </c>
    </row>
    <row r="419" spans="1:9" hidden="1" x14ac:dyDescent="0.25">
      <c r="A419" t="s">
        <v>465</v>
      </c>
      <c r="B419" t="s">
        <v>466</v>
      </c>
      <c r="C419">
        <v>4.7</v>
      </c>
      <c r="D419">
        <v>4028</v>
      </c>
      <c r="E419">
        <v>9</v>
      </c>
      <c r="F419">
        <v>2009</v>
      </c>
      <c r="G419" t="s">
        <v>8</v>
      </c>
      <c r="I419" t="str">
        <v/>
      </c>
    </row>
    <row r="420" spans="1:9" hidden="1" x14ac:dyDescent="0.25">
      <c r="A420" t="s">
        <v>467</v>
      </c>
      <c r="B420" t="s">
        <v>331</v>
      </c>
      <c r="C420">
        <v>4.8</v>
      </c>
      <c r="D420">
        <v>4628</v>
      </c>
      <c r="E420">
        <v>7</v>
      </c>
      <c r="F420">
        <v>2009</v>
      </c>
      <c r="G420" t="s">
        <v>10</v>
      </c>
      <c r="I420" t="str">
        <v/>
      </c>
    </row>
    <row r="421" spans="1:9" hidden="1" x14ac:dyDescent="0.25">
      <c r="A421" t="s">
        <v>467</v>
      </c>
      <c r="B421" t="s">
        <v>331</v>
      </c>
      <c r="C421">
        <v>4.8</v>
      </c>
      <c r="D421">
        <v>4628</v>
      </c>
      <c r="E421">
        <v>7</v>
      </c>
      <c r="F421">
        <v>2010</v>
      </c>
      <c r="G421" t="s">
        <v>10</v>
      </c>
      <c r="I421" t="str">
        <v/>
      </c>
    </row>
    <row r="422" spans="1:9" hidden="1" x14ac:dyDescent="0.25">
      <c r="A422" t="s">
        <v>468</v>
      </c>
      <c r="B422" t="s">
        <v>469</v>
      </c>
      <c r="C422">
        <v>4.9000000000000004</v>
      </c>
      <c r="D422">
        <v>5396</v>
      </c>
      <c r="E422">
        <v>20</v>
      </c>
      <c r="F422">
        <v>2013</v>
      </c>
      <c r="G422" t="s">
        <v>10</v>
      </c>
      <c r="I422" t="str">
        <v/>
      </c>
    </row>
    <row r="423" spans="1:9" hidden="1" x14ac:dyDescent="0.25">
      <c r="A423" t="s">
        <v>470</v>
      </c>
      <c r="B423" t="s">
        <v>471</v>
      </c>
      <c r="C423">
        <v>4.4000000000000004</v>
      </c>
      <c r="D423">
        <v>4247</v>
      </c>
      <c r="E423">
        <v>13</v>
      </c>
      <c r="F423">
        <v>2011</v>
      </c>
      <c r="G423" t="s">
        <v>8</v>
      </c>
      <c r="I423" t="str">
        <v/>
      </c>
    </row>
    <row r="424" spans="1:9" hidden="1" x14ac:dyDescent="0.25">
      <c r="A424" t="s">
        <v>470</v>
      </c>
      <c r="B424" t="s">
        <v>471</v>
      </c>
      <c r="C424">
        <v>4.4000000000000004</v>
      </c>
      <c r="D424">
        <v>4247</v>
      </c>
      <c r="E424">
        <v>13</v>
      </c>
      <c r="F424">
        <v>2012</v>
      </c>
      <c r="G424" t="s">
        <v>8</v>
      </c>
      <c r="I424" t="str">
        <v/>
      </c>
    </row>
    <row r="425" spans="1:9" hidden="1" x14ac:dyDescent="0.25">
      <c r="A425" t="s">
        <v>472</v>
      </c>
      <c r="B425" t="s">
        <v>473</v>
      </c>
      <c r="C425">
        <v>4.5</v>
      </c>
      <c r="D425">
        <v>22641</v>
      </c>
      <c r="E425">
        <v>11</v>
      </c>
      <c r="F425">
        <v>2015</v>
      </c>
      <c r="G425" t="s">
        <v>8</v>
      </c>
      <c r="I425" t="str">
        <v/>
      </c>
    </row>
    <row r="426" spans="1:9" hidden="1" x14ac:dyDescent="0.25">
      <c r="A426" t="s">
        <v>472</v>
      </c>
      <c r="B426" t="s">
        <v>473</v>
      </c>
      <c r="C426">
        <v>4.5</v>
      </c>
      <c r="D426">
        <v>22641</v>
      </c>
      <c r="E426">
        <v>11</v>
      </c>
      <c r="F426">
        <v>2016</v>
      </c>
      <c r="G426" t="s">
        <v>8</v>
      </c>
      <c r="I426" t="str">
        <v/>
      </c>
    </row>
    <row r="427" spans="1:9" hidden="1" x14ac:dyDescent="0.25">
      <c r="A427" t="s">
        <v>472</v>
      </c>
      <c r="B427" t="s">
        <v>473</v>
      </c>
      <c r="C427">
        <v>4.5</v>
      </c>
      <c r="D427">
        <v>22641</v>
      </c>
      <c r="E427">
        <v>11</v>
      </c>
      <c r="F427">
        <v>2017</v>
      </c>
      <c r="G427" t="s">
        <v>8</v>
      </c>
      <c r="I427" t="str">
        <v/>
      </c>
    </row>
    <row r="428" spans="1:9" hidden="1" x14ac:dyDescent="0.25">
      <c r="A428" t="s">
        <v>472</v>
      </c>
      <c r="B428" t="s">
        <v>473</v>
      </c>
      <c r="C428">
        <v>4.5</v>
      </c>
      <c r="D428">
        <v>22641</v>
      </c>
      <c r="E428">
        <v>11</v>
      </c>
      <c r="F428">
        <v>2019</v>
      </c>
      <c r="G428" t="s">
        <v>8</v>
      </c>
      <c r="I428" t="str">
        <v/>
      </c>
    </row>
    <row r="429" spans="1:9" hidden="1" x14ac:dyDescent="0.25">
      <c r="A429" t="s">
        <v>474</v>
      </c>
      <c r="B429" t="s">
        <v>375</v>
      </c>
      <c r="C429">
        <v>4.4000000000000004</v>
      </c>
      <c r="D429">
        <v>6222</v>
      </c>
      <c r="E429">
        <v>18</v>
      </c>
      <c r="F429">
        <v>2011</v>
      </c>
      <c r="G429" t="s">
        <v>10</v>
      </c>
      <c r="I429" t="str">
        <v/>
      </c>
    </row>
    <row r="430" spans="1:9" hidden="1" x14ac:dyDescent="0.25">
      <c r="A430" t="s">
        <v>475</v>
      </c>
      <c r="B430" t="s">
        <v>331</v>
      </c>
      <c r="C430">
        <v>4.8</v>
      </c>
      <c r="D430">
        <v>4506</v>
      </c>
      <c r="E430">
        <v>14</v>
      </c>
      <c r="F430">
        <v>2010</v>
      </c>
      <c r="G430" t="s">
        <v>10</v>
      </c>
      <c r="I430" t="str">
        <v/>
      </c>
    </row>
    <row r="431" spans="1:9" hidden="1" x14ac:dyDescent="0.25">
      <c r="A431" t="s">
        <v>476</v>
      </c>
      <c r="B431" t="s">
        <v>243</v>
      </c>
      <c r="C431">
        <v>4.2</v>
      </c>
      <c r="D431">
        <v>8747</v>
      </c>
      <c r="E431">
        <v>19</v>
      </c>
      <c r="F431">
        <v>2009</v>
      </c>
      <c r="G431" t="s">
        <v>10</v>
      </c>
      <c r="I431" t="str">
        <v/>
      </c>
    </row>
    <row r="432" spans="1:9" hidden="1" x14ac:dyDescent="0.25">
      <c r="A432" t="s">
        <v>477</v>
      </c>
      <c r="B432" t="s">
        <v>478</v>
      </c>
      <c r="C432">
        <v>4.8</v>
      </c>
      <c r="D432">
        <v>1655</v>
      </c>
      <c r="E432">
        <v>13</v>
      </c>
      <c r="F432">
        <v>2009</v>
      </c>
      <c r="G432" t="s">
        <v>8</v>
      </c>
      <c r="I432" t="str">
        <v/>
      </c>
    </row>
    <row r="433" spans="1:9" hidden="1" x14ac:dyDescent="0.25">
      <c r="A433" t="s">
        <v>479</v>
      </c>
      <c r="B433" t="s">
        <v>480</v>
      </c>
      <c r="C433">
        <v>4.9000000000000004</v>
      </c>
      <c r="D433">
        <v>7861</v>
      </c>
      <c r="E433">
        <v>5</v>
      </c>
      <c r="F433">
        <v>2016</v>
      </c>
      <c r="G433" t="s">
        <v>8</v>
      </c>
      <c r="I433" t="str">
        <v/>
      </c>
    </row>
    <row r="434" spans="1:9" hidden="1" x14ac:dyDescent="0.25">
      <c r="A434" t="s">
        <v>481</v>
      </c>
      <c r="B434" t="s">
        <v>331</v>
      </c>
      <c r="C434">
        <v>4.8</v>
      </c>
      <c r="D434">
        <v>6247</v>
      </c>
      <c r="E434">
        <v>10</v>
      </c>
      <c r="F434">
        <v>2012</v>
      </c>
      <c r="G434" t="s">
        <v>10</v>
      </c>
      <c r="I434" t="str">
        <v/>
      </c>
    </row>
    <row r="435" spans="1:9" hidden="1" x14ac:dyDescent="0.25">
      <c r="A435" t="s">
        <v>482</v>
      </c>
      <c r="B435" t="s">
        <v>483</v>
      </c>
      <c r="C435">
        <v>4.7</v>
      </c>
      <c r="D435">
        <v>39459</v>
      </c>
      <c r="E435">
        <v>9</v>
      </c>
      <c r="F435">
        <v>2015</v>
      </c>
      <c r="G435" t="s">
        <v>10</v>
      </c>
      <c r="I435" t="str">
        <v/>
      </c>
    </row>
    <row r="436" spans="1:9" hidden="1" x14ac:dyDescent="0.25">
      <c r="A436" t="s">
        <v>484</v>
      </c>
      <c r="B436" t="s">
        <v>485</v>
      </c>
      <c r="C436">
        <v>4.5</v>
      </c>
      <c r="D436">
        <v>10101</v>
      </c>
      <c r="E436">
        <v>8</v>
      </c>
      <c r="F436">
        <v>2014</v>
      </c>
      <c r="G436" t="s">
        <v>10</v>
      </c>
      <c r="I436" t="str">
        <v/>
      </c>
    </row>
    <row r="437" spans="1:9" hidden="1" x14ac:dyDescent="0.25">
      <c r="A437" t="s">
        <v>486</v>
      </c>
      <c r="B437" t="s">
        <v>78</v>
      </c>
      <c r="C437">
        <v>4.8</v>
      </c>
      <c r="D437">
        <v>5898</v>
      </c>
      <c r="E437">
        <v>8</v>
      </c>
      <c r="F437">
        <v>2018</v>
      </c>
      <c r="G437" t="s">
        <v>10</v>
      </c>
      <c r="I437" t="str">
        <v/>
      </c>
    </row>
    <row r="438" spans="1:9" hidden="1" x14ac:dyDescent="0.25">
      <c r="A438" t="s">
        <v>487</v>
      </c>
      <c r="B438" t="s">
        <v>488</v>
      </c>
      <c r="C438">
        <v>4.5999999999999996</v>
      </c>
      <c r="D438">
        <v>2744</v>
      </c>
      <c r="E438">
        <v>12</v>
      </c>
      <c r="F438">
        <v>2019</v>
      </c>
      <c r="G438" t="s">
        <v>8</v>
      </c>
      <c r="I438" t="str">
        <v/>
      </c>
    </row>
    <row r="439" spans="1:9" hidden="1" x14ac:dyDescent="0.25">
      <c r="A439" t="s">
        <v>489</v>
      </c>
      <c r="B439" t="s">
        <v>490</v>
      </c>
      <c r="C439">
        <v>4.8</v>
      </c>
      <c r="D439">
        <v>49288</v>
      </c>
      <c r="E439">
        <v>11</v>
      </c>
      <c r="F439">
        <v>2015</v>
      </c>
      <c r="G439" t="s">
        <v>10</v>
      </c>
      <c r="I439" t="str">
        <v/>
      </c>
    </row>
    <row r="440" spans="1:9" hidden="1" x14ac:dyDescent="0.25">
      <c r="A440" t="s">
        <v>489</v>
      </c>
      <c r="B440" t="s">
        <v>490</v>
      </c>
      <c r="C440">
        <v>4.8</v>
      </c>
      <c r="D440">
        <v>49288</v>
      </c>
      <c r="E440">
        <v>11</v>
      </c>
      <c r="F440">
        <v>2016</v>
      </c>
      <c r="G440" t="s">
        <v>10</v>
      </c>
      <c r="I440" t="str">
        <v/>
      </c>
    </row>
    <row r="441" spans="1:9" hidden="1" x14ac:dyDescent="0.25">
      <c r="A441" t="s">
        <v>491</v>
      </c>
      <c r="B441" t="s">
        <v>492</v>
      </c>
      <c r="C441">
        <v>4.4000000000000004</v>
      </c>
      <c r="D441">
        <v>1201</v>
      </c>
      <c r="E441">
        <v>40</v>
      </c>
      <c r="F441">
        <v>2010</v>
      </c>
      <c r="G441" t="s">
        <v>8</v>
      </c>
      <c r="I441" t="str">
        <v/>
      </c>
    </row>
    <row r="442" spans="1:9" hidden="1" x14ac:dyDescent="0.25">
      <c r="A442" t="s">
        <v>491</v>
      </c>
      <c r="B442" t="s">
        <v>492</v>
      </c>
      <c r="C442">
        <v>4.4000000000000004</v>
      </c>
      <c r="D442">
        <v>1201</v>
      </c>
      <c r="E442">
        <v>40</v>
      </c>
      <c r="F442">
        <v>2011</v>
      </c>
      <c r="G442" t="s">
        <v>8</v>
      </c>
      <c r="I442" t="str">
        <v/>
      </c>
    </row>
    <row r="443" spans="1:9" hidden="1" x14ac:dyDescent="0.25">
      <c r="A443" t="s">
        <v>491</v>
      </c>
      <c r="B443" t="s">
        <v>492</v>
      </c>
      <c r="C443">
        <v>4.4000000000000004</v>
      </c>
      <c r="D443">
        <v>1201</v>
      </c>
      <c r="E443">
        <v>40</v>
      </c>
      <c r="F443">
        <v>2012</v>
      </c>
      <c r="G443" t="s">
        <v>8</v>
      </c>
      <c r="I443" t="str">
        <v/>
      </c>
    </row>
    <row r="444" spans="1:9" hidden="1" x14ac:dyDescent="0.25">
      <c r="A444" t="s">
        <v>491</v>
      </c>
      <c r="B444" t="s">
        <v>492</v>
      </c>
      <c r="C444">
        <v>4.4000000000000004</v>
      </c>
      <c r="D444">
        <v>1201</v>
      </c>
      <c r="E444">
        <v>40</v>
      </c>
      <c r="F444">
        <v>2013</v>
      </c>
      <c r="G444" t="s">
        <v>8</v>
      </c>
      <c r="I444" t="str">
        <v/>
      </c>
    </row>
    <row r="445" spans="1:9" hidden="1" x14ac:dyDescent="0.25">
      <c r="A445" t="s">
        <v>491</v>
      </c>
      <c r="B445" t="s">
        <v>492</v>
      </c>
      <c r="C445">
        <v>4.4000000000000004</v>
      </c>
      <c r="D445">
        <v>1201</v>
      </c>
      <c r="E445">
        <v>40</v>
      </c>
      <c r="F445">
        <v>2014</v>
      </c>
      <c r="G445" t="s">
        <v>8</v>
      </c>
      <c r="I445" t="str">
        <v/>
      </c>
    </row>
    <row r="446" spans="1:9" hidden="1" x14ac:dyDescent="0.25">
      <c r="A446" t="s">
        <v>493</v>
      </c>
      <c r="B446" t="s">
        <v>492</v>
      </c>
      <c r="C446">
        <v>4.3</v>
      </c>
      <c r="D446">
        <v>807</v>
      </c>
      <c r="E446">
        <v>36</v>
      </c>
      <c r="F446">
        <v>2016</v>
      </c>
      <c r="G446" t="s">
        <v>8</v>
      </c>
      <c r="I446" t="str">
        <v/>
      </c>
    </row>
    <row r="447" spans="1:9" hidden="1" x14ac:dyDescent="0.25">
      <c r="A447" t="s">
        <v>494</v>
      </c>
      <c r="B447" t="s">
        <v>495</v>
      </c>
      <c r="C447">
        <v>4.3</v>
      </c>
      <c r="D447">
        <v>3759</v>
      </c>
      <c r="E447">
        <v>16</v>
      </c>
      <c r="F447">
        <v>2011</v>
      </c>
      <c r="G447" t="s">
        <v>10</v>
      </c>
      <c r="I447" t="str">
        <v/>
      </c>
    </row>
    <row r="448" spans="1:9" hidden="1" x14ac:dyDescent="0.25">
      <c r="A448" t="s">
        <v>496</v>
      </c>
      <c r="B448" t="s">
        <v>497</v>
      </c>
      <c r="C448">
        <v>4.8</v>
      </c>
      <c r="D448">
        <v>2663</v>
      </c>
      <c r="E448">
        <v>17</v>
      </c>
      <c r="F448">
        <v>2013</v>
      </c>
      <c r="G448" t="s">
        <v>8</v>
      </c>
      <c r="I448" t="str">
        <v/>
      </c>
    </row>
    <row r="449" spans="1:9" hidden="1" x14ac:dyDescent="0.25">
      <c r="A449" t="s">
        <v>498</v>
      </c>
      <c r="B449" t="s">
        <v>497</v>
      </c>
      <c r="C449">
        <v>4.8</v>
      </c>
      <c r="D449">
        <v>3428</v>
      </c>
      <c r="E449">
        <v>14</v>
      </c>
      <c r="F449">
        <v>2015</v>
      </c>
      <c r="G449" t="s">
        <v>8</v>
      </c>
      <c r="I449" t="str">
        <v/>
      </c>
    </row>
    <row r="450" spans="1:9" hidden="1" x14ac:dyDescent="0.25">
      <c r="A450" t="s">
        <v>499</v>
      </c>
      <c r="B450" t="s">
        <v>497</v>
      </c>
      <c r="C450">
        <v>4.8</v>
      </c>
      <c r="D450">
        <v>2876</v>
      </c>
      <c r="E450">
        <v>21</v>
      </c>
      <c r="F450">
        <v>2012</v>
      </c>
      <c r="G450" t="s">
        <v>8</v>
      </c>
      <c r="I450" t="str">
        <v/>
      </c>
    </row>
    <row r="451" spans="1:9" hidden="1" x14ac:dyDescent="0.25">
      <c r="A451" t="s">
        <v>500</v>
      </c>
      <c r="B451" t="s">
        <v>501</v>
      </c>
      <c r="C451">
        <v>4.5</v>
      </c>
      <c r="D451">
        <v>3601</v>
      </c>
      <c r="E451">
        <v>18</v>
      </c>
      <c r="F451">
        <v>2018</v>
      </c>
      <c r="G451" t="s">
        <v>8</v>
      </c>
      <c r="I451" t="str">
        <v/>
      </c>
    </row>
    <row r="452" spans="1:9" hidden="1" x14ac:dyDescent="0.25">
      <c r="A452" t="s">
        <v>502</v>
      </c>
      <c r="B452" t="s">
        <v>501</v>
      </c>
      <c r="C452">
        <v>4.4000000000000004</v>
      </c>
      <c r="D452">
        <v>7058</v>
      </c>
      <c r="E452">
        <v>17</v>
      </c>
      <c r="F452">
        <v>2018</v>
      </c>
      <c r="G452" t="s">
        <v>8</v>
      </c>
      <c r="I452" t="str">
        <v/>
      </c>
    </row>
    <row r="453" spans="1:9" hidden="1" x14ac:dyDescent="0.25">
      <c r="A453" t="s">
        <v>503</v>
      </c>
      <c r="B453" t="s">
        <v>504</v>
      </c>
      <c r="C453">
        <v>4.8</v>
      </c>
      <c r="D453">
        <v>9784</v>
      </c>
      <c r="E453">
        <v>5</v>
      </c>
      <c r="F453">
        <v>2017</v>
      </c>
      <c r="G453" t="s">
        <v>10</v>
      </c>
      <c r="I453" t="str">
        <v/>
      </c>
    </row>
    <row r="454" spans="1:9" hidden="1" x14ac:dyDescent="0.25">
      <c r="A454" t="s">
        <v>503</v>
      </c>
      <c r="B454" t="s">
        <v>504</v>
      </c>
      <c r="C454">
        <v>4.8</v>
      </c>
      <c r="D454">
        <v>9784</v>
      </c>
      <c r="E454">
        <v>5</v>
      </c>
      <c r="F454">
        <v>2018</v>
      </c>
      <c r="G454" t="s">
        <v>10</v>
      </c>
      <c r="I454" t="str">
        <v/>
      </c>
    </row>
    <row r="455" spans="1:9" hidden="1" x14ac:dyDescent="0.25">
      <c r="A455" t="s">
        <v>505</v>
      </c>
      <c r="B455" t="s">
        <v>506</v>
      </c>
      <c r="C455">
        <v>4.5999999999999996</v>
      </c>
      <c r="D455">
        <v>10795</v>
      </c>
      <c r="E455">
        <v>21</v>
      </c>
      <c r="F455">
        <v>2012</v>
      </c>
      <c r="G455" t="s">
        <v>8</v>
      </c>
      <c r="I455" t="str">
        <v/>
      </c>
    </row>
    <row r="456" spans="1:9" hidden="1" x14ac:dyDescent="0.25">
      <c r="A456" t="s">
        <v>507</v>
      </c>
      <c r="B456" t="s">
        <v>235</v>
      </c>
      <c r="C456">
        <v>4.3</v>
      </c>
      <c r="D456">
        <v>10191</v>
      </c>
      <c r="E456">
        <v>18</v>
      </c>
      <c r="F456">
        <v>2018</v>
      </c>
      <c r="G456" t="s">
        <v>10</v>
      </c>
      <c r="I456" t="str">
        <v/>
      </c>
    </row>
    <row r="457" spans="1:9" hidden="1" x14ac:dyDescent="0.25">
      <c r="A457" t="s">
        <v>508</v>
      </c>
      <c r="B457" t="s">
        <v>375</v>
      </c>
      <c r="C457">
        <v>4.3</v>
      </c>
      <c r="D457">
        <v>14493</v>
      </c>
      <c r="E457">
        <v>18</v>
      </c>
      <c r="F457">
        <v>2012</v>
      </c>
      <c r="G457" t="s">
        <v>10</v>
      </c>
      <c r="I457" t="str">
        <v/>
      </c>
    </row>
    <row r="458" spans="1:9" hidden="1" x14ac:dyDescent="0.25">
      <c r="A458" t="s">
        <v>509</v>
      </c>
      <c r="B458" t="s">
        <v>331</v>
      </c>
      <c r="C458">
        <v>4.5999999999999996</v>
      </c>
      <c r="D458">
        <v>2186</v>
      </c>
      <c r="E458">
        <v>12</v>
      </c>
      <c r="F458">
        <v>2010</v>
      </c>
      <c r="G458" t="s">
        <v>10</v>
      </c>
      <c r="I458" t="str">
        <v/>
      </c>
    </row>
    <row r="459" spans="1:9" hidden="1" x14ac:dyDescent="0.25">
      <c r="A459" t="s">
        <v>510</v>
      </c>
      <c r="B459" t="s">
        <v>511</v>
      </c>
      <c r="C459">
        <v>4.5999999999999996</v>
      </c>
      <c r="D459">
        <v>1204</v>
      </c>
      <c r="E459">
        <v>14</v>
      </c>
      <c r="F459">
        <v>2010</v>
      </c>
      <c r="G459" t="s">
        <v>8</v>
      </c>
      <c r="I459" t="str">
        <v/>
      </c>
    </row>
    <row r="460" spans="1:9" hidden="1" x14ac:dyDescent="0.25">
      <c r="A460" t="s">
        <v>512</v>
      </c>
      <c r="B460" t="s">
        <v>331</v>
      </c>
      <c r="C460">
        <v>4.8</v>
      </c>
      <c r="D460">
        <v>2091</v>
      </c>
      <c r="E460">
        <v>12</v>
      </c>
      <c r="F460">
        <v>2012</v>
      </c>
      <c r="G460" t="s">
        <v>10</v>
      </c>
      <c r="I460" t="str">
        <v/>
      </c>
    </row>
    <row r="461" spans="1:9" hidden="1" x14ac:dyDescent="0.25">
      <c r="A461" t="s">
        <v>513</v>
      </c>
      <c r="B461" t="s">
        <v>514</v>
      </c>
      <c r="C461">
        <v>4.5999999999999996</v>
      </c>
      <c r="D461">
        <v>19720</v>
      </c>
      <c r="E461">
        <v>8</v>
      </c>
      <c r="F461">
        <v>2009</v>
      </c>
      <c r="G461" t="s">
        <v>10</v>
      </c>
      <c r="I461" t="str">
        <v/>
      </c>
    </row>
    <row r="462" spans="1:9" hidden="1" x14ac:dyDescent="0.25">
      <c r="A462" t="s">
        <v>513</v>
      </c>
      <c r="B462" t="s">
        <v>514</v>
      </c>
      <c r="C462">
        <v>4.5999999999999996</v>
      </c>
      <c r="D462">
        <v>19720</v>
      </c>
      <c r="E462">
        <v>8</v>
      </c>
      <c r="F462">
        <v>2017</v>
      </c>
      <c r="G462" t="s">
        <v>10</v>
      </c>
      <c r="I462" t="str">
        <v/>
      </c>
    </row>
    <row r="463" spans="1:9" hidden="1" x14ac:dyDescent="0.25">
      <c r="A463" t="s">
        <v>515</v>
      </c>
      <c r="B463" t="s">
        <v>73</v>
      </c>
      <c r="C463">
        <v>4.5999999999999996</v>
      </c>
      <c r="D463">
        <v>2122</v>
      </c>
      <c r="E463">
        <v>0</v>
      </c>
      <c r="F463">
        <v>2010</v>
      </c>
      <c r="G463" t="s">
        <v>10</v>
      </c>
      <c r="I463" t="str">
        <v/>
      </c>
    </row>
    <row r="464" spans="1:9" hidden="1" x14ac:dyDescent="0.25">
      <c r="A464" t="s">
        <v>516</v>
      </c>
      <c r="B464" t="s">
        <v>517</v>
      </c>
      <c r="C464">
        <v>4.5</v>
      </c>
      <c r="D464">
        <v>27536</v>
      </c>
      <c r="E464">
        <v>14</v>
      </c>
      <c r="F464">
        <v>2019</v>
      </c>
      <c r="G464" t="s">
        <v>10</v>
      </c>
      <c r="I464" t="str">
        <v/>
      </c>
    </row>
    <row r="465" spans="1:9" hidden="1" x14ac:dyDescent="0.25">
      <c r="A465" t="s">
        <v>518</v>
      </c>
      <c r="B465" t="s">
        <v>331</v>
      </c>
      <c r="C465">
        <v>4.8</v>
      </c>
      <c r="D465">
        <v>4290</v>
      </c>
      <c r="E465">
        <v>10</v>
      </c>
      <c r="F465">
        <v>2011</v>
      </c>
      <c r="G465" t="s">
        <v>10</v>
      </c>
      <c r="I465" t="str">
        <v/>
      </c>
    </row>
    <row r="466" spans="1:9" hidden="1" x14ac:dyDescent="0.25">
      <c r="A466" t="s">
        <v>519</v>
      </c>
      <c r="B466" t="s">
        <v>520</v>
      </c>
      <c r="C466">
        <v>4.5999999999999996</v>
      </c>
      <c r="D466">
        <v>26490</v>
      </c>
      <c r="E466">
        <v>15</v>
      </c>
      <c r="F466">
        <v>2017</v>
      </c>
      <c r="G466" t="s">
        <v>8</v>
      </c>
      <c r="I466" t="str">
        <v/>
      </c>
    </row>
    <row r="467" spans="1:9" hidden="1" x14ac:dyDescent="0.25">
      <c r="A467" t="s">
        <v>519</v>
      </c>
      <c r="B467" t="s">
        <v>520</v>
      </c>
      <c r="C467">
        <v>4.5999999999999996</v>
      </c>
      <c r="D467">
        <v>26490</v>
      </c>
      <c r="E467">
        <v>15</v>
      </c>
      <c r="F467">
        <v>2018</v>
      </c>
      <c r="G467" t="s">
        <v>8</v>
      </c>
      <c r="I467" t="str">
        <v/>
      </c>
    </row>
    <row r="468" spans="1:9" hidden="1" x14ac:dyDescent="0.25">
      <c r="A468" t="s">
        <v>519</v>
      </c>
      <c r="B468" t="s">
        <v>520</v>
      </c>
      <c r="C468">
        <v>4.5999999999999996</v>
      </c>
      <c r="D468">
        <v>26490</v>
      </c>
      <c r="E468">
        <v>15</v>
      </c>
      <c r="F468">
        <v>2019</v>
      </c>
      <c r="G468" t="s">
        <v>8</v>
      </c>
      <c r="I468" t="str">
        <v/>
      </c>
    </row>
    <row r="469" spans="1:9" hidden="1" x14ac:dyDescent="0.25">
      <c r="A469" t="s">
        <v>521</v>
      </c>
      <c r="B469" t="s">
        <v>299</v>
      </c>
      <c r="C469">
        <v>4.7</v>
      </c>
      <c r="D469">
        <v>5487</v>
      </c>
      <c r="E469">
        <v>9</v>
      </c>
      <c r="F469">
        <v>2017</v>
      </c>
      <c r="G469" t="s">
        <v>8</v>
      </c>
      <c r="I469" t="str">
        <v/>
      </c>
    </row>
    <row r="470" spans="1:9" hidden="1" x14ac:dyDescent="0.25">
      <c r="A470" t="s">
        <v>522</v>
      </c>
      <c r="B470" t="s">
        <v>78</v>
      </c>
      <c r="C470">
        <v>4.7</v>
      </c>
      <c r="D470">
        <v>6377</v>
      </c>
      <c r="E470">
        <v>7</v>
      </c>
      <c r="F470">
        <v>2012</v>
      </c>
      <c r="G470" t="s">
        <v>10</v>
      </c>
      <c r="I470" t="str">
        <v/>
      </c>
    </row>
    <row r="471" spans="1:9" hidden="1" x14ac:dyDescent="0.25">
      <c r="A471" t="s">
        <v>523</v>
      </c>
      <c r="B471" t="s">
        <v>331</v>
      </c>
      <c r="C471">
        <v>4.7</v>
      </c>
      <c r="D471">
        <v>1463</v>
      </c>
      <c r="E471">
        <v>10</v>
      </c>
      <c r="F471">
        <v>2011</v>
      </c>
      <c r="G471" t="s">
        <v>10</v>
      </c>
      <c r="I471" t="str">
        <v/>
      </c>
    </row>
    <row r="472" spans="1:9" hidden="1" x14ac:dyDescent="0.25">
      <c r="A472" t="s">
        <v>524</v>
      </c>
      <c r="B472" t="s">
        <v>525</v>
      </c>
      <c r="C472">
        <v>4.4000000000000004</v>
      </c>
      <c r="D472">
        <v>3759</v>
      </c>
      <c r="E472">
        <v>6</v>
      </c>
      <c r="F472">
        <v>2009</v>
      </c>
      <c r="G472" t="s">
        <v>10</v>
      </c>
      <c r="I472" t="str">
        <v/>
      </c>
    </row>
    <row r="473" spans="1:9" hidden="1" x14ac:dyDescent="0.25">
      <c r="A473" t="s">
        <v>526</v>
      </c>
      <c r="B473" t="s">
        <v>101</v>
      </c>
      <c r="C473">
        <v>4.4000000000000004</v>
      </c>
      <c r="D473">
        <v>3503</v>
      </c>
      <c r="E473">
        <v>9</v>
      </c>
      <c r="F473">
        <v>2009</v>
      </c>
      <c r="G473" t="s">
        <v>8</v>
      </c>
      <c r="I473" t="str">
        <v/>
      </c>
    </row>
    <row r="474" spans="1:9" hidden="1" x14ac:dyDescent="0.25">
      <c r="A474" t="s">
        <v>527</v>
      </c>
      <c r="B474" t="s">
        <v>528</v>
      </c>
      <c r="C474">
        <v>4.7</v>
      </c>
      <c r="D474">
        <v>11550</v>
      </c>
      <c r="E474">
        <v>10</v>
      </c>
      <c r="F474">
        <v>2019</v>
      </c>
      <c r="G474" t="s">
        <v>8</v>
      </c>
      <c r="I474" t="str">
        <v/>
      </c>
    </row>
    <row r="475" spans="1:9" hidden="1" x14ac:dyDescent="0.25">
      <c r="A475" t="s">
        <v>529</v>
      </c>
      <c r="B475" t="s">
        <v>73</v>
      </c>
      <c r="C475">
        <v>4.7</v>
      </c>
      <c r="D475">
        <v>3801</v>
      </c>
      <c r="E475">
        <v>82</v>
      </c>
      <c r="F475">
        <v>2009</v>
      </c>
      <c r="G475" t="s">
        <v>10</v>
      </c>
      <c r="I475" t="str">
        <v/>
      </c>
    </row>
    <row r="476" spans="1:9" hidden="1" x14ac:dyDescent="0.25">
      <c r="A476" t="s">
        <v>530</v>
      </c>
      <c r="B476" t="s">
        <v>78</v>
      </c>
      <c r="C476">
        <v>4.8</v>
      </c>
      <c r="D476">
        <v>3796</v>
      </c>
      <c r="E476">
        <v>12</v>
      </c>
      <c r="F476">
        <v>2010</v>
      </c>
      <c r="G476" t="s">
        <v>10</v>
      </c>
      <c r="I476" t="str">
        <v/>
      </c>
    </row>
    <row r="477" spans="1:9" hidden="1" x14ac:dyDescent="0.25">
      <c r="A477" t="s">
        <v>531</v>
      </c>
      <c r="B477" t="s">
        <v>532</v>
      </c>
      <c r="C477">
        <v>4.7</v>
      </c>
      <c r="D477">
        <v>9030</v>
      </c>
      <c r="E477">
        <v>10</v>
      </c>
      <c r="F477">
        <v>2019</v>
      </c>
      <c r="G477" t="s">
        <v>8</v>
      </c>
      <c r="I477" t="str">
        <v/>
      </c>
    </row>
    <row r="478" spans="1:9" hidden="1" x14ac:dyDescent="0.25">
      <c r="A478" t="s">
        <v>533</v>
      </c>
      <c r="B478" t="s">
        <v>534</v>
      </c>
      <c r="C478">
        <v>4.9000000000000004</v>
      </c>
      <c r="D478">
        <v>19546</v>
      </c>
      <c r="E478">
        <v>5</v>
      </c>
      <c r="F478">
        <v>2013</v>
      </c>
      <c r="G478" t="s">
        <v>10</v>
      </c>
      <c r="I478" t="str">
        <v/>
      </c>
    </row>
    <row r="479" spans="1:9" hidden="1" x14ac:dyDescent="0.25">
      <c r="A479" t="s">
        <v>533</v>
      </c>
      <c r="B479" t="s">
        <v>534</v>
      </c>
      <c r="C479">
        <v>4.9000000000000004</v>
      </c>
      <c r="D479">
        <v>19546</v>
      </c>
      <c r="E479">
        <v>5</v>
      </c>
      <c r="F479">
        <v>2014</v>
      </c>
      <c r="G479" t="s">
        <v>10</v>
      </c>
      <c r="I479" t="str">
        <v/>
      </c>
    </row>
    <row r="480" spans="1:9" hidden="1" x14ac:dyDescent="0.25">
      <c r="A480" t="s">
        <v>533</v>
      </c>
      <c r="B480" t="s">
        <v>534</v>
      </c>
      <c r="C480">
        <v>4.9000000000000004</v>
      </c>
      <c r="D480">
        <v>19546</v>
      </c>
      <c r="E480">
        <v>5</v>
      </c>
      <c r="F480">
        <v>2015</v>
      </c>
      <c r="G480" t="s">
        <v>10</v>
      </c>
      <c r="I480" t="str">
        <v/>
      </c>
    </row>
    <row r="481" spans="1:9" hidden="1" x14ac:dyDescent="0.25">
      <c r="A481" t="s">
        <v>533</v>
      </c>
      <c r="B481" t="s">
        <v>534</v>
      </c>
      <c r="C481">
        <v>4.9000000000000004</v>
      </c>
      <c r="D481">
        <v>19546</v>
      </c>
      <c r="E481">
        <v>5</v>
      </c>
      <c r="F481">
        <v>2016</v>
      </c>
      <c r="G481" t="s">
        <v>10</v>
      </c>
      <c r="I481" t="str">
        <v/>
      </c>
    </row>
    <row r="482" spans="1:9" hidden="1" x14ac:dyDescent="0.25">
      <c r="A482" t="s">
        <v>533</v>
      </c>
      <c r="B482" t="s">
        <v>534</v>
      </c>
      <c r="C482">
        <v>4.9000000000000004</v>
      </c>
      <c r="D482">
        <v>19546</v>
      </c>
      <c r="E482">
        <v>5</v>
      </c>
      <c r="F482">
        <v>2017</v>
      </c>
      <c r="G482" t="s">
        <v>10</v>
      </c>
      <c r="I482" t="str">
        <v/>
      </c>
    </row>
    <row r="483" spans="1:9" hidden="1" x14ac:dyDescent="0.25">
      <c r="A483" t="s">
        <v>533</v>
      </c>
      <c r="B483" t="s">
        <v>534</v>
      </c>
      <c r="C483">
        <v>4.9000000000000004</v>
      </c>
      <c r="D483">
        <v>19546</v>
      </c>
      <c r="E483">
        <v>5</v>
      </c>
      <c r="F483">
        <v>2018</v>
      </c>
      <c r="G483" t="s">
        <v>10</v>
      </c>
      <c r="I483" t="str">
        <v/>
      </c>
    </row>
    <row r="484" spans="1:9" hidden="1" x14ac:dyDescent="0.25">
      <c r="A484" t="s">
        <v>533</v>
      </c>
      <c r="B484" t="s">
        <v>534</v>
      </c>
      <c r="C484">
        <v>4.9000000000000004</v>
      </c>
      <c r="D484">
        <v>19546</v>
      </c>
      <c r="E484">
        <v>5</v>
      </c>
      <c r="F484">
        <v>2019</v>
      </c>
      <c r="G484" t="s">
        <v>10</v>
      </c>
      <c r="I484" t="str">
        <v/>
      </c>
    </row>
    <row r="485" spans="1:9" hidden="1" x14ac:dyDescent="0.25">
      <c r="A485" t="s">
        <v>535</v>
      </c>
      <c r="B485" t="s">
        <v>536</v>
      </c>
      <c r="C485">
        <v>4.5999999999999996</v>
      </c>
      <c r="D485">
        <v>7508</v>
      </c>
      <c r="E485">
        <v>16</v>
      </c>
      <c r="F485">
        <v>2015</v>
      </c>
      <c r="G485" t="s">
        <v>8</v>
      </c>
      <c r="I485" t="str">
        <v/>
      </c>
    </row>
    <row r="486" spans="1:9" hidden="1" x14ac:dyDescent="0.25">
      <c r="A486" t="s">
        <v>535</v>
      </c>
      <c r="B486" t="s">
        <v>536</v>
      </c>
      <c r="C486">
        <v>4.5999999999999996</v>
      </c>
      <c r="D486">
        <v>7508</v>
      </c>
      <c r="E486">
        <v>16</v>
      </c>
      <c r="F486">
        <v>2016</v>
      </c>
      <c r="G486" t="s">
        <v>8</v>
      </c>
      <c r="I486" t="str">
        <v/>
      </c>
    </row>
    <row r="487" spans="1:9" hidden="1" x14ac:dyDescent="0.25">
      <c r="A487" t="s">
        <v>535</v>
      </c>
      <c r="B487" t="s">
        <v>536</v>
      </c>
      <c r="C487">
        <v>4.5999999999999996</v>
      </c>
      <c r="D487">
        <v>7508</v>
      </c>
      <c r="E487">
        <v>16</v>
      </c>
      <c r="F487">
        <v>2017</v>
      </c>
      <c r="G487" t="s">
        <v>8</v>
      </c>
      <c r="I487" t="str">
        <v/>
      </c>
    </row>
    <row r="488" spans="1:9" hidden="1" x14ac:dyDescent="0.25">
      <c r="A488" t="s">
        <v>537</v>
      </c>
      <c r="B488" t="s">
        <v>538</v>
      </c>
      <c r="C488">
        <v>4.9000000000000004</v>
      </c>
      <c r="D488">
        <v>8842</v>
      </c>
      <c r="E488">
        <v>10</v>
      </c>
      <c r="F488">
        <v>2016</v>
      </c>
      <c r="G488" t="s">
        <v>10</v>
      </c>
      <c r="I488" t="str">
        <v/>
      </c>
    </row>
    <row r="489" spans="1:9" hidden="1" x14ac:dyDescent="0.25">
      <c r="A489" t="s">
        <v>537</v>
      </c>
      <c r="B489" t="s">
        <v>538</v>
      </c>
      <c r="C489">
        <v>4.9000000000000004</v>
      </c>
      <c r="D489">
        <v>8842</v>
      </c>
      <c r="E489">
        <v>10</v>
      </c>
      <c r="F489">
        <v>2017</v>
      </c>
      <c r="G489" t="s">
        <v>10</v>
      </c>
      <c r="I489" t="str">
        <v/>
      </c>
    </row>
    <row r="490" spans="1:9" hidden="1" x14ac:dyDescent="0.25">
      <c r="A490" t="s">
        <v>537</v>
      </c>
      <c r="B490" t="s">
        <v>538</v>
      </c>
      <c r="C490">
        <v>4.9000000000000004</v>
      </c>
      <c r="D490">
        <v>8842</v>
      </c>
      <c r="E490">
        <v>10</v>
      </c>
      <c r="F490">
        <v>2018</v>
      </c>
      <c r="G490" t="s">
        <v>10</v>
      </c>
      <c r="I490" t="str">
        <v/>
      </c>
    </row>
    <row r="491" spans="1:9" hidden="1" x14ac:dyDescent="0.25">
      <c r="A491" t="s">
        <v>537</v>
      </c>
      <c r="B491" t="s">
        <v>538</v>
      </c>
      <c r="C491">
        <v>4.9000000000000004</v>
      </c>
      <c r="D491">
        <v>8842</v>
      </c>
      <c r="E491">
        <v>10</v>
      </c>
      <c r="F491">
        <v>2019</v>
      </c>
      <c r="G491" t="s">
        <v>10</v>
      </c>
      <c r="I491" t="str">
        <v/>
      </c>
    </row>
    <row r="492" spans="1:9" hidden="1" x14ac:dyDescent="0.25">
      <c r="A492" t="s">
        <v>539</v>
      </c>
      <c r="B492" t="s">
        <v>540</v>
      </c>
      <c r="C492">
        <v>4.8</v>
      </c>
      <c r="D492">
        <v>30183</v>
      </c>
      <c r="E492">
        <v>4</v>
      </c>
      <c r="F492">
        <v>2018</v>
      </c>
      <c r="G492" t="s">
        <v>10</v>
      </c>
      <c r="I492" t="str">
        <v/>
      </c>
    </row>
    <row r="493" spans="1:9" hidden="1" x14ac:dyDescent="0.25">
      <c r="A493" t="s">
        <v>539</v>
      </c>
      <c r="B493" t="s">
        <v>540</v>
      </c>
      <c r="C493">
        <v>4.8</v>
      </c>
      <c r="D493">
        <v>30183</v>
      </c>
      <c r="E493">
        <v>4</v>
      </c>
      <c r="F493">
        <v>2019</v>
      </c>
      <c r="G493" t="s">
        <v>10</v>
      </c>
      <c r="I493" t="str">
        <v/>
      </c>
    </row>
    <row r="494" spans="1:9" hidden="1" x14ac:dyDescent="0.25">
      <c r="A494" t="s">
        <v>541</v>
      </c>
      <c r="B494" t="s">
        <v>542</v>
      </c>
      <c r="C494">
        <v>4.7</v>
      </c>
      <c r="D494">
        <v>6169</v>
      </c>
      <c r="E494">
        <v>16</v>
      </c>
      <c r="F494">
        <v>2015</v>
      </c>
      <c r="G494" t="s">
        <v>8</v>
      </c>
      <c r="I494" t="str">
        <v/>
      </c>
    </row>
    <row r="495" spans="1:9" hidden="1" x14ac:dyDescent="0.25">
      <c r="A495" t="s">
        <v>543</v>
      </c>
      <c r="B495" t="s">
        <v>544</v>
      </c>
      <c r="C495">
        <v>4.7</v>
      </c>
      <c r="D495">
        <v>7034</v>
      </c>
      <c r="E495">
        <v>15</v>
      </c>
      <c r="F495">
        <v>2013</v>
      </c>
      <c r="G495" t="s">
        <v>8</v>
      </c>
      <c r="I495" t="str">
        <v/>
      </c>
    </row>
    <row r="496" spans="1:9" hidden="1" x14ac:dyDescent="0.25">
      <c r="A496" t="s">
        <v>545</v>
      </c>
      <c r="B496" t="s">
        <v>546</v>
      </c>
      <c r="C496">
        <v>4.5999999999999996</v>
      </c>
      <c r="D496">
        <v>11034</v>
      </c>
      <c r="E496">
        <v>19</v>
      </c>
      <c r="F496">
        <v>2011</v>
      </c>
      <c r="G496" t="s">
        <v>8</v>
      </c>
      <c r="I496" t="str">
        <v/>
      </c>
    </row>
    <row r="497" spans="1:9" hidden="1" x14ac:dyDescent="0.25">
      <c r="A497" t="s">
        <v>545</v>
      </c>
      <c r="B497" t="s">
        <v>546</v>
      </c>
      <c r="C497">
        <v>4.5999999999999996</v>
      </c>
      <c r="D497">
        <v>11034</v>
      </c>
      <c r="E497">
        <v>19</v>
      </c>
      <c r="F497">
        <v>2012</v>
      </c>
      <c r="G497" t="s">
        <v>8</v>
      </c>
      <c r="I497" t="str">
        <v/>
      </c>
    </row>
    <row r="498" spans="1:9" hidden="1" x14ac:dyDescent="0.25">
      <c r="A498" t="s">
        <v>547</v>
      </c>
      <c r="B498" t="s">
        <v>548</v>
      </c>
      <c r="C498">
        <v>4.5</v>
      </c>
      <c r="D498">
        <v>7932</v>
      </c>
      <c r="E498">
        <v>9</v>
      </c>
      <c r="F498">
        <v>2017</v>
      </c>
      <c r="G498" t="s">
        <v>10</v>
      </c>
      <c r="I498" t="str">
        <v/>
      </c>
    </row>
    <row r="499" spans="1:9" hidden="1" x14ac:dyDescent="0.25">
      <c r="A499" t="s">
        <v>549</v>
      </c>
      <c r="B499" t="s">
        <v>550</v>
      </c>
      <c r="C499">
        <v>4.5</v>
      </c>
      <c r="D499">
        <v>1904</v>
      </c>
      <c r="E499">
        <v>23</v>
      </c>
      <c r="F499">
        <v>2012</v>
      </c>
      <c r="G499" t="s">
        <v>8</v>
      </c>
      <c r="I499" t="str">
        <v/>
      </c>
    </row>
    <row r="500" spans="1:9" hidden="1" x14ac:dyDescent="0.25">
      <c r="A500" t="s">
        <v>551</v>
      </c>
      <c r="B500" t="s">
        <v>552</v>
      </c>
      <c r="C500">
        <v>4.3</v>
      </c>
      <c r="D500">
        <v>3319</v>
      </c>
      <c r="E500">
        <v>11</v>
      </c>
      <c r="F500">
        <v>2009</v>
      </c>
      <c r="G500" t="s">
        <v>8</v>
      </c>
      <c r="I500" t="str">
        <v/>
      </c>
    </row>
    <row r="501" spans="1:9" hidden="1" x14ac:dyDescent="0.25">
      <c r="A501" t="s">
        <v>551</v>
      </c>
      <c r="B501" t="s">
        <v>552</v>
      </c>
      <c r="C501">
        <v>4.3</v>
      </c>
      <c r="D501">
        <v>3319</v>
      </c>
      <c r="E501">
        <v>11</v>
      </c>
      <c r="F501">
        <v>2010</v>
      </c>
      <c r="G501" t="s">
        <v>8</v>
      </c>
      <c r="I501" t="str">
        <v/>
      </c>
    </row>
    <row r="502" spans="1:9" hidden="1" x14ac:dyDescent="0.25">
      <c r="A502" t="s">
        <v>553</v>
      </c>
      <c r="B502" t="s">
        <v>554</v>
      </c>
      <c r="C502">
        <v>4.5999999999999996</v>
      </c>
      <c r="D502">
        <v>11128</v>
      </c>
      <c r="E502">
        <v>23</v>
      </c>
      <c r="F502">
        <v>2014</v>
      </c>
      <c r="G502" t="s">
        <v>8</v>
      </c>
      <c r="I502" t="str">
        <v/>
      </c>
    </row>
    <row r="503" spans="1:9" hidden="1" x14ac:dyDescent="0.25">
      <c r="A503" t="s">
        <v>553</v>
      </c>
      <c r="B503" t="s">
        <v>554</v>
      </c>
      <c r="C503">
        <v>4.5999999999999996</v>
      </c>
      <c r="D503">
        <v>11128</v>
      </c>
      <c r="E503">
        <v>23</v>
      </c>
      <c r="F503">
        <v>2015</v>
      </c>
      <c r="G503" t="s">
        <v>8</v>
      </c>
      <c r="I503" t="str">
        <v/>
      </c>
    </row>
    <row r="504" spans="1:9" hidden="1" x14ac:dyDescent="0.25">
      <c r="A504" t="s">
        <v>553</v>
      </c>
      <c r="B504" t="s">
        <v>554</v>
      </c>
      <c r="C504">
        <v>4.5999999999999996</v>
      </c>
      <c r="D504">
        <v>11128</v>
      </c>
      <c r="E504">
        <v>23</v>
      </c>
      <c r="F504">
        <v>2016</v>
      </c>
      <c r="G504" t="s">
        <v>8</v>
      </c>
      <c r="I504" t="str">
        <v/>
      </c>
    </row>
    <row r="505" spans="1:9" hidden="1" x14ac:dyDescent="0.25">
      <c r="A505" t="s">
        <v>553</v>
      </c>
      <c r="B505" t="s">
        <v>554</v>
      </c>
      <c r="C505">
        <v>4.5999999999999996</v>
      </c>
      <c r="D505">
        <v>11128</v>
      </c>
      <c r="E505">
        <v>23</v>
      </c>
      <c r="F505">
        <v>2017</v>
      </c>
      <c r="G505" t="s">
        <v>8</v>
      </c>
      <c r="I505" t="str">
        <v/>
      </c>
    </row>
    <row r="506" spans="1:9" hidden="1" x14ac:dyDescent="0.25">
      <c r="A506" t="s">
        <v>555</v>
      </c>
      <c r="B506" t="s">
        <v>556</v>
      </c>
      <c r="C506">
        <v>4.3</v>
      </c>
      <c r="D506">
        <v>5977</v>
      </c>
      <c r="E506">
        <v>12</v>
      </c>
      <c r="F506">
        <v>2011</v>
      </c>
      <c r="G506" t="s">
        <v>8</v>
      </c>
      <c r="I506" t="str">
        <v/>
      </c>
    </row>
    <row r="507" spans="1:9" hidden="1" x14ac:dyDescent="0.25">
      <c r="A507" t="s">
        <v>557</v>
      </c>
      <c r="B507" t="s">
        <v>182</v>
      </c>
      <c r="C507">
        <v>4.8</v>
      </c>
      <c r="D507">
        <v>26234</v>
      </c>
      <c r="E507">
        <v>0</v>
      </c>
      <c r="F507">
        <v>2013</v>
      </c>
      <c r="G507" t="s">
        <v>10</v>
      </c>
      <c r="I507" t="str">
        <v/>
      </c>
    </row>
    <row r="508" spans="1:9" hidden="1" x14ac:dyDescent="0.25">
      <c r="A508" t="s">
        <v>557</v>
      </c>
      <c r="B508" t="s">
        <v>182</v>
      </c>
      <c r="C508">
        <v>4.8</v>
      </c>
      <c r="D508">
        <v>26234</v>
      </c>
      <c r="E508">
        <v>0</v>
      </c>
      <c r="F508">
        <v>2014</v>
      </c>
      <c r="G508" t="s">
        <v>10</v>
      </c>
      <c r="I508" t="str">
        <v/>
      </c>
    </row>
    <row r="509" spans="1:9" hidden="1" x14ac:dyDescent="0.25">
      <c r="A509" t="s">
        <v>557</v>
      </c>
      <c r="B509" t="s">
        <v>182</v>
      </c>
      <c r="C509">
        <v>4.8</v>
      </c>
      <c r="D509">
        <v>26234</v>
      </c>
      <c r="E509">
        <v>0</v>
      </c>
      <c r="F509">
        <v>2015</v>
      </c>
      <c r="G509" t="s">
        <v>10</v>
      </c>
      <c r="I509" t="str">
        <v/>
      </c>
    </row>
    <row r="510" spans="1:9" hidden="1" x14ac:dyDescent="0.25">
      <c r="A510" t="s">
        <v>557</v>
      </c>
      <c r="B510" t="s">
        <v>182</v>
      </c>
      <c r="C510">
        <v>4.8</v>
      </c>
      <c r="D510">
        <v>26234</v>
      </c>
      <c r="E510">
        <v>0</v>
      </c>
      <c r="F510">
        <v>2016</v>
      </c>
      <c r="G510" t="s">
        <v>10</v>
      </c>
      <c r="I510" t="str">
        <v/>
      </c>
    </row>
    <row r="511" spans="1:9" hidden="1" x14ac:dyDescent="0.25">
      <c r="A511" t="s">
        <v>557</v>
      </c>
      <c r="B511" t="s">
        <v>182</v>
      </c>
      <c r="C511">
        <v>4.8</v>
      </c>
      <c r="D511">
        <v>26234</v>
      </c>
      <c r="E511">
        <v>7</v>
      </c>
      <c r="F511">
        <v>2019</v>
      </c>
      <c r="G511" t="s">
        <v>10</v>
      </c>
      <c r="I511" t="str">
        <v/>
      </c>
    </row>
    <row r="512" spans="1:9" hidden="1" x14ac:dyDescent="0.25">
      <c r="A512" t="s">
        <v>558</v>
      </c>
      <c r="B512" t="s">
        <v>381</v>
      </c>
      <c r="C512">
        <v>4.5999999999999996</v>
      </c>
      <c r="D512">
        <v>4360</v>
      </c>
      <c r="E512">
        <v>21</v>
      </c>
      <c r="F512">
        <v>2017</v>
      </c>
      <c r="G512" t="s">
        <v>8</v>
      </c>
      <c r="I512" t="str">
        <v/>
      </c>
    </row>
    <row r="513" spans="1:9" hidden="1" x14ac:dyDescent="0.25">
      <c r="A513" t="s">
        <v>559</v>
      </c>
      <c r="B513" t="s">
        <v>560</v>
      </c>
      <c r="C513">
        <v>4.8</v>
      </c>
      <c r="D513">
        <v>2282</v>
      </c>
      <c r="E513">
        <v>21</v>
      </c>
      <c r="F513">
        <v>2010</v>
      </c>
      <c r="G513" t="s">
        <v>10</v>
      </c>
      <c r="I513" t="str">
        <v/>
      </c>
    </row>
    <row r="514" spans="1:9" hidden="1" x14ac:dyDescent="0.25">
      <c r="A514" t="s">
        <v>561</v>
      </c>
      <c r="B514" t="s">
        <v>562</v>
      </c>
      <c r="C514">
        <v>4.5</v>
      </c>
      <c r="D514">
        <v>438</v>
      </c>
      <c r="E514">
        <v>15</v>
      </c>
      <c r="F514">
        <v>2009</v>
      </c>
      <c r="G514" t="s">
        <v>8</v>
      </c>
      <c r="I514" t="str">
        <v/>
      </c>
    </row>
    <row r="515" spans="1:9" hidden="1" x14ac:dyDescent="0.25">
      <c r="A515" t="s">
        <v>563</v>
      </c>
      <c r="B515" t="s">
        <v>73</v>
      </c>
      <c r="C515">
        <v>4.7</v>
      </c>
      <c r="D515">
        <v>11676</v>
      </c>
      <c r="E515">
        <v>9</v>
      </c>
      <c r="F515">
        <v>2009</v>
      </c>
      <c r="G515" t="s">
        <v>10</v>
      </c>
      <c r="I515" t="str">
        <v/>
      </c>
    </row>
    <row r="516" spans="1:9" hidden="1" x14ac:dyDescent="0.25">
      <c r="A516" t="s">
        <v>564</v>
      </c>
      <c r="B516" t="s">
        <v>58</v>
      </c>
      <c r="C516">
        <v>4.5</v>
      </c>
      <c r="D516">
        <v>2586</v>
      </c>
      <c r="E516">
        <v>5</v>
      </c>
      <c r="F516">
        <v>2014</v>
      </c>
      <c r="G516" t="s">
        <v>10</v>
      </c>
      <c r="I516" t="str">
        <v/>
      </c>
    </row>
    <row r="517" spans="1:9" hidden="1" x14ac:dyDescent="0.25">
      <c r="A517" t="s">
        <v>565</v>
      </c>
      <c r="B517" t="s">
        <v>566</v>
      </c>
      <c r="C517">
        <v>4.8</v>
      </c>
      <c r="D517">
        <v>29673</v>
      </c>
      <c r="E517">
        <v>16</v>
      </c>
      <c r="F517">
        <v>2010</v>
      </c>
      <c r="G517" t="s">
        <v>8</v>
      </c>
      <c r="I517" t="str">
        <v/>
      </c>
    </row>
    <row r="518" spans="1:9" hidden="1" x14ac:dyDescent="0.25">
      <c r="A518" t="s">
        <v>565</v>
      </c>
      <c r="B518" t="s">
        <v>566</v>
      </c>
      <c r="C518">
        <v>4.8</v>
      </c>
      <c r="D518">
        <v>29673</v>
      </c>
      <c r="E518">
        <v>16</v>
      </c>
      <c r="F518">
        <v>2011</v>
      </c>
      <c r="G518" t="s">
        <v>8</v>
      </c>
      <c r="I518" t="str">
        <v/>
      </c>
    </row>
    <row r="519" spans="1:9" hidden="1" x14ac:dyDescent="0.25">
      <c r="A519" t="s">
        <v>565</v>
      </c>
      <c r="B519" t="s">
        <v>566</v>
      </c>
      <c r="C519">
        <v>4.8</v>
      </c>
      <c r="D519">
        <v>29673</v>
      </c>
      <c r="E519">
        <v>16</v>
      </c>
      <c r="F519">
        <v>2012</v>
      </c>
      <c r="G519" t="s">
        <v>8</v>
      </c>
      <c r="I519" t="str">
        <v/>
      </c>
    </row>
    <row r="520" spans="1:9" hidden="1" x14ac:dyDescent="0.25">
      <c r="A520" t="s">
        <v>565</v>
      </c>
      <c r="B520" t="s">
        <v>566</v>
      </c>
      <c r="C520">
        <v>4.8</v>
      </c>
      <c r="D520">
        <v>29673</v>
      </c>
      <c r="E520">
        <v>13</v>
      </c>
      <c r="F520">
        <v>2014</v>
      </c>
      <c r="G520" t="s">
        <v>8</v>
      </c>
      <c r="I520" t="str">
        <v/>
      </c>
    </row>
    <row r="521" spans="1:9" hidden="1" x14ac:dyDescent="0.25">
      <c r="A521" t="s">
        <v>565</v>
      </c>
      <c r="B521" t="s">
        <v>566</v>
      </c>
      <c r="C521">
        <v>4.8</v>
      </c>
      <c r="D521">
        <v>29673</v>
      </c>
      <c r="E521">
        <v>16</v>
      </c>
      <c r="F521">
        <v>2014</v>
      </c>
      <c r="G521" t="s">
        <v>8</v>
      </c>
      <c r="I521" t="str">
        <v/>
      </c>
    </row>
    <row r="522" spans="1:9" hidden="1" x14ac:dyDescent="0.25">
      <c r="A522" t="s">
        <v>567</v>
      </c>
      <c r="B522" t="s">
        <v>9</v>
      </c>
      <c r="C522">
        <v>4.3</v>
      </c>
      <c r="D522">
        <v>6740</v>
      </c>
      <c r="E522">
        <v>20</v>
      </c>
      <c r="F522">
        <v>2009</v>
      </c>
      <c r="G522" t="s">
        <v>10</v>
      </c>
      <c r="I522" t="str">
        <v/>
      </c>
    </row>
    <row r="523" spans="1:9" hidden="1" x14ac:dyDescent="0.25">
      <c r="A523" t="s">
        <v>568</v>
      </c>
      <c r="B523" t="s">
        <v>277</v>
      </c>
      <c r="C523">
        <v>4.9000000000000004</v>
      </c>
      <c r="D523">
        <v>5956</v>
      </c>
      <c r="E523">
        <v>11</v>
      </c>
      <c r="F523">
        <v>2019</v>
      </c>
      <c r="G523" t="s">
        <v>8</v>
      </c>
      <c r="I523" t="str">
        <v/>
      </c>
    </row>
    <row r="524" spans="1:9" hidden="1" x14ac:dyDescent="0.25">
      <c r="A524" t="s">
        <v>569</v>
      </c>
      <c r="B524" t="s">
        <v>570</v>
      </c>
      <c r="C524">
        <v>4.8</v>
      </c>
      <c r="D524">
        <v>6108</v>
      </c>
      <c r="E524">
        <v>4</v>
      </c>
      <c r="F524">
        <v>2019</v>
      </c>
      <c r="G524" t="s">
        <v>8</v>
      </c>
      <c r="I524" t="str">
        <v/>
      </c>
    </row>
    <row r="525" spans="1:9" hidden="1" x14ac:dyDescent="0.25">
      <c r="A525" t="s">
        <v>571</v>
      </c>
      <c r="B525" t="s">
        <v>249</v>
      </c>
      <c r="C525">
        <v>4.7</v>
      </c>
      <c r="D525">
        <v>4585</v>
      </c>
      <c r="E525">
        <v>9</v>
      </c>
      <c r="F525">
        <v>2016</v>
      </c>
      <c r="G525" t="s">
        <v>8</v>
      </c>
      <c r="I525" t="str">
        <v/>
      </c>
    </row>
    <row r="526" spans="1:9" hidden="1" x14ac:dyDescent="0.25">
      <c r="A526" t="s">
        <v>572</v>
      </c>
      <c r="B526" t="s">
        <v>573</v>
      </c>
      <c r="C526">
        <v>4.8</v>
      </c>
      <c r="D526">
        <v>3829</v>
      </c>
      <c r="E526">
        <v>42</v>
      </c>
      <c r="F526">
        <v>2009</v>
      </c>
      <c r="G526" t="s">
        <v>10</v>
      </c>
      <c r="I526" t="str">
        <v/>
      </c>
    </row>
    <row r="527" spans="1:9" hidden="1" x14ac:dyDescent="0.25">
      <c r="A527" t="s">
        <v>574</v>
      </c>
      <c r="B527" t="s">
        <v>575</v>
      </c>
      <c r="C527">
        <v>4.5</v>
      </c>
      <c r="D527">
        <v>8958</v>
      </c>
      <c r="E527">
        <v>12</v>
      </c>
      <c r="F527">
        <v>2011</v>
      </c>
      <c r="G527" t="s">
        <v>10</v>
      </c>
      <c r="I527" t="str">
        <v/>
      </c>
    </row>
    <row r="528" spans="1:9" hidden="1" x14ac:dyDescent="0.25">
      <c r="A528" t="s">
        <v>576</v>
      </c>
      <c r="B528" t="s">
        <v>577</v>
      </c>
      <c r="C528">
        <v>4.5999999999999996</v>
      </c>
      <c r="D528">
        <v>5492</v>
      </c>
      <c r="E528">
        <v>18</v>
      </c>
      <c r="F528">
        <v>2017</v>
      </c>
      <c r="G528" t="s">
        <v>8</v>
      </c>
      <c r="I528" t="str">
        <v/>
      </c>
    </row>
    <row r="529" spans="1:9" hidden="1" x14ac:dyDescent="0.25">
      <c r="A529" t="s">
        <v>578</v>
      </c>
      <c r="B529" t="s">
        <v>579</v>
      </c>
      <c r="C529">
        <v>4.7</v>
      </c>
      <c r="D529">
        <v>9292</v>
      </c>
      <c r="E529">
        <v>17</v>
      </c>
      <c r="F529">
        <v>2014</v>
      </c>
      <c r="G529" t="s">
        <v>8</v>
      </c>
      <c r="I529" t="str">
        <v/>
      </c>
    </row>
    <row r="530" spans="1:9" hidden="1" x14ac:dyDescent="0.25">
      <c r="A530" t="s">
        <v>580</v>
      </c>
      <c r="B530" t="s">
        <v>317</v>
      </c>
      <c r="C530">
        <v>4.7</v>
      </c>
      <c r="D530">
        <v>1873</v>
      </c>
      <c r="E530">
        <v>14</v>
      </c>
      <c r="F530">
        <v>2015</v>
      </c>
      <c r="G530" t="s">
        <v>10</v>
      </c>
      <c r="I530" t="str">
        <v/>
      </c>
    </row>
    <row r="531" spans="1:9" hidden="1" x14ac:dyDescent="0.25">
      <c r="A531" t="s">
        <v>581</v>
      </c>
      <c r="B531" t="s">
        <v>582</v>
      </c>
      <c r="C531">
        <v>4.8</v>
      </c>
      <c r="D531">
        <v>8170</v>
      </c>
      <c r="E531">
        <v>13</v>
      </c>
      <c r="F531">
        <v>2019</v>
      </c>
      <c r="G531" t="s">
        <v>10</v>
      </c>
      <c r="I531" t="str">
        <v/>
      </c>
    </row>
    <row r="532" spans="1:9" hidden="1" x14ac:dyDescent="0.25">
      <c r="A532" t="s">
        <v>583</v>
      </c>
      <c r="B532" t="s">
        <v>584</v>
      </c>
      <c r="C532">
        <v>4.4000000000000004</v>
      </c>
      <c r="D532">
        <v>3341</v>
      </c>
      <c r="E532">
        <v>9</v>
      </c>
      <c r="F532">
        <v>2011</v>
      </c>
      <c r="G532" t="s">
        <v>8</v>
      </c>
      <c r="I532" t="str">
        <v/>
      </c>
    </row>
    <row r="533" spans="1:9" hidden="1" x14ac:dyDescent="0.25">
      <c r="A533" t="s">
        <v>585</v>
      </c>
      <c r="B533" t="s">
        <v>586</v>
      </c>
      <c r="C533">
        <v>4.4000000000000004</v>
      </c>
      <c r="D533">
        <v>7497</v>
      </c>
      <c r="E533">
        <v>6</v>
      </c>
      <c r="F533">
        <v>2012</v>
      </c>
      <c r="G533" t="s">
        <v>8</v>
      </c>
      <c r="I533" t="str">
        <v/>
      </c>
    </row>
    <row r="534" spans="1:9" hidden="1" x14ac:dyDescent="0.25">
      <c r="A534" t="s">
        <v>585</v>
      </c>
      <c r="B534" t="s">
        <v>586</v>
      </c>
      <c r="C534">
        <v>4.4000000000000004</v>
      </c>
      <c r="D534">
        <v>7497</v>
      </c>
      <c r="E534">
        <v>6</v>
      </c>
      <c r="F534">
        <v>2013</v>
      </c>
      <c r="G534" t="s">
        <v>8</v>
      </c>
      <c r="I534" t="str">
        <v/>
      </c>
    </row>
    <row r="535" spans="1:9" hidden="1" x14ac:dyDescent="0.25">
      <c r="A535" t="s">
        <v>587</v>
      </c>
      <c r="B535" t="s">
        <v>588</v>
      </c>
      <c r="C535">
        <v>4.8</v>
      </c>
      <c r="D535">
        <v>13779</v>
      </c>
      <c r="E535">
        <v>14</v>
      </c>
      <c r="F535">
        <v>2016</v>
      </c>
      <c r="G535" t="s">
        <v>8</v>
      </c>
      <c r="I535" t="str">
        <v/>
      </c>
    </row>
    <row r="536" spans="1:9" hidden="1" x14ac:dyDescent="0.25">
      <c r="A536" t="s">
        <v>589</v>
      </c>
      <c r="B536" t="s">
        <v>590</v>
      </c>
      <c r="C536">
        <v>4.8</v>
      </c>
      <c r="D536">
        <v>87841</v>
      </c>
      <c r="E536">
        <v>15</v>
      </c>
      <c r="F536">
        <v>2019</v>
      </c>
      <c r="G536" t="s">
        <v>10</v>
      </c>
      <c r="I536" t="str">
        <v/>
      </c>
    </row>
    <row r="537" spans="1:9" hidden="1" x14ac:dyDescent="0.25">
      <c r="A537" t="s">
        <v>591</v>
      </c>
      <c r="B537" t="s">
        <v>592</v>
      </c>
      <c r="C537">
        <v>4.8</v>
      </c>
      <c r="D537">
        <v>9967</v>
      </c>
      <c r="E537">
        <v>13</v>
      </c>
      <c r="F537">
        <v>2009</v>
      </c>
      <c r="G537" t="s">
        <v>10</v>
      </c>
      <c r="I537" t="str">
        <v/>
      </c>
    </row>
    <row r="538" spans="1:9" hidden="1" x14ac:dyDescent="0.25">
      <c r="A538" t="s">
        <v>593</v>
      </c>
      <c r="B538" t="s">
        <v>594</v>
      </c>
      <c r="C538">
        <v>4.5999999999999996</v>
      </c>
      <c r="D538">
        <v>6669</v>
      </c>
      <c r="E538">
        <v>12</v>
      </c>
      <c r="F538">
        <v>2018</v>
      </c>
      <c r="G538" t="s">
        <v>8</v>
      </c>
      <c r="I538" t="str">
        <v/>
      </c>
    </row>
    <row r="539" spans="1:9" hidden="1" x14ac:dyDescent="0.25">
      <c r="A539" t="s">
        <v>595</v>
      </c>
      <c r="B539" t="s">
        <v>596</v>
      </c>
      <c r="C539">
        <v>4.4000000000000004</v>
      </c>
      <c r="D539">
        <v>17044</v>
      </c>
      <c r="E539">
        <v>18</v>
      </c>
      <c r="F539">
        <v>2012</v>
      </c>
      <c r="G539" t="s">
        <v>8</v>
      </c>
      <c r="I539" t="str">
        <v/>
      </c>
    </row>
    <row r="540" spans="1:9" hidden="1" x14ac:dyDescent="0.25">
      <c r="A540" t="s">
        <v>597</v>
      </c>
      <c r="B540" t="s">
        <v>598</v>
      </c>
      <c r="C540">
        <v>4.5</v>
      </c>
      <c r="D540">
        <v>10760</v>
      </c>
      <c r="E540">
        <v>15</v>
      </c>
      <c r="F540">
        <v>2012</v>
      </c>
      <c r="G540" t="s">
        <v>10</v>
      </c>
      <c r="I540" t="str">
        <v/>
      </c>
    </row>
    <row r="541" spans="1:9" hidden="1" x14ac:dyDescent="0.25">
      <c r="A541" t="s">
        <v>599</v>
      </c>
      <c r="B541" t="s">
        <v>600</v>
      </c>
      <c r="C541">
        <v>4.2</v>
      </c>
      <c r="D541">
        <v>1302</v>
      </c>
      <c r="E541">
        <v>11</v>
      </c>
      <c r="F541">
        <v>2010</v>
      </c>
      <c r="G541" t="s">
        <v>8</v>
      </c>
      <c r="I541" t="str">
        <v/>
      </c>
    </row>
    <row r="542" spans="1:9" hidden="1" x14ac:dyDescent="0.25">
      <c r="A542" t="s">
        <v>601</v>
      </c>
      <c r="B542" t="s">
        <v>602</v>
      </c>
      <c r="C542">
        <v>4.8</v>
      </c>
      <c r="D542">
        <v>21625</v>
      </c>
      <c r="E542">
        <v>9</v>
      </c>
      <c r="F542">
        <v>2013</v>
      </c>
      <c r="G542" t="s">
        <v>10</v>
      </c>
      <c r="I542" t="str">
        <v/>
      </c>
    </row>
    <row r="543" spans="1:9" hidden="1" x14ac:dyDescent="0.25">
      <c r="A543" t="s">
        <v>601</v>
      </c>
      <c r="B543" t="s">
        <v>602</v>
      </c>
      <c r="C543">
        <v>4.8</v>
      </c>
      <c r="D543">
        <v>21625</v>
      </c>
      <c r="E543">
        <v>9</v>
      </c>
      <c r="F543">
        <v>2014</v>
      </c>
      <c r="G543" t="s">
        <v>10</v>
      </c>
      <c r="I543" t="str">
        <v/>
      </c>
    </row>
    <row r="544" spans="1:9" hidden="1" x14ac:dyDescent="0.25">
      <c r="A544" t="s">
        <v>601</v>
      </c>
      <c r="B544" t="s">
        <v>602</v>
      </c>
      <c r="C544">
        <v>4.8</v>
      </c>
      <c r="D544">
        <v>21625</v>
      </c>
      <c r="E544">
        <v>9</v>
      </c>
      <c r="F544">
        <v>2015</v>
      </c>
      <c r="G544" t="s">
        <v>10</v>
      </c>
      <c r="I544" t="str">
        <v/>
      </c>
    </row>
    <row r="545" spans="1:9" hidden="1" x14ac:dyDescent="0.25">
      <c r="A545" t="s">
        <v>601</v>
      </c>
      <c r="B545" t="s">
        <v>602</v>
      </c>
      <c r="C545">
        <v>4.8</v>
      </c>
      <c r="D545">
        <v>21625</v>
      </c>
      <c r="E545">
        <v>9</v>
      </c>
      <c r="F545">
        <v>2016</v>
      </c>
      <c r="G545" t="s">
        <v>10</v>
      </c>
      <c r="I545" t="str">
        <v/>
      </c>
    </row>
    <row r="546" spans="1:9" hidden="1" x14ac:dyDescent="0.25">
      <c r="A546" t="s">
        <v>601</v>
      </c>
      <c r="B546" t="s">
        <v>602</v>
      </c>
      <c r="C546">
        <v>4.8</v>
      </c>
      <c r="D546">
        <v>21625</v>
      </c>
      <c r="E546">
        <v>9</v>
      </c>
      <c r="F546">
        <v>2017</v>
      </c>
      <c r="G546" t="s">
        <v>10</v>
      </c>
      <c r="I546" t="str">
        <v/>
      </c>
    </row>
    <row r="547" spans="1:9" hidden="1" x14ac:dyDescent="0.25">
      <c r="A547" t="s">
        <v>603</v>
      </c>
      <c r="B547" t="s">
        <v>78</v>
      </c>
      <c r="C547">
        <v>4.9000000000000004</v>
      </c>
      <c r="D547">
        <v>9413</v>
      </c>
      <c r="E547">
        <v>8</v>
      </c>
      <c r="F547">
        <v>2019</v>
      </c>
      <c r="G547" t="s">
        <v>10</v>
      </c>
      <c r="I547" t="str">
        <v/>
      </c>
    </row>
    <row r="548" spans="1:9" hidden="1" x14ac:dyDescent="0.25">
      <c r="A548" t="s">
        <v>604</v>
      </c>
      <c r="B548" t="s">
        <v>605</v>
      </c>
      <c r="C548">
        <v>4.7</v>
      </c>
      <c r="D548">
        <v>14331</v>
      </c>
      <c r="E548">
        <v>8</v>
      </c>
      <c r="F548">
        <v>2016</v>
      </c>
      <c r="G548" t="s">
        <v>8</v>
      </c>
      <c r="I548" t="str">
        <v/>
      </c>
    </row>
    <row r="549" spans="1:9" hidden="1" x14ac:dyDescent="0.25">
      <c r="A549" t="s">
        <v>604</v>
      </c>
      <c r="B549" t="s">
        <v>605</v>
      </c>
      <c r="C549">
        <v>4.7</v>
      </c>
      <c r="D549">
        <v>14331</v>
      </c>
      <c r="E549">
        <v>8</v>
      </c>
      <c r="F549">
        <v>2017</v>
      </c>
      <c r="G549" t="s">
        <v>8</v>
      </c>
      <c r="I549" t="str">
        <v/>
      </c>
    </row>
    <row r="550" spans="1:9" hidden="1" x14ac:dyDescent="0.25">
      <c r="A550" t="s">
        <v>604</v>
      </c>
      <c r="B550" t="s">
        <v>605</v>
      </c>
      <c r="C550">
        <v>4.7</v>
      </c>
      <c r="D550">
        <v>14331</v>
      </c>
      <c r="E550">
        <v>8</v>
      </c>
      <c r="F550">
        <v>2018</v>
      </c>
      <c r="G550" t="s">
        <v>8</v>
      </c>
      <c r="I550" t="str">
        <v/>
      </c>
    </row>
    <row r="551" spans="1:9" hidden="1" x14ac:dyDescent="0.25">
      <c r="A551" t="s">
        <v>604</v>
      </c>
      <c r="B551" t="s">
        <v>605</v>
      </c>
      <c r="C551">
        <v>4.7</v>
      </c>
      <c r="D551">
        <v>14331</v>
      </c>
      <c r="E551">
        <v>8</v>
      </c>
      <c r="F551">
        <v>2019</v>
      </c>
      <c r="G551" t="s">
        <v>8</v>
      </c>
      <c r="I551" t="str">
        <v/>
      </c>
    </row>
  </sheetData>
  <autoFilter ref="A1:I551" xr:uid="{00000000-0001-0000-0000-000000000000}">
    <filterColumn colId="8">
      <customFilters>
        <customFilter operator="notEqual" val=" "/>
      </customFilters>
    </filterColumn>
  </autoFilter>
  <conditionalFormatting sqref="D1:D551 D1186:D1048576">
    <cfRule type="cellIs" dxfId="7" priority="2" operator="lessThan">
      <formula>100</formula>
    </cfRule>
  </conditionalFormatting>
  <conditionalFormatting sqref="E2:E1048576">
    <cfRule type="cellIs" dxfId="6" priority="1" operator="notBetween">
      <formula>0</formula>
      <formula>54</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AC17F-EA3E-49CA-B540-D4C9D7EAB885}">
  <dimension ref="A1:L551"/>
  <sheetViews>
    <sheetView topLeftCell="B1" zoomScaleNormal="100" workbookViewId="0">
      <selection sqref="A1:G551"/>
    </sheetView>
  </sheetViews>
  <sheetFormatPr defaultRowHeight="15" x14ac:dyDescent="0.25"/>
  <cols>
    <col min="1" max="1" width="29.7109375" customWidth="1"/>
    <col min="2" max="2" width="33.42578125" customWidth="1"/>
    <col min="4" max="4" width="10.7109375" bestFit="1" customWidth="1"/>
    <col min="7" max="7" width="11.140625" bestFit="1" customWidth="1"/>
  </cols>
  <sheetData>
    <row r="1" spans="1:12" x14ac:dyDescent="0.25">
      <c r="A1" t="s">
        <v>0</v>
      </c>
      <c r="B1" t="s">
        <v>610</v>
      </c>
      <c r="C1" t="s">
        <v>1</v>
      </c>
      <c r="D1" t="s">
        <v>2</v>
      </c>
      <c r="E1" t="s">
        <v>3</v>
      </c>
      <c r="F1" t="s">
        <v>4</v>
      </c>
      <c r="G1" t="s">
        <v>5</v>
      </c>
      <c r="K1" t="s">
        <v>4</v>
      </c>
    </row>
    <row r="2" spans="1:12" x14ac:dyDescent="0.25">
      <c r="A2" t="s">
        <v>32</v>
      </c>
      <c r="B2" t="s">
        <v>33</v>
      </c>
      <c r="C2">
        <v>4.5999999999999996</v>
      </c>
      <c r="D2">
        <v>5013</v>
      </c>
      <c r="E2">
        <v>17</v>
      </c>
      <c r="F2">
        <v>2009</v>
      </c>
      <c r="G2" t="s">
        <v>8</v>
      </c>
      <c r="K2">
        <v>2009</v>
      </c>
      <c r="L2">
        <f>COUNTIF(F:F,K2)</f>
        <v>50</v>
      </c>
    </row>
    <row r="3" spans="1:12" x14ac:dyDescent="0.25">
      <c r="A3" t="s">
        <v>51</v>
      </c>
      <c r="B3" t="s">
        <v>52</v>
      </c>
      <c r="C3">
        <v>4.5999999999999996</v>
      </c>
      <c r="D3">
        <v>798</v>
      </c>
      <c r="E3">
        <v>5</v>
      </c>
      <c r="F3">
        <v>2009</v>
      </c>
      <c r="G3" t="s">
        <v>8</v>
      </c>
      <c r="K3">
        <v>2010</v>
      </c>
      <c r="L3">
        <f t="shared" ref="L3:L12" si="0">COUNTIF(F:F,K3)</f>
        <v>50</v>
      </c>
    </row>
    <row r="4" spans="1:12" x14ac:dyDescent="0.25">
      <c r="A4" t="s">
        <v>72</v>
      </c>
      <c r="B4" t="s">
        <v>73</v>
      </c>
      <c r="C4">
        <v>4.5999999999999996</v>
      </c>
      <c r="D4">
        <v>9769</v>
      </c>
      <c r="E4">
        <v>13</v>
      </c>
      <c r="F4">
        <v>2009</v>
      </c>
      <c r="G4" t="s">
        <v>10</v>
      </c>
      <c r="K4">
        <v>2011</v>
      </c>
      <c r="L4">
        <f t="shared" si="0"/>
        <v>50</v>
      </c>
    </row>
    <row r="5" spans="1:12" x14ac:dyDescent="0.25">
      <c r="A5" t="s">
        <v>89</v>
      </c>
      <c r="B5" t="s">
        <v>90</v>
      </c>
      <c r="C5">
        <v>4.7</v>
      </c>
      <c r="D5">
        <v>1542</v>
      </c>
      <c r="E5">
        <v>14</v>
      </c>
      <c r="F5">
        <v>2009</v>
      </c>
      <c r="G5" t="s">
        <v>8</v>
      </c>
      <c r="K5">
        <v>2012</v>
      </c>
      <c r="L5">
        <f t="shared" si="0"/>
        <v>50</v>
      </c>
    </row>
    <row r="6" spans="1:12" x14ac:dyDescent="0.25">
      <c r="A6" t="s">
        <v>102</v>
      </c>
      <c r="B6" t="s">
        <v>103</v>
      </c>
      <c r="C6">
        <v>4.5999999999999996</v>
      </c>
      <c r="D6">
        <v>1541</v>
      </c>
      <c r="E6">
        <v>4</v>
      </c>
      <c r="F6">
        <v>2009</v>
      </c>
      <c r="G6" t="s">
        <v>10</v>
      </c>
      <c r="K6">
        <v>2013</v>
      </c>
      <c r="L6">
        <f t="shared" si="0"/>
        <v>50</v>
      </c>
    </row>
    <row r="7" spans="1:12" x14ac:dyDescent="0.25">
      <c r="A7" t="s">
        <v>115</v>
      </c>
      <c r="B7" t="s">
        <v>78</v>
      </c>
      <c r="C7">
        <v>4.8</v>
      </c>
      <c r="D7">
        <v>3837</v>
      </c>
      <c r="E7">
        <v>15</v>
      </c>
      <c r="F7">
        <v>2009</v>
      </c>
      <c r="G7" t="s">
        <v>10</v>
      </c>
      <c r="K7">
        <v>2014</v>
      </c>
      <c r="L7">
        <f t="shared" si="0"/>
        <v>50</v>
      </c>
    </row>
    <row r="8" spans="1:12" x14ac:dyDescent="0.25">
      <c r="A8" t="s">
        <v>121</v>
      </c>
      <c r="B8" t="s">
        <v>122</v>
      </c>
      <c r="C8">
        <v>4.5999999999999996</v>
      </c>
      <c r="D8">
        <v>37</v>
      </c>
      <c r="E8">
        <v>6</v>
      </c>
      <c r="F8">
        <v>2009</v>
      </c>
      <c r="G8" t="s">
        <v>8</v>
      </c>
      <c r="K8">
        <v>2015</v>
      </c>
      <c r="L8">
        <f t="shared" si="0"/>
        <v>50</v>
      </c>
    </row>
    <row r="9" spans="1:12" x14ac:dyDescent="0.25">
      <c r="A9" t="s">
        <v>124</v>
      </c>
      <c r="B9" t="s">
        <v>78</v>
      </c>
      <c r="C9">
        <v>4.8</v>
      </c>
      <c r="D9">
        <v>3181</v>
      </c>
      <c r="E9">
        <v>12</v>
      </c>
      <c r="F9">
        <v>2009</v>
      </c>
      <c r="G9" t="s">
        <v>10</v>
      </c>
      <c r="K9">
        <v>2016</v>
      </c>
      <c r="L9">
        <f t="shared" si="0"/>
        <v>50</v>
      </c>
    </row>
    <row r="10" spans="1:12" x14ac:dyDescent="0.25">
      <c r="A10" t="s">
        <v>137</v>
      </c>
      <c r="B10" t="s">
        <v>138</v>
      </c>
      <c r="C10">
        <v>4.5</v>
      </c>
      <c r="D10">
        <v>720</v>
      </c>
      <c r="E10">
        <v>1</v>
      </c>
      <c r="F10">
        <v>2009</v>
      </c>
      <c r="G10" t="s">
        <v>8</v>
      </c>
      <c r="K10">
        <v>2017</v>
      </c>
      <c r="L10">
        <f t="shared" si="0"/>
        <v>50</v>
      </c>
    </row>
    <row r="11" spans="1:12" x14ac:dyDescent="0.25">
      <c r="A11" t="s">
        <v>139</v>
      </c>
      <c r="B11" t="s">
        <v>138</v>
      </c>
      <c r="C11">
        <v>4.3</v>
      </c>
      <c r="D11">
        <v>956</v>
      </c>
      <c r="E11">
        <v>14</v>
      </c>
      <c r="F11">
        <v>2009</v>
      </c>
      <c r="G11" t="s">
        <v>8</v>
      </c>
      <c r="K11">
        <v>2018</v>
      </c>
      <c r="L11">
        <f t="shared" si="0"/>
        <v>50</v>
      </c>
    </row>
    <row r="12" spans="1:12" x14ac:dyDescent="0.25">
      <c r="A12" t="s">
        <v>142</v>
      </c>
      <c r="B12" t="s">
        <v>73</v>
      </c>
      <c r="C12">
        <v>4.7</v>
      </c>
      <c r="D12">
        <v>5505</v>
      </c>
      <c r="E12">
        <v>7</v>
      </c>
      <c r="F12">
        <v>2009</v>
      </c>
      <c r="G12" t="s">
        <v>10</v>
      </c>
      <c r="K12">
        <v>2019</v>
      </c>
      <c r="L12">
        <f t="shared" si="0"/>
        <v>50</v>
      </c>
    </row>
    <row r="13" spans="1:12" x14ac:dyDescent="0.25">
      <c r="A13" t="s">
        <v>143</v>
      </c>
      <c r="B13" t="s">
        <v>73</v>
      </c>
      <c r="C13">
        <v>4.7</v>
      </c>
      <c r="D13">
        <v>5505</v>
      </c>
      <c r="E13">
        <v>18</v>
      </c>
      <c r="F13">
        <v>2009</v>
      </c>
      <c r="G13" t="s">
        <v>10</v>
      </c>
    </row>
    <row r="14" spans="1:12" x14ac:dyDescent="0.25">
      <c r="A14" t="s">
        <v>180</v>
      </c>
      <c r="B14" t="s">
        <v>52</v>
      </c>
      <c r="C14">
        <v>4.5999999999999996</v>
      </c>
      <c r="D14">
        <v>1365</v>
      </c>
      <c r="E14">
        <v>11</v>
      </c>
      <c r="F14">
        <v>2009</v>
      </c>
      <c r="G14" t="s">
        <v>8</v>
      </c>
    </row>
    <row r="15" spans="1:12" x14ac:dyDescent="0.25">
      <c r="A15" t="s">
        <v>185</v>
      </c>
      <c r="B15" t="s">
        <v>186</v>
      </c>
      <c r="C15">
        <v>4.5999999999999996</v>
      </c>
      <c r="D15">
        <v>1636</v>
      </c>
      <c r="E15">
        <v>6</v>
      </c>
      <c r="F15">
        <v>2009</v>
      </c>
      <c r="G15" t="s">
        <v>8</v>
      </c>
    </row>
    <row r="16" spans="1:12" x14ac:dyDescent="0.25">
      <c r="A16" t="s">
        <v>191</v>
      </c>
      <c r="B16" t="s">
        <v>192</v>
      </c>
      <c r="C16">
        <v>4.5</v>
      </c>
      <c r="D16">
        <v>3457</v>
      </c>
      <c r="E16">
        <v>14</v>
      </c>
      <c r="F16">
        <v>2009</v>
      </c>
      <c r="G16" t="s">
        <v>8</v>
      </c>
    </row>
    <row r="17" spans="1:7" x14ac:dyDescent="0.25">
      <c r="A17" t="s">
        <v>215</v>
      </c>
      <c r="B17" t="s">
        <v>216</v>
      </c>
      <c r="C17">
        <v>4.8</v>
      </c>
      <c r="D17">
        <v>1930</v>
      </c>
      <c r="E17">
        <v>4</v>
      </c>
      <c r="F17">
        <v>2009</v>
      </c>
      <c r="G17" t="s">
        <v>8</v>
      </c>
    </row>
    <row r="18" spans="1:7" x14ac:dyDescent="0.25">
      <c r="A18" t="s">
        <v>234</v>
      </c>
      <c r="B18" t="s">
        <v>235</v>
      </c>
      <c r="C18">
        <v>4.5999999999999996</v>
      </c>
      <c r="D18">
        <v>1320</v>
      </c>
      <c r="E18">
        <v>7</v>
      </c>
      <c r="F18">
        <v>2009</v>
      </c>
      <c r="G18" t="s">
        <v>10</v>
      </c>
    </row>
    <row r="19" spans="1:7" x14ac:dyDescent="0.25">
      <c r="A19" t="s">
        <v>276</v>
      </c>
      <c r="B19" t="s">
        <v>277</v>
      </c>
      <c r="C19">
        <v>4.8</v>
      </c>
      <c r="D19">
        <v>3828</v>
      </c>
      <c r="E19">
        <v>15</v>
      </c>
      <c r="F19">
        <v>2009</v>
      </c>
      <c r="G19" t="s">
        <v>8</v>
      </c>
    </row>
    <row r="20" spans="1:7" x14ac:dyDescent="0.25">
      <c r="A20" t="s">
        <v>296</v>
      </c>
      <c r="B20" t="s">
        <v>297</v>
      </c>
      <c r="C20">
        <v>4.8</v>
      </c>
      <c r="D20">
        <v>2926</v>
      </c>
      <c r="E20">
        <v>27</v>
      </c>
      <c r="F20">
        <v>2009</v>
      </c>
      <c r="G20" t="s">
        <v>8</v>
      </c>
    </row>
    <row r="21" spans="1:7" x14ac:dyDescent="0.25">
      <c r="A21" t="s">
        <v>309</v>
      </c>
      <c r="B21" t="s">
        <v>73</v>
      </c>
      <c r="C21">
        <v>4.5999999999999996</v>
      </c>
      <c r="D21">
        <v>5680</v>
      </c>
      <c r="E21">
        <v>10</v>
      </c>
      <c r="F21">
        <v>2009</v>
      </c>
      <c r="G21" t="s">
        <v>10</v>
      </c>
    </row>
    <row r="22" spans="1:7" x14ac:dyDescent="0.25">
      <c r="A22" t="s">
        <v>319</v>
      </c>
      <c r="B22" t="s">
        <v>320</v>
      </c>
      <c r="C22">
        <v>4.2</v>
      </c>
      <c r="D22">
        <v>4519</v>
      </c>
      <c r="E22">
        <v>12</v>
      </c>
      <c r="F22">
        <v>2009</v>
      </c>
      <c r="G22" t="s">
        <v>10</v>
      </c>
    </row>
    <row r="23" spans="1:7" x14ac:dyDescent="0.25">
      <c r="A23" t="s">
        <v>327</v>
      </c>
      <c r="B23" t="s">
        <v>101</v>
      </c>
      <c r="C23">
        <v>4.5999999999999996</v>
      </c>
      <c r="D23">
        <v>10426</v>
      </c>
      <c r="E23">
        <v>20</v>
      </c>
      <c r="F23">
        <v>2009</v>
      </c>
      <c r="G23" t="s">
        <v>8</v>
      </c>
    </row>
    <row r="24" spans="1:7" x14ac:dyDescent="0.25">
      <c r="A24" t="s">
        <v>337</v>
      </c>
      <c r="B24" t="s">
        <v>338</v>
      </c>
      <c r="C24">
        <v>4.5</v>
      </c>
      <c r="D24">
        <v>8580</v>
      </c>
      <c r="E24">
        <v>46</v>
      </c>
      <c r="F24">
        <v>2009</v>
      </c>
      <c r="G24" t="s">
        <v>8</v>
      </c>
    </row>
    <row r="25" spans="1:7" x14ac:dyDescent="0.25">
      <c r="A25" t="s">
        <v>363</v>
      </c>
      <c r="B25" t="s">
        <v>103</v>
      </c>
      <c r="C25">
        <v>4.7</v>
      </c>
      <c r="D25">
        <v>973</v>
      </c>
      <c r="E25">
        <v>25</v>
      </c>
      <c r="F25">
        <v>2009</v>
      </c>
      <c r="G25" t="s">
        <v>10</v>
      </c>
    </row>
    <row r="26" spans="1:7" x14ac:dyDescent="0.25">
      <c r="A26" t="s">
        <v>368</v>
      </c>
      <c r="B26" t="s">
        <v>369</v>
      </c>
      <c r="C26">
        <v>4</v>
      </c>
      <c r="D26">
        <v>5069</v>
      </c>
      <c r="E26">
        <v>17</v>
      </c>
      <c r="F26">
        <v>2009</v>
      </c>
      <c r="G26" t="s">
        <v>8</v>
      </c>
    </row>
    <row r="27" spans="1:7" x14ac:dyDescent="0.25">
      <c r="A27" t="s">
        <v>370</v>
      </c>
      <c r="B27" t="s">
        <v>371</v>
      </c>
      <c r="C27">
        <v>4.5</v>
      </c>
      <c r="D27">
        <v>1583</v>
      </c>
      <c r="E27">
        <v>18</v>
      </c>
      <c r="F27">
        <v>2009</v>
      </c>
      <c r="G27" t="s">
        <v>8</v>
      </c>
    </row>
    <row r="28" spans="1:7" x14ac:dyDescent="0.25">
      <c r="A28" t="s">
        <v>385</v>
      </c>
      <c r="B28" t="s">
        <v>386</v>
      </c>
      <c r="C28">
        <v>4.8</v>
      </c>
      <c r="D28">
        <v>1680</v>
      </c>
      <c r="E28">
        <v>12</v>
      </c>
      <c r="F28">
        <v>2009</v>
      </c>
      <c r="G28" t="s">
        <v>8</v>
      </c>
    </row>
    <row r="29" spans="1:7" x14ac:dyDescent="0.25">
      <c r="A29" t="s">
        <v>387</v>
      </c>
      <c r="B29" t="s">
        <v>388</v>
      </c>
      <c r="C29">
        <v>4.5999999999999996</v>
      </c>
      <c r="D29">
        <v>9325</v>
      </c>
      <c r="E29">
        <v>24</v>
      </c>
      <c r="F29">
        <v>2009</v>
      </c>
      <c r="G29" t="s">
        <v>8</v>
      </c>
    </row>
    <row r="30" spans="1:7" x14ac:dyDescent="0.25">
      <c r="A30" t="s">
        <v>402</v>
      </c>
      <c r="B30" t="s">
        <v>403</v>
      </c>
      <c r="C30">
        <v>4.7</v>
      </c>
      <c r="D30">
        <v>858</v>
      </c>
      <c r="E30">
        <v>53</v>
      </c>
      <c r="F30">
        <v>2009</v>
      </c>
      <c r="G30" t="s">
        <v>8</v>
      </c>
    </row>
    <row r="31" spans="1:7" x14ac:dyDescent="0.25">
      <c r="A31" t="s">
        <v>424</v>
      </c>
      <c r="B31" t="s">
        <v>425</v>
      </c>
      <c r="C31">
        <v>4</v>
      </c>
      <c r="D31">
        <v>1859</v>
      </c>
      <c r="E31">
        <v>11</v>
      </c>
      <c r="F31">
        <v>2009</v>
      </c>
      <c r="G31" t="s">
        <v>10</v>
      </c>
    </row>
    <row r="32" spans="1:7" x14ac:dyDescent="0.25">
      <c r="A32" t="s">
        <v>427</v>
      </c>
      <c r="B32" t="s">
        <v>428</v>
      </c>
      <c r="C32">
        <v>4.5999999999999996</v>
      </c>
      <c r="D32">
        <v>3207</v>
      </c>
      <c r="E32">
        <v>6</v>
      </c>
      <c r="F32">
        <v>2009</v>
      </c>
      <c r="G32" t="s">
        <v>8</v>
      </c>
    </row>
    <row r="33" spans="1:7" x14ac:dyDescent="0.25">
      <c r="A33" t="s">
        <v>429</v>
      </c>
      <c r="B33" t="s">
        <v>383</v>
      </c>
      <c r="C33">
        <v>4.5999999999999996</v>
      </c>
      <c r="D33">
        <v>803</v>
      </c>
      <c r="E33">
        <v>9</v>
      </c>
      <c r="F33">
        <v>2009</v>
      </c>
      <c r="G33" t="s">
        <v>8</v>
      </c>
    </row>
    <row r="34" spans="1:7" x14ac:dyDescent="0.25">
      <c r="A34" t="s">
        <v>438</v>
      </c>
      <c r="B34" t="s">
        <v>436</v>
      </c>
      <c r="C34">
        <v>4.7</v>
      </c>
      <c r="D34">
        <v>7251</v>
      </c>
      <c r="E34">
        <v>16</v>
      </c>
      <c r="F34">
        <v>2009</v>
      </c>
      <c r="G34" t="s">
        <v>10</v>
      </c>
    </row>
    <row r="35" spans="1:7" x14ac:dyDescent="0.25">
      <c r="A35" t="s">
        <v>439</v>
      </c>
      <c r="B35" t="s">
        <v>436</v>
      </c>
      <c r="C35">
        <v>4.4000000000000004</v>
      </c>
      <c r="D35">
        <v>10559</v>
      </c>
      <c r="E35">
        <v>2</v>
      </c>
      <c r="F35">
        <v>2009</v>
      </c>
      <c r="G35" t="s">
        <v>10</v>
      </c>
    </row>
    <row r="36" spans="1:7" x14ac:dyDescent="0.25">
      <c r="A36" t="s">
        <v>447</v>
      </c>
      <c r="B36" t="s">
        <v>448</v>
      </c>
      <c r="C36">
        <v>4.7</v>
      </c>
      <c r="D36">
        <v>8587</v>
      </c>
      <c r="E36">
        <v>10</v>
      </c>
      <c r="F36">
        <v>2009</v>
      </c>
      <c r="G36" t="s">
        <v>10</v>
      </c>
    </row>
    <row r="37" spans="1:7" x14ac:dyDescent="0.25">
      <c r="A37" t="s">
        <v>455</v>
      </c>
      <c r="B37" t="s">
        <v>456</v>
      </c>
      <c r="C37">
        <v>4.8</v>
      </c>
      <c r="D37">
        <v>13871</v>
      </c>
      <c r="E37">
        <v>6</v>
      </c>
      <c r="F37">
        <v>2009</v>
      </c>
      <c r="G37" t="s">
        <v>10</v>
      </c>
    </row>
    <row r="38" spans="1:7" x14ac:dyDescent="0.25">
      <c r="A38" t="s">
        <v>465</v>
      </c>
      <c r="B38" t="s">
        <v>466</v>
      </c>
      <c r="C38">
        <v>4.7</v>
      </c>
      <c r="D38">
        <v>4028</v>
      </c>
      <c r="E38">
        <v>9</v>
      </c>
      <c r="F38">
        <v>2009</v>
      </c>
      <c r="G38" t="s">
        <v>8</v>
      </c>
    </row>
    <row r="39" spans="1:7" x14ac:dyDescent="0.25">
      <c r="A39" t="s">
        <v>467</v>
      </c>
      <c r="B39" t="s">
        <v>331</v>
      </c>
      <c r="C39">
        <v>4.8</v>
      </c>
      <c r="D39">
        <v>4628</v>
      </c>
      <c r="E39">
        <v>7</v>
      </c>
      <c r="F39">
        <v>2009</v>
      </c>
      <c r="G39" t="s">
        <v>10</v>
      </c>
    </row>
    <row r="40" spans="1:7" x14ac:dyDescent="0.25">
      <c r="A40" t="s">
        <v>476</v>
      </c>
      <c r="B40" t="s">
        <v>243</v>
      </c>
      <c r="C40">
        <v>4.2</v>
      </c>
      <c r="D40">
        <v>8747</v>
      </c>
      <c r="E40">
        <v>19</v>
      </c>
      <c r="F40">
        <v>2009</v>
      </c>
      <c r="G40" t="s">
        <v>10</v>
      </c>
    </row>
    <row r="41" spans="1:7" x14ac:dyDescent="0.25">
      <c r="A41" t="s">
        <v>477</v>
      </c>
      <c r="B41" t="s">
        <v>478</v>
      </c>
      <c r="C41">
        <v>4.8</v>
      </c>
      <c r="D41">
        <v>1655</v>
      </c>
      <c r="E41">
        <v>13</v>
      </c>
      <c r="F41">
        <v>2009</v>
      </c>
      <c r="G41" t="s">
        <v>8</v>
      </c>
    </row>
    <row r="42" spans="1:7" x14ac:dyDescent="0.25">
      <c r="A42" t="s">
        <v>513</v>
      </c>
      <c r="B42" t="s">
        <v>514</v>
      </c>
      <c r="C42">
        <v>4.5999999999999996</v>
      </c>
      <c r="D42">
        <v>19720</v>
      </c>
      <c r="E42">
        <v>8</v>
      </c>
      <c r="F42">
        <v>2009</v>
      </c>
      <c r="G42" t="s">
        <v>10</v>
      </c>
    </row>
    <row r="43" spans="1:7" x14ac:dyDescent="0.25">
      <c r="A43" t="s">
        <v>524</v>
      </c>
      <c r="B43" t="s">
        <v>525</v>
      </c>
      <c r="C43">
        <v>4.4000000000000004</v>
      </c>
      <c r="D43">
        <v>3759</v>
      </c>
      <c r="E43">
        <v>6</v>
      </c>
      <c r="F43">
        <v>2009</v>
      </c>
      <c r="G43" t="s">
        <v>10</v>
      </c>
    </row>
    <row r="44" spans="1:7" x14ac:dyDescent="0.25">
      <c r="A44" t="s">
        <v>526</v>
      </c>
      <c r="B44" t="s">
        <v>101</v>
      </c>
      <c r="C44">
        <v>4.4000000000000004</v>
      </c>
      <c r="D44">
        <v>3503</v>
      </c>
      <c r="E44">
        <v>9</v>
      </c>
      <c r="F44">
        <v>2009</v>
      </c>
      <c r="G44" t="s">
        <v>8</v>
      </c>
    </row>
    <row r="45" spans="1:7" x14ac:dyDescent="0.25">
      <c r="A45" t="s">
        <v>529</v>
      </c>
      <c r="B45" t="s">
        <v>73</v>
      </c>
      <c r="C45">
        <v>4.7</v>
      </c>
      <c r="D45">
        <v>3801</v>
      </c>
      <c r="E45">
        <v>82</v>
      </c>
      <c r="F45">
        <v>2009</v>
      </c>
      <c r="G45" t="s">
        <v>10</v>
      </c>
    </row>
    <row r="46" spans="1:7" x14ac:dyDescent="0.25">
      <c r="A46" t="s">
        <v>551</v>
      </c>
      <c r="B46" t="s">
        <v>552</v>
      </c>
      <c r="C46">
        <v>4.3</v>
      </c>
      <c r="D46">
        <v>3319</v>
      </c>
      <c r="E46">
        <v>11</v>
      </c>
      <c r="F46">
        <v>2009</v>
      </c>
      <c r="G46" t="s">
        <v>8</v>
      </c>
    </row>
    <row r="47" spans="1:7" x14ac:dyDescent="0.25">
      <c r="A47" t="s">
        <v>561</v>
      </c>
      <c r="B47" t="s">
        <v>562</v>
      </c>
      <c r="C47">
        <v>4.5</v>
      </c>
      <c r="D47">
        <v>438</v>
      </c>
      <c r="E47">
        <v>15</v>
      </c>
      <c r="F47">
        <v>2009</v>
      </c>
      <c r="G47" t="s">
        <v>8</v>
      </c>
    </row>
    <row r="48" spans="1:7" x14ac:dyDescent="0.25">
      <c r="A48" t="s">
        <v>563</v>
      </c>
      <c r="B48" t="s">
        <v>73</v>
      </c>
      <c r="C48">
        <v>4.7</v>
      </c>
      <c r="D48">
        <v>11676</v>
      </c>
      <c r="E48">
        <v>9</v>
      </c>
      <c r="F48">
        <v>2009</v>
      </c>
      <c r="G48" t="s">
        <v>10</v>
      </c>
    </row>
    <row r="49" spans="1:7" x14ac:dyDescent="0.25">
      <c r="A49" t="s">
        <v>567</v>
      </c>
      <c r="B49" t="s">
        <v>9</v>
      </c>
      <c r="C49">
        <v>4.3</v>
      </c>
      <c r="D49">
        <v>6740</v>
      </c>
      <c r="E49">
        <v>20</v>
      </c>
      <c r="F49">
        <v>2009</v>
      </c>
      <c r="G49" t="s">
        <v>10</v>
      </c>
    </row>
    <row r="50" spans="1:7" x14ac:dyDescent="0.25">
      <c r="A50" t="s">
        <v>572</v>
      </c>
      <c r="B50" t="s">
        <v>573</v>
      </c>
      <c r="C50">
        <v>4.8</v>
      </c>
      <c r="D50">
        <v>3829</v>
      </c>
      <c r="E50">
        <v>42</v>
      </c>
      <c r="F50">
        <v>2009</v>
      </c>
      <c r="G50" t="s">
        <v>10</v>
      </c>
    </row>
    <row r="51" spans="1:7" x14ac:dyDescent="0.25">
      <c r="A51" t="s">
        <v>591</v>
      </c>
      <c r="B51" t="s">
        <v>592</v>
      </c>
      <c r="C51">
        <v>4.8</v>
      </c>
      <c r="D51">
        <v>9967</v>
      </c>
      <c r="E51">
        <v>13</v>
      </c>
      <c r="F51">
        <v>2009</v>
      </c>
      <c r="G51" t="s">
        <v>10</v>
      </c>
    </row>
    <row r="52" spans="1:7" x14ac:dyDescent="0.25">
      <c r="A52" t="s">
        <v>26</v>
      </c>
      <c r="B52" t="s">
        <v>27</v>
      </c>
      <c r="C52">
        <v>4.5999999999999996</v>
      </c>
      <c r="D52">
        <v>460</v>
      </c>
      <c r="E52">
        <v>2</v>
      </c>
      <c r="F52">
        <v>2010</v>
      </c>
      <c r="G52" t="s">
        <v>8</v>
      </c>
    </row>
    <row r="53" spans="1:7" x14ac:dyDescent="0.25">
      <c r="A53" t="s">
        <v>55</v>
      </c>
      <c r="B53" t="s">
        <v>56</v>
      </c>
      <c r="C53">
        <v>4.2</v>
      </c>
      <c r="D53">
        <v>491</v>
      </c>
      <c r="E53">
        <v>14</v>
      </c>
      <c r="F53">
        <v>2010</v>
      </c>
      <c r="G53" t="s">
        <v>8</v>
      </c>
    </row>
    <row r="54" spans="1:7" x14ac:dyDescent="0.25">
      <c r="A54" t="s">
        <v>63</v>
      </c>
      <c r="B54" t="s">
        <v>62</v>
      </c>
      <c r="C54">
        <v>4.7</v>
      </c>
      <c r="D54">
        <v>615</v>
      </c>
      <c r="E54">
        <v>21</v>
      </c>
      <c r="F54">
        <v>2010</v>
      </c>
      <c r="G54" t="s">
        <v>8</v>
      </c>
    </row>
    <row r="55" spans="1:7" x14ac:dyDescent="0.25">
      <c r="A55" t="s">
        <v>74</v>
      </c>
      <c r="B55" t="s">
        <v>52</v>
      </c>
      <c r="C55">
        <v>4.5</v>
      </c>
      <c r="D55">
        <v>471</v>
      </c>
      <c r="E55">
        <v>8</v>
      </c>
      <c r="F55">
        <v>2010</v>
      </c>
      <c r="G55" t="s">
        <v>8</v>
      </c>
    </row>
    <row r="56" spans="1:7" x14ac:dyDescent="0.25">
      <c r="A56" t="s">
        <v>85</v>
      </c>
      <c r="B56" t="s">
        <v>86</v>
      </c>
      <c r="C56">
        <v>4.7</v>
      </c>
      <c r="D56">
        <v>22614</v>
      </c>
      <c r="E56">
        <v>11</v>
      </c>
      <c r="F56">
        <v>2010</v>
      </c>
      <c r="G56" t="s">
        <v>10</v>
      </c>
    </row>
    <row r="57" spans="1:7" x14ac:dyDescent="0.25">
      <c r="A57" t="s">
        <v>89</v>
      </c>
      <c r="B57" t="s">
        <v>90</v>
      </c>
      <c r="C57">
        <v>4.7</v>
      </c>
      <c r="D57">
        <v>1542</v>
      </c>
      <c r="E57">
        <v>14</v>
      </c>
      <c r="F57">
        <v>2010</v>
      </c>
      <c r="G57" t="s">
        <v>8</v>
      </c>
    </row>
    <row r="58" spans="1:7" x14ac:dyDescent="0.25">
      <c r="A58" t="s">
        <v>96</v>
      </c>
      <c r="B58" t="s">
        <v>97</v>
      </c>
      <c r="C58">
        <v>4.5999999999999996</v>
      </c>
      <c r="D58">
        <v>4866</v>
      </c>
      <c r="E58">
        <v>11</v>
      </c>
      <c r="F58">
        <v>2010</v>
      </c>
      <c r="G58" t="s">
        <v>10</v>
      </c>
    </row>
    <row r="59" spans="1:7" x14ac:dyDescent="0.25">
      <c r="A59" t="s">
        <v>104</v>
      </c>
      <c r="B59" t="s">
        <v>103</v>
      </c>
      <c r="C59">
        <v>4.3</v>
      </c>
      <c r="D59">
        <v>1924</v>
      </c>
      <c r="E59">
        <v>8</v>
      </c>
      <c r="F59">
        <v>2010</v>
      </c>
      <c r="G59" t="s">
        <v>10</v>
      </c>
    </row>
    <row r="60" spans="1:7" x14ac:dyDescent="0.25">
      <c r="A60" t="s">
        <v>108</v>
      </c>
      <c r="B60" t="s">
        <v>109</v>
      </c>
      <c r="C60">
        <v>4.5999999999999996</v>
      </c>
      <c r="D60">
        <v>2137</v>
      </c>
      <c r="E60">
        <v>17</v>
      </c>
      <c r="F60">
        <v>2010</v>
      </c>
      <c r="G60" t="s">
        <v>8</v>
      </c>
    </row>
    <row r="61" spans="1:7" x14ac:dyDescent="0.25">
      <c r="A61" t="s">
        <v>110</v>
      </c>
      <c r="B61" t="s">
        <v>111</v>
      </c>
      <c r="C61">
        <v>4.5999999999999996</v>
      </c>
      <c r="D61">
        <v>1651</v>
      </c>
      <c r="E61">
        <v>15</v>
      </c>
      <c r="F61">
        <v>2010</v>
      </c>
      <c r="G61" t="s">
        <v>8</v>
      </c>
    </row>
    <row r="62" spans="1:7" x14ac:dyDescent="0.25">
      <c r="A62" t="s">
        <v>135</v>
      </c>
      <c r="B62" t="s">
        <v>136</v>
      </c>
      <c r="C62">
        <v>4.5</v>
      </c>
      <c r="D62">
        <v>2525</v>
      </c>
      <c r="E62">
        <v>16</v>
      </c>
      <c r="F62">
        <v>2010</v>
      </c>
      <c r="G62" t="s">
        <v>8</v>
      </c>
    </row>
    <row r="63" spans="1:7" x14ac:dyDescent="0.25">
      <c r="A63" t="s">
        <v>163</v>
      </c>
      <c r="B63" t="s">
        <v>164</v>
      </c>
      <c r="C63">
        <v>4.4000000000000004</v>
      </c>
      <c r="D63">
        <v>1555</v>
      </c>
      <c r="E63">
        <v>9</v>
      </c>
      <c r="F63">
        <v>2010</v>
      </c>
      <c r="G63" t="s">
        <v>8</v>
      </c>
    </row>
    <row r="64" spans="1:7" x14ac:dyDescent="0.25">
      <c r="A64" t="s">
        <v>167</v>
      </c>
      <c r="B64" t="s">
        <v>168</v>
      </c>
      <c r="C64">
        <v>4.4000000000000004</v>
      </c>
      <c r="D64">
        <v>1215</v>
      </c>
      <c r="E64">
        <v>9</v>
      </c>
      <c r="F64">
        <v>2010</v>
      </c>
      <c r="G64" t="s">
        <v>8</v>
      </c>
    </row>
    <row r="65" spans="1:7" x14ac:dyDescent="0.25">
      <c r="A65" t="s">
        <v>171</v>
      </c>
      <c r="B65" t="s">
        <v>172</v>
      </c>
      <c r="C65">
        <v>4.5</v>
      </c>
      <c r="D65">
        <v>408</v>
      </c>
      <c r="E65">
        <v>20</v>
      </c>
      <c r="F65">
        <v>2010</v>
      </c>
      <c r="G65" t="s">
        <v>8</v>
      </c>
    </row>
    <row r="66" spans="1:7" x14ac:dyDescent="0.25">
      <c r="A66" t="s">
        <v>191</v>
      </c>
      <c r="B66" t="s">
        <v>192</v>
      </c>
      <c r="C66">
        <v>4.5</v>
      </c>
      <c r="D66">
        <v>3457</v>
      </c>
      <c r="E66">
        <v>14</v>
      </c>
      <c r="F66">
        <v>2010</v>
      </c>
      <c r="G66" t="s">
        <v>8</v>
      </c>
    </row>
    <row r="67" spans="1:7" x14ac:dyDescent="0.25">
      <c r="A67" t="s">
        <v>278</v>
      </c>
      <c r="B67" t="s">
        <v>279</v>
      </c>
      <c r="C67">
        <v>4.5</v>
      </c>
      <c r="D67">
        <v>2752</v>
      </c>
      <c r="E67">
        <v>18</v>
      </c>
      <c r="F67">
        <v>2010</v>
      </c>
      <c r="G67" t="s">
        <v>8</v>
      </c>
    </row>
    <row r="68" spans="1:7" x14ac:dyDescent="0.25">
      <c r="A68" t="s">
        <v>280</v>
      </c>
      <c r="B68" t="s">
        <v>281</v>
      </c>
      <c r="C68">
        <v>4.0999999999999996</v>
      </c>
      <c r="D68">
        <v>1467</v>
      </c>
      <c r="E68">
        <v>10</v>
      </c>
      <c r="F68">
        <v>2010</v>
      </c>
      <c r="G68" t="s">
        <v>10</v>
      </c>
    </row>
    <row r="69" spans="1:7" x14ac:dyDescent="0.25">
      <c r="A69" t="s">
        <v>304</v>
      </c>
      <c r="B69" t="s">
        <v>86</v>
      </c>
      <c r="C69">
        <v>4.5</v>
      </c>
      <c r="D69">
        <v>26741</v>
      </c>
      <c r="E69">
        <v>8</v>
      </c>
      <c r="F69">
        <v>2010</v>
      </c>
      <c r="G69" t="s">
        <v>10</v>
      </c>
    </row>
    <row r="70" spans="1:7" x14ac:dyDescent="0.25">
      <c r="A70" t="s">
        <v>327</v>
      </c>
      <c r="B70" t="s">
        <v>101</v>
      </c>
      <c r="C70">
        <v>4.5999999999999996</v>
      </c>
      <c r="D70">
        <v>10426</v>
      </c>
      <c r="E70">
        <v>20</v>
      </c>
      <c r="F70">
        <v>2010</v>
      </c>
      <c r="G70" t="s">
        <v>8</v>
      </c>
    </row>
    <row r="71" spans="1:7" x14ac:dyDescent="0.25">
      <c r="A71" t="s">
        <v>330</v>
      </c>
      <c r="B71" t="s">
        <v>331</v>
      </c>
      <c r="C71">
        <v>4.8</v>
      </c>
      <c r="D71">
        <v>548</v>
      </c>
      <c r="E71">
        <v>2</v>
      </c>
      <c r="F71">
        <v>2010</v>
      </c>
      <c r="G71" t="s">
        <v>10</v>
      </c>
    </row>
    <row r="72" spans="1:7" x14ac:dyDescent="0.25">
      <c r="A72" t="s">
        <v>337</v>
      </c>
      <c r="B72" t="s">
        <v>338</v>
      </c>
      <c r="C72">
        <v>4.5</v>
      </c>
      <c r="D72">
        <v>8580</v>
      </c>
      <c r="E72">
        <v>46</v>
      </c>
      <c r="F72">
        <v>2010</v>
      </c>
      <c r="G72" t="s">
        <v>8</v>
      </c>
    </row>
    <row r="73" spans="1:7" x14ac:dyDescent="0.25">
      <c r="A73" t="s">
        <v>343</v>
      </c>
      <c r="B73" t="s">
        <v>344</v>
      </c>
      <c r="C73">
        <v>4.7</v>
      </c>
      <c r="D73">
        <v>1985</v>
      </c>
      <c r="E73">
        <v>9</v>
      </c>
      <c r="F73">
        <v>2010</v>
      </c>
      <c r="G73" t="s">
        <v>8</v>
      </c>
    </row>
    <row r="74" spans="1:7" x14ac:dyDescent="0.25">
      <c r="A74" t="s">
        <v>352</v>
      </c>
      <c r="B74" t="s">
        <v>353</v>
      </c>
      <c r="C74">
        <v>4.5999999999999996</v>
      </c>
      <c r="D74">
        <v>3619</v>
      </c>
      <c r="E74">
        <v>10</v>
      </c>
      <c r="F74">
        <v>2010</v>
      </c>
      <c r="G74" t="s">
        <v>10</v>
      </c>
    </row>
    <row r="75" spans="1:7" x14ac:dyDescent="0.25">
      <c r="A75" t="s">
        <v>357</v>
      </c>
      <c r="B75" t="s">
        <v>358</v>
      </c>
      <c r="C75">
        <v>4.7</v>
      </c>
      <c r="D75">
        <v>1265</v>
      </c>
      <c r="E75">
        <v>11</v>
      </c>
      <c r="F75">
        <v>2010</v>
      </c>
      <c r="G75" t="s">
        <v>8</v>
      </c>
    </row>
    <row r="76" spans="1:7" x14ac:dyDescent="0.25">
      <c r="A76" t="s">
        <v>368</v>
      </c>
      <c r="B76" t="s">
        <v>369</v>
      </c>
      <c r="C76">
        <v>4</v>
      </c>
      <c r="D76">
        <v>5069</v>
      </c>
      <c r="E76">
        <v>17</v>
      </c>
      <c r="F76">
        <v>2010</v>
      </c>
      <c r="G76" t="s">
        <v>8</v>
      </c>
    </row>
    <row r="77" spans="1:7" x14ac:dyDescent="0.25">
      <c r="A77" t="s">
        <v>372</v>
      </c>
      <c r="B77" t="s">
        <v>373</v>
      </c>
      <c r="C77">
        <v>4.5999999999999996</v>
      </c>
      <c r="D77">
        <v>1907</v>
      </c>
      <c r="E77">
        <v>13</v>
      </c>
      <c r="F77">
        <v>2010</v>
      </c>
      <c r="G77" t="s">
        <v>8</v>
      </c>
    </row>
    <row r="78" spans="1:7" x14ac:dyDescent="0.25">
      <c r="A78" t="s">
        <v>376</v>
      </c>
      <c r="B78" t="s">
        <v>377</v>
      </c>
      <c r="C78">
        <v>4.4000000000000004</v>
      </c>
      <c r="D78">
        <v>637</v>
      </c>
      <c r="E78">
        <v>20</v>
      </c>
      <c r="F78">
        <v>2010</v>
      </c>
      <c r="G78" t="s">
        <v>8</v>
      </c>
    </row>
    <row r="79" spans="1:7" x14ac:dyDescent="0.25">
      <c r="A79" t="s">
        <v>382</v>
      </c>
      <c r="B79" t="s">
        <v>383</v>
      </c>
      <c r="C79">
        <v>4.7</v>
      </c>
      <c r="D79">
        <v>3477</v>
      </c>
      <c r="E79">
        <v>28</v>
      </c>
      <c r="F79">
        <v>2010</v>
      </c>
      <c r="G79" t="s">
        <v>8</v>
      </c>
    </row>
    <row r="80" spans="1:7" x14ac:dyDescent="0.25">
      <c r="A80" t="s">
        <v>393</v>
      </c>
      <c r="B80" t="s">
        <v>394</v>
      </c>
      <c r="C80">
        <v>4.7</v>
      </c>
      <c r="D80">
        <v>11813</v>
      </c>
      <c r="E80">
        <v>10</v>
      </c>
      <c r="F80">
        <v>2010</v>
      </c>
      <c r="G80" t="s">
        <v>10</v>
      </c>
    </row>
    <row r="81" spans="1:7" x14ac:dyDescent="0.25">
      <c r="A81" t="s">
        <v>395</v>
      </c>
      <c r="B81" t="s">
        <v>396</v>
      </c>
      <c r="C81">
        <v>4.7</v>
      </c>
      <c r="D81">
        <v>3536</v>
      </c>
      <c r="E81">
        <v>17</v>
      </c>
      <c r="F81">
        <v>2010</v>
      </c>
      <c r="G81" t="s">
        <v>8</v>
      </c>
    </row>
    <row r="82" spans="1:7" x14ac:dyDescent="0.25">
      <c r="A82" t="s">
        <v>415</v>
      </c>
      <c r="B82" t="s">
        <v>375</v>
      </c>
      <c r="C82">
        <v>4.3</v>
      </c>
      <c r="D82">
        <v>3523</v>
      </c>
      <c r="E82">
        <v>13</v>
      </c>
      <c r="F82">
        <v>2010</v>
      </c>
      <c r="G82" t="s">
        <v>10</v>
      </c>
    </row>
    <row r="83" spans="1:7" x14ac:dyDescent="0.25">
      <c r="A83" t="s">
        <v>418</v>
      </c>
      <c r="B83" t="s">
        <v>419</v>
      </c>
      <c r="C83">
        <v>4.4000000000000004</v>
      </c>
      <c r="D83">
        <v>440</v>
      </c>
      <c r="E83">
        <v>11</v>
      </c>
      <c r="F83">
        <v>2010</v>
      </c>
      <c r="G83" t="s">
        <v>8</v>
      </c>
    </row>
    <row r="84" spans="1:7" x14ac:dyDescent="0.25">
      <c r="A84" t="s">
        <v>427</v>
      </c>
      <c r="B84" t="s">
        <v>428</v>
      </c>
      <c r="C84">
        <v>4.5999999999999996</v>
      </c>
      <c r="D84">
        <v>3207</v>
      </c>
      <c r="E84">
        <v>6</v>
      </c>
      <c r="F84">
        <v>2010</v>
      </c>
      <c r="G84" t="s">
        <v>8</v>
      </c>
    </row>
    <row r="85" spans="1:7" x14ac:dyDescent="0.25">
      <c r="A85" t="s">
        <v>435</v>
      </c>
      <c r="B85" t="s">
        <v>436</v>
      </c>
      <c r="C85">
        <v>4.7</v>
      </c>
      <c r="D85">
        <v>7747</v>
      </c>
      <c r="E85">
        <v>14</v>
      </c>
      <c r="F85">
        <v>2010</v>
      </c>
      <c r="G85" t="s">
        <v>10</v>
      </c>
    </row>
    <row r="86" spans="1:7" x14ac:dyDescent="0.25">
      <c r="A86" t="s">
        <v>437</v>
      </c>
      <c r="B86" t="s">
        <v>436</v>
      </c>
      <c r="C86">
        <v>4.7</v>
      </c>
      <c r="D86">
        <v>7251</v>
      </c>
      <c r="E86">
        <v>9</v>
      </c>
      <c r="F86">
        <v>2010</v>
      </c>
      <c r="G86" t="s">
        <v>10</v>
      </c>
    </row>
    <row r="87" spans="1:7" x14ac:dyDescent="0.25">
      <c r="A87" t="s">
        <v>439</v>
      </c>
      <c r="B87" t="s">
        <v>436</v>
      </c>
      <c r="C87">
        <v>4.4000000000000004</v>
      </c>
      <c r="D87">
        <v>10559</v>
      </c>
      <c r="E87">
        <v>2</v>
      </c>
      <c r="F87">
        <v>2010</v>
      </c>
      <c r="G87" t="s">
        <v>10</v>
      </c>
    </row>
    <row r="88" spans="1:7" x14ac:dyDescent="0.25">
      <c r="A88" t="s">
        <v>455</v>
      </c>
      <c r="B88" t="s">
        <v>456</v>
      </c>
      <c r="C88">
        <v>4.8</v>
      </c>
      <c r="D88">
        <v>13871</v>
      </c>
      <c r="E88">
        <v>6</v>
      </c>
      <c r="F88">
        <v>2010</v>
      </c>
      <c r="G88" t="s">
        <v>10</v>
      </c>
    </row>
    <row r="89" spans="1:7" x14ac:dyDescent="0.25">
      <c r="A89" t="s">
        <v>458</v>
      </c>
      <c r="B89" t="s">
        <v>86</v>
      </c>
      <c r="C89">
        <v>4.7</v>
      </c>
      <c r="D89">
        <v>32122</v>
      </c>
      <c r="E89">
        <v>14</v>
      </c>
      <c r="F89">
        <v>2010</v>
      </c>
      <c r="G89" t="s">
        <v>10</v>
      </c>
    </row>
    <row r="90" spans="1:7" x14ac:dyDescent="0.25">
      <c r="A90" t="s">
        <v>461</v>
      </c>
      <c r="B90" t="s">
        <v>462</v>
      </c>
      <c r="C90">
        <v>4.7</v>
      </c>
      <c r="D90">
        <v>9289</v>
      </c>
      <c r="E90">
        <v>13</v>
      </c>
      <c r="F90">
        <v>2010</v>
      </c>
      <c r="G90" t="s">
        <v>8</v>
      </c>
    </row>
    <row r="91" spans="1:7" x14ac:dyDescent="0.25">
      <c r="A91" t="s">
        <v>467</v>
      </c>
      <c r="B91" t="s">
        <v>331</v>
      </c>
      <c r="C91">
        <v>4.8</v>
      </c>
      <c r="D91">
        <v>4628</v>
      </c>
      <c r="E91">
        <v>7</v>
      </c>
      <c r="F91">
        <v>2010</v>
      </c>
      <c r="G91" t="s">
        <v>10</v>
      </c>
    </row>
    <row r="92" spans="1:7" x14ac:dyDescent="0.25">
      <c r="A92" t="s">
        <v>475</v>
      </c>
      <c r="B92" t="s">
        <v>331</v>
      </c>
      <c r="C92">
        <v>4.8</v>
      </c>
      <c r="D92">
        <v>4506</v>
      </c>
      <c r="E92">
        <v>14</v>
      </c>
      <c r="F92">
        <v>2010</v>
      </c>
      <c r="G92" t="s">
        <v>10</v>
      </c>
    </row>
    <row r="93" spans="1:7" x14ac:dyDescent="0.25">
      <c r="A93" t="s">
        <v>491</v>
      </c>
      <c r="B93" t="s">
        <v>492</v>
      </c>
      <c r="C93">
        <v>4.4000000000000004</v>
      </c>
      <c r="D93">
        <v>1201</v>
      </c>
      <c r="E93">
        <v>40</v>
      </c>
      <c r="F93">
        <v>2010</v>
      </c>
      <c r="G93" t="s">
        <v>8</v>
      </c>
    </row>
    <row r="94" spans="1:7" x14ac:dyDescent="0.25">
      <c r="A94" t="s">
        <v>509</v>
      </c>
      <c r="B94" t="s">
        <v>331</v>
      </c>
      <c r="C94">
        <v>4.5999999999999996</v>
      </c>
      <c r="D94">
        <v>2186</v>
      </c>
      <c r="E94">
        <v>12</v>
      </c>
      <c r="F94">
        <v>2010</v>
      </c>
      <c r="G94" t="s">
        <v>10</v>
      </c>
    </row>
    <row r="95" spans="1:7" x14ac:dyDescent="0.25">
      <c r="A95" t="s">
        <v>510</v>
      </c>
      <c r="B95" t="s">
        <v>511</v>
      </c>
      <c r="C95">
        <v>4.5999999999999996</v>
      </c>
      <c r="D95">
        <v>1204</v>
      </c>
      <c r="E95">
        <v>14</v>
      </c>
      <c r="F95">
        <v>2010</v>
      </c>
      <c r="G95" t="s">
        <v>8</v>
      </c>
    </row>
    <row r="96" spans="1:7" x14ac:dyDescent="0.25">
      <c r="A96" t="s">
        <v>515</v>
      </c>
      <c r="B96" t="s">
        <v>73</v>
      </c>
      <c r="C96">
        <v>4.5999999999999996</v>
      </c>
      <c r="D96">
        <v>2122</v>
      </c>
      <c r="E96">
        <v>0</v>
      </c>
      <c r="F96">
        <v>2010</v>
      </c>
      <c r="G96" t="s">
        <v>10</v>
      </c>
    </row>
    <row r="97" spans="1:7" x14ac:dyDescent="0.25">
      <c r="A97" t="s">
        <v>530</v>
      </c>
      <c r="B97" t="s">
        <v>78</v>
      </c>
      <c r="C97">
        <v>4.8</v>
      </c>
      <c r="D97">
        <v>3796</v>
      </c>
      <c r="E97">
        <v>12</v>
      </c>
      <c r="F97">
        <v>2010</v>
      </c>
      <c r="G97" t="s">
        <v>10</v>
      </c>
    </row>
    <row r="98" spans="1:7" x14ac:dyDescent="0.25">
      <c r="A98" t="s">
        <v>551</v>
      </c>
      <c r="B98" t="s">
        <v>552</v>
      </c>
      <c r="C98">
        <v>4.3</v>
      </c>
      <c r="D98">
        <v>3319</v>
      </c>
      <c r="E98">
        <v>11</v>
      </c>
      <c r="F98">
        <v>2010</v>
      </c>
      <c r="G98" t="s">
        <v>8</v>
      </c>
    </row>
    <row r="99" spans="1:7" x14ac:dyDescent="0.25">
      <c r="A99" t="s">
        <v>559</v>
      </c>
      <c r="B99" t="s">
        <v>560</v>
      </c>
      <c r="C99">
        <v>4.8</v>
      </c>
      <c r="D99">
        <v>2282</v>
      </c>
      <c r="E99">
        <v>21</v>
      </c>
      <c r="F99">
        <v>2010</v>
      </c>
      <c r="G99" t="s">
        <v>10</v>
      </c>
    </row>
    <row r="100" spans="1:7" x14ac:dyDescent="0.25">
      <c r="A100" t="s">
        <v>565</v>
      </c>
      <c r="B100" t="s">
        <v>566</v>
      </c>
      <c r="C100">
        <v>4.8</v>
      </c>
      <c r="D100">
        <v>29673</v>
      </c>
      <c r="E100">
        <v>16</v>
      </c>
      <c r="F100">
        <v>2010</v>
      </c>
      <c r="G100" t="s">
        <v>8</v>
      </c>
    </row>
    <row r="101" spans="1:7" x14ac:dyDescent="0.25">
      <c r="A101" t="s">
        <v>599</v>
      </c>
      <c r="B101" t="s">
        <v>600</v>
      </c>
      <c r="C101">
        <v>4.2</v>
      </c>
      <c r="D101">
        <v>1302</v>
      </c>
      <c r="E101">
        <v>11</v>
      </c>
      <c r="F101">
        <v>2010</v>
      </c>
      <c r="G101" t="s">
        <v>8</v>
      </c>
    </row>
    <row r="102" spans="1:7" x14ac:dyDescent="0.25">
      <c r="A102" t="s">
        <v>606</v>
      </c>
      <c r="B102" t="s">
        <v>9</v>
      </c>
      <c r="C102">
        <v>4.5999999999999996</v>
      </c>
      <c r="D102">
        <v>2052</v>
      </c>
      <c r="E102">
        <v>22</v>
      </c>
      <c r="F102">
        <v>2011</v>
      </c>
      <c r="G102" t="s">
        <v>10</v>
      </c>
    </row>
    <row r="103" spans="1:7" x14ac:dyDescent="0.25">
      <c r="A103" t="s">
        <v>17</v>
      </c>
      <c r="B103" t="s">
        <v>18</v>
      </c>
      <c r="C103">
        <v>4.4000000000000004</v>
      </c>
      <c r="D103">
        <v>12643</v>
      </c>
      <c r="E103">
        <v>11</v>
      </c>
      <c r="F103">
        <v>2011</v>
      </c>
      <c r="G103" t="s">
        <v>10</v>
      </c>
    </row>
    <row r="104" spans="1:7" x14ac:dyDescent="0.25">
      <c r="A104" t="s">
        <v>28</v>
      </c>
      <c r="B104" t="s">
        <v>29</v>
      </c>
      <c r="C104">
        <v>4.5999999999999996</v>
      </c>
      <c r="D104">
        <v>4149</v>
      </c>
      <c r="E104">
        <v>32</v>
      </c>
      <c r="F104">
        <v>2011</v>
      </c>
      <c r="G104" t="s">
        <v>8</v>
      </c>
    </row>
    <row r="105" spans="1:7" x14ac:dyDescent="0.25">
      <c r="A105" t="s">
        <v>77</v>
      </c>
      <c r="B105" t="s">
        <v>78</v>
      </c>
      <c r="C105">
        <v>4.8</v>
      </c>
      <c r="D105">
        <v>4505</v>
      </c>
      <c r="E105">
        <v>0</v>
      </c>
      <c r="F105">
        <v>2011</v>
      </c>
      <c r="G105" t="s">
        <v>10</v>
      </c>
    </row>
    <row r="106" spans="1:7" x14ac:dyDescent="0.25">
      <c r="A106" t="s">
        <v>85</v>
      </c>
      <c r="B106" t="s">
        <v>86</v>
      </c>
      <c r="C106">
        <v>4.7</v>
      </c>
      <c r="D106">
        <v>22614</v>
      </c>
      <c r="E106">
        <v>11</v>
      </c>
      <c r="F106">
        <v>2011</v>
      </c>
      <c r="G106" t="s">
        <v>10</v>
      </c>
    </row>
    <row r="107" spans="1:7" x14ac:dyDescent="0.25">
      <c r="A107" t="s">
        <v>89</v>
      </c>
      <c r="B107" t="s">
        <v>90</v>
      </c>
      <c r="C107">
        <v>4.7</v>
      </c>
      <c r="D107">
        <v>1542</v>
      </c>
      <c r="E107">
        <v>14</v>
      </c>
      <c r="F107">
        <v>2011</v>
      </c>
      <c r="G107" t="s">
        <v>8</v>
      </c>
    </row>
    <row r="108" spans="1:7" x14ac:dyDescent="0.25">
      <c r="A108" t="s">
        <v>96</v>
      </c>
      <c r="B108" t="s">
        <v>97</v>
      </c>
      <c r="C108">
        <v>4.5999999999999996</v>
      </c>
      <c r="D108">
        <v>4866</v>
      </c>
      <c r="E108">
        <v>11</v>
      </c>
      <c r="F108">
        <v>2011</v>
      </c>
      <c r="G108" t="s">
        <v>10</v>
      </c>
    </row>
    <row r="109" spans="1:7" x14ac:dyDescent="0.25">
      <c r="A109" t="s">
        <v>105</v>
      </c>
      <c r="B109" t="s">
        <v>103</v>
      </c>
      <c r="C109">
        <v>4.2</v>
      </c>
      <c r="D109">
        <v>2094</v>
      </c>
      <c r="E109">
        <v>4</v>
      </c>
      <c r="F109">
        <v>2011</v>
      </c>
      <c r="G109" t="s">
        <v>10</v>
      </c>
    </row>
    <row r="110" spans="1:7" x14ac:dyDescent="0.25">
      <c r="A110" t="s">
        <v>140</v>
      </c>
      <c r="B110" t="s">
        <v>141</v>
      </c>
      <c r="C110">
        <v>4.5</v>
      </c>
      <c r="D110">
        <v>6346</v>
      </c>
      <c r="E110">
        <v>9</v>
      </c>
      <c r="F110">
        <v>2011</v>
      </c>
      <c r="G110" t="s">
        <v>8</v>
      </c>
    </row>
    <row r="111" spans="1:7" x14ac:dyDescent="0.25">
      <c r="A111" t="s">
        <v>169</v>
      </c>
      <c r="B111" t="s">
        <v>170</v>
      </c>
      <c r="C111">
        <v>4.5999999999999996</v>
      </c>
      <c r="D111">
        <v>5594</v>
      </c>
      <c r="E111">
        <v>5</v>
      </c>
      <c r="F111">
        <v>2011</v>
      </c>
      <c r="G111" t="s">
        <v>10</v>
      </c>
    </row>
    <row r="112" spans="1:7" x14ac:dyDescent="0.25">
      <c r="A112" t="s">
        <v>183</v>
      </c>
      <c r="B112" t="s">
        <v>184</v>
      </c>
      <c r="C112">
        <v>4.8</v>
      </c>
      <c r="D112">
        <v>9568</v>
      </c>
      <c r="E112">
        <v>9</v>
      </c>
      <c r="F112">
        <v>2011</v>
      </c>
      <c r="G112" t="s">
        <v>10</v>
      </c>
    </row>
    <row r="113" spans="1:7" x14ac:dyDescent="0.25">
      <c r="A113" t="s">
        <v>191</v>
      </c>
      <c r="B113" t="s">
        <v>192</v>
      </c>
      <c r="C113">
        <v>4.5</v>
      </c>
      <c r="D113">
        <v>3457</v>
      </c>
      <c r="E113">
        <v>14</v>
      </c>
      <c r="F113">
        <v>2011</v>
      </c>
      <c r="G113" t="s">
        <v>8</v>
      </c>
    </row>
    <row r="114" spans="1:7" x14ac:dyDescent="0.25">
      <c r="A114" t="s">
        <v>217</v>
      </c>
      <c r="B114" t="s">
        <v>218</v>
      </c>
      <c r="C114">
        <v>4.7</v>
      </c>
      <c r="D114">
        <v>15779</v>
      </c>
      <c r="E114">
        <v>10</v>
      </c>
      <c r="F114">
        <v>2011</v>
      </c>
      <c r="G114" t="s">
        <v>8</v>
      </c>
    </row>
    <row r="115" spans="1:7" x14ac:dyDescent="0.25">
      <c r="A115" t="s">
        <v>240</v>
      </c>
      <c r="B115" t="s">
        <v>241</v>
      </c>
      <c r="C115">
        <v>4.4000000000000004</v>
      </c>
      <c r="D115">
        <v>4571</v>
      </c>
      <c r="E115">
        <v>21</v>
      </c>
      <c r="F115">
        <v>2011</v>
      </c>
      <c r="G115" t="s">
        <v>8</v>
      </c>
    </row>
    <row r="116" spans="1:7" x14ac:dyDescent="0.25">
      <c r="A116" t="s">
        <v>244</v>
      </c>
      <c r="B116" t="s">
        <v>245</v>
      </c>
      <c r="C116">
        <v>4.5999999999999996</v>
      </c>
      <c r="D116">
        <v>5299</v>
      </c>
      <c r="E116">
        <v>20</v>
      </c>
      <c r="F116">
        <v>2011</v>
      </c>
      <c r="G116" t="s">
        <v>10</v>
      </c>
    </row>
    <row r="117" spans="1:7" x14ac:dyDescent="0.25">
      <c r="A117" t="s">
        <v>250</v>
      </c>
      <c r="B117" t="s">
        <v>251</v>
      </c>
      <c r="C117">
        <v>4.9000000000000004</v>
      </c>
      <c r="D117">
        <v>19576</v>
      </c>
      <c r="E117">
        <v>8</v>
      </c>
      <c r="F117">
        <v>2011</v>
      </c>
      <c r="G117" t="s">
        <v>8</v>
      </c>
    </row>
    <row r="118" spans="1:7" x14ac:dyDescent="0.25">
      <c r="A118" t="s">
        <v>259</v>
      </c>
      <c r="B118" t="s">
        <v>257</v>
      </c>
      <c r="C118">
        <v>4.7</v>
      </c>
      <c r="D118">
        <v>9342</v>
      </c>
      <c r="E118">
        <v>10</v>
      </c>
      <c r="F118">
        <v>2011</v>
      </c>
      <c r="G118" t="s">
        <v>8</v>
      </c>
    </row>
    <row r="119" spans="1:7" x14ac:dyDescent="0.25">
      <c r="A119" t="s">
        <v>288</v>
      </c>
      <c r="B119" t="s">
        <v>289</v>
      </c>
      <c r="C119">
        <v>4.2</v>
      </c>
      <c r="D119">
        <v>1649</v>
      </c>
      <c r="E119">
        <v>13</v>
      </c>
      <c r="F119">
        <v>2011</v>
      </c>
      <c r="G119" t="s">
        <v>8</v>
      </c>
    </row>
    <row r="120" spans="1:7" x14ac:dyDescent="0.25">
      <c r="A120" t="s">
        <v>304</v>
      </c>
      <c r="B120" t="s">
        <v>86</v>
      </c>
      <c r="C120">
        <v>4.5</v>
      </c>
      <c r="D120">
        <v>26741</v>
      </c>
      <c r="E120">
        <v>8</v>
      </c>
      <c r="F120">
        <v>2011</v>
      </c>
      <c r="G120" t="s">
        <v>10</v>
      </c>
    </row>
    <row r="121" spans="1:7" x14ac:dyDescent="0.25">
      <c r="A121" t="s">
        <v>321</v>
      </c>
      <c r="B121" t="s">
        <v>322</v>
      </c>
      <c r="C121">
        <v>4.5999999999999996</v>
      </c>
      <c r="D121">
        <v>3163</v>
      </c>
      <c r="E121">
        <v>13</v>
      </c>
      <c r="F121">
        <v>2011</v>
      </c>
      <c r="G121" t="s">
        <v>8</v>
      </c>
    </row>
    <row r="122" spans="1:7" x14ac:dyDescent="0.25">
      <c r="A122" t="s">
        <v>337</v>
      </c>
      <c r="B122" t="s">
        <v>338</v>
      </c>
      <c r="C122">
        <v>4.5</v>
      </c>
      <c r="D122">
        <v>8580</v>
      </c>
      <c r="E122">
        <v>46</v>
      </c>
      <c r="F122">
        <v>2011</v>
      </c>
      <c r="G122" t="s">
        <v>8</v>
      </c>
    </row>
    <row r="123" spans="1:7" x14ac:dyDescent="0.25">
      <c r="A123" t="s">
        <v>343</v>
      </c>
      <c r="B123" t="s">
        <v>344</v>
      </c>
      <c r="C123">
        <v>4.7</v>
      </c>
      <c r="D123">
        <v>1985</v>
      </c>
      <c r="E123">
        <v>9</v>
      </c>
      <c r="F123">
        <v>2011</v>
      </c>
      <c r="G123" t="s">
        <v>8</v>
      </c>
    </row>
    <row r="124" spans="1:7" x14ac:dyDescent="0.25">
      <c r="A124" t="s">
        <v>365</v>
      </c>
      <c r="B124" t="s">
        <v>273</v>
      </c>
      <c r="C124">
        <v>4.5999999999999996</v>
      </c>
      <c r="D124">
        <v>7827</v>
      </c>
      <c r="E124">
        <v>20</v>
      </c>
      <c r="F124">
        <v>2011</v>
      </c>
      <c r="G124" t="s">
        <v>8</v>
      </c>
    </row>
    <row r="125" spans="1:7" x14ac:dyDescent="0.25">
      <c r="A125" t="s">
        <v>368</v>
      </c>
      <c r="B125" t="s">
        <v>369</v>
      </c>
      <c r="C125">
        <v>4</v>
      </c>
      <c r="D125">
        <v>5069</v>
      </c>
      <c r="E125">
        <v>17</v>
      </c>
      <c r="F125">
        <v>2011</v>
      </c>
      <c r="G125" t="s">
        <v>8</v>
      </c>
    </row>
    <row r="126" spans="1:7" x14ac:dyDescent="0.25">
      <c r="A126" t="s">
        <v>376</v>
      </c>
      <c r="B126" t="s">
        <v>377</v>
      </c>
      <c r="C126">
        <v>4.4000000000000004</v>
      </c>
      <c r="D126">
        <v>637</v>
      </c>
      <c r="E126">
        <v>20</v>
      </c>
      <c r="F126">
        <v>2011</v>
      </c>
      <c r="G126" t="s">
        <v>8</v>
      </c>
    </row>
    <row r="127" spans="1:7" x14ac:dyDescent="0.25">
      <c r="A127" t="s">
        <v>378</v>
      </c>
      <c r="B127" t="s">
        <v>379</v>
      </c>
      <c r="C127">
        <v>4.3</v>
      </c>
      <c r="D127">
        <v>2314</v>
      </c>
      <c r="E127">
        <v>22</v>
      </c>
      <c r="F127">
        <v>2011</v>
      </c>
      <c r="G127" t="s">
        <v>8</v>
      </c>
    </row>
    <row r="128" spans="1:7" x14ac:dyDescent="0.25">
      <c r="A128" t="s">
        <v>380</v>
      </c>
      <c r="B128" t="s">
        <v>381</v>
      </c>
      <c r="C128">
        <v>4.3</v>
      </c>
      <c r="D128">
        <v>4587</v>
      </c>
      <c r="E128">
        <v>21</v>
      </c>
      <c r="F128">
        <v>2011</v>
      </c>
      <c r="G128" t="s">
        <v>8</v>
      </c>
    </row>
    <row r="129" spans="1:7" x14ac:dyDescent="0.25">
      <c r="A129" t="s">
        <v>382</v>
      </c>
      <c r="B129" t="s">
        <v>383</v>
      </c>
      <c r="C129">
        <v>4.7</v>
      </c>
      <c r="D129">
        <v>3477</v>
      </c>
      <c r="E129">
        <v>28</v>
      </c>
      <c r="F129">
        <v>2011</v>
      </c>
      <c r="G129" t="s">
        <v>8</v>
      </c>
    </row>
    <row r="130" spans="1:7" x14ac:dyDescent="0.25">
      <c r="A130" t="s">
        <v>387</v>
      </c>
      <c r="B130" t="s">
        <v>388</v>
      </c>
      <c r="C130">
        <v>4.5999999999999996</v>
      </c>
      <c r="D130">
        <v>9325</v>
      </c>
      <c r="E130">
        <v>24</v>
      </c>
      <c r="F130">
        <v>2011</v>
      </c>
      <c r="G130" t="s">
        <v>8</v>
      </c>
    </row>
    <row r="131" spans="1:7" x14ac:dyDescent="0.25">
      <c r="A131" t="s">
        <v>393</v>
      </c>
      <c r="B131" t="s">
        <v>394</v>
      </c>
      <c r="C131">
        <v>4.7</v>
      </c>
      <c r="D131">
        <v>11813</v>
      </c>
      <c r="E131">
        <v>10</v>
      </c>
      <c r="F131">
        <v>2011</v>
      </c>
      <c r="G131" t="s">
        <v>10</v>
      </c>
    </row>
    <row r="132" spans="1:7" x14ac:dyDescent="0.25">
      <c r="A132" t="s">
        <v>411</v>
      </c>
      <c r="B132" t="s">
        <v>412</v>
      </c>
      <c r="C132">
        <v>4.7</v>
      </c>
      <c r="D132">
        <v>4633</v>
      </c>
      <c r="E132">
        <v>21</v>
      </c>
      <c r="F132">
        <v>2011</v>
      </c>
      <c r="G132" t="s">
        <v>8</v>
      </c>
    </row>
    <row r="133" spans="1:7" x14ac:dyDescent="0.25">
      <c r="A133" t="s">
        <v>422</v>
      </c>
      <c r="B133" t="s">
        <v>423</v>
      </c>
      <c r="C133">
        <v>4.0999999999999996</v>
      </c>
      <c r="D133">
        <v>2023</v>
      </c>
      <c r="E133">
        <v>15</v>
      </c>
      <c r="F133">
        <v>2011</v>
      </c>
      <c r="G133" t="s">
        <v>8</v>
      </c>
    </row>
    <row r="134" spans="1:7" x14ac:dyDescent="0.25">
      <c r="A134" t="s">
        <v>427</v>
      </c>
      <c r="B134" t="s">
        <v>428</v>
      </c>
      <c r="C134">
        <v>4.5999999999999996</v>
      </c>
      <c r="D134">
        <v>3207</v>
      </c>
      <c r="E134">
        <v>6</v>
      </c>
      <c r="F134">
        <v>2011</v>
      </c>
      <c r="G134" t="s">
        <v>8</v>
      </c>
    </row>
    <row r="135" spans="1:7" x14ac:dyDescent="0.25">
      <c r="A135" t="s">
        <v>435</v>
      </c>
      <c r="B135" t="s">
        <v>436</v>
      </c>
      <c r="C135">
        <v>4.7</v>
      </c>
      <c r="D135">
        <v>7747</v>
      </c>
      <c r="E135">
        <v>14</v>
      </c>
      <c r="F135">
        <v>2011</v>
      </c>
      <c r="G135" t="s">
        <v>10</v>
      </c>
    </row>
    <row r="136" spans="1:7" x14ac:dyDescent="0.25">
      <c r="A136" t="s">
        <v>455</v>
      </c>
      <c r="B136" t="s">
        <v>456</v>
      </c>
      <c r="C136">
        <v>4.8</v>
      </c>
      <c r="D136">
        <v>13871</v>
      </c>
      <c r="E136">
        <v>8</v>
      </c>
      <c r="F136">
        <v>2011</v>
      </c>
      <c r="G136" t="s">
        <v>10</v>
      </c>
    </row>
    <row r="137" spans="1:7" x14ac:dyDescent="0.25">
      <c r="A137" t="s">
        <v>455</v>
      </c>
      <c r="B137" t="s">
        <v>456</v>
      </c>
      <c r="C137">
        <v>4.8</v>
      </c>
      <c r="D137">
        <v>13871</v>
      </c>
      <c r="E137">
        <v>7</v>
      </c>
      <c r="F137">
        <v>2011</v>
      </c>
      <c r="G137" t="s">
        <v>10</v>
      </c>
    </row>
    <row r="138" spans="1:7" x14ac:dyDescent="0.25">
      <c r="A138" t="s">
        <v>459</v>
      </c>
      <c r="B138" t="s">
        <v>86</v>
      </c>
      <c r="C138">
        <v>4.7</v>
      </c>
      <c r="D138">
        <v>32122</v>
      </c>
      <c r="E138">
        <v>8</v>
      </c>
      <c r="F138">
        <v>2011</v>
      </c>
      <c r="G138" t="s">
        <v>10</v>
      </c>
    </row>
    <row r="139" spans="1:7" x14ac:dyDescent="0.25">
      <c r="A139" t="s">
        <v>460</v>
      </c>
      <c r="B139" t="s">
        <v>86</v>
      </c>
      <c r="C139">
        <v>4.8</v>
      </c>
      <c r="D139">
        <v>16949</v>
      </c>
      <c r="E139">
        <v>30</v>
      </c>
      <c r="F139">
        <v>2011</v>
      </c>
      <c r="G139" t="s">
        <v>10</v>
      </c>
    </row>
    <row r="140" spans="1:7" x14ac:dyDescent="0.25">
      <c r="A140" t="s">
        <v>461</v>
      </c>
      <c r="B140" t="s">
        <v>462</v>
      </c>
      <c r="C140">
        <v>4.7</v>
      </c>
      <c r="D140">
        <v>9289</v>
      </c>
      <c r="E140">
        <v>9</v>
      </c>
      <c r="F140">
        <v>2011</v>
      </c>
      <c r="G140" t="s">
        <v>8</v>
      </c>
    </row>
    <row r="141" spans="1:7" x14ac:dyDescent="0.25">
      <c r="A141" t="s">
        <v>470</v>
      </c>
      <c r="B141" t="s">
        <v>471</v>
      </c>
      <c r="C141">
        <v>4.4000000000000004</v>
      </c>
      <c r="D141">
        <v>4247</v>
      </c>
      <c r="E141">
        <v>13</v>
      </c>
      <c r="F141">
        <v>2011</v>
      </c>
      <c r="G141" t="s">
        <v>8</v>
      </c>
    </row>
    <row r="142" spans="1:7" x14ac:dyDescent="0.25">
      <c r="A142" t="s">
        <v>474</v>
      </c>
      <c r="B142" t="s">
        <v>375</v>
      </c>
      <c r="C142">
        <v>4.4000000000000004</v>
      </c>
      <c r="D142">
        <v>6222</v>
      </c>
      <c r="E142">
        <v>18</v>
      </c>
      <c r="F142">
        <v>2011</v>
      </c>
      <c r="G142" t="s">
        <v>10</v>
      </c>
    </row>
    <row r="143" spans="1:7" x14ac:dyDescent="0.25">
      <c r="A143" t="s">
        <v>491</v>
      </c>
      <c r="B143" t="s">
        <v>492</v>
      </c>
      <c r="C143">
        <v>4.4000000000000004</v>
      </c>
      <c r="D143">
        <v>1201</v>
      </c>
      <c r="E143">
        <v>40</v>
      </c>
      <c r="F143">
        <v>2011</v>
      </c>
      <c r="G143" t="s">
        <v>8</v>
      </c>
    </row>
    <row r="144" spans="1:7" x14ac:dyDescent="0.25">
      <c r="A144" t="s">
        <v>494</v>
      </c>
      <c r="B144" t="s">
        <v>495</v>
      </c>
      <c r="C144">
        <v>4.3</v>
      </c>
      <c r="D144">
        <v>3759</v>
      </c>
      <c r="E144">
        <v>16</v>
      </c>
      <c r="F144">
        <v>2011</v>
      </c>
      <c r="G144" t="s">
        <v>10</v>
      </c>
    </row>
    <row r="145" spans="1:7" x14ac:dyDescent="0.25">
      <c r="A145" t="s">
        <v>518</v>
      </c>
      <c r="B145" t="s">
        <v>331</v>
      </c>
      <c r="C145">
        <v>4.8</v>
      </c>
      <c r="D145">
        <v>4290</v>
      </c>
      <c r="E145">
        <v>10</v>
      </c>
      <c r="F145">
        <v>2011</v>
      </c>
      <c r="G145" t="s">
        <v>10</v>
      </c>
    </row>
    <row r="146" spans="1:7" x14ac:dyDescent="0.25">
      <c r="A146" t="s">
        <v>523</v>
      </c>
      <c r="B146" t="s">
        <v>331</v>
      </c>
      <c r="C146">
        <v>4.7</v>
      </c>
      <c r="D146">
        <v>1463</v>
      </c>
      <c r="E146">
        <v>10</v>
      </c>
      <c r="F146">
        <v>2011</v>
      </c>
      <c r="G146" t="s">
        <v>10</v>
      </c>
    </row>
    <row r="147" spans="1:7" x14ac:dyDescent="0.25">
      <c r="A147" t="s">
        <v>545</v>
      </c>
      <c r="B147" t="s">
        <v>546</v>
      </c>
      <c r="C147">
        <v>4.5999999999999996</v>
      </c>
      <c r="D147">
        <v>11034</v>
      </c>
      <c r="E147">
        <v>19</v>
      </c>
      <c r="F147">
        <v>2011</v>
      </c>
      <c r="G147" t="s">
        <v>8</v>
      </c>
    </row>
    <row r="148" spans="1:7" x14ac:dyDescent="0.25">
      <c r="A148" t="s">
        <v>555</v>
      </c>
      <c r="B148" t="s">
        <v>556</v>
      </c>
      <c r="C148">
        <v>4.3</v>
      </c>
      <c r="D148">
        <v>5977</v>
      </c>
      <c r="E148">
        <v>12</v>
      </c>
      <c r="F148">
        <v>2011</v>
      </c>
      <c r="G148" t="s">
        <v>8</v>
      </c>
    </row>
    <row r="149" spans="1:7" x14ac:dyDescent="0.25">
      <c r="A149" t="s">
        <v>565</v>
      </c>
      <c r="B149" t="s">
        <v>566</v>
      </c>
      <c r="C149">
        <v>4.8</v>
      </c>
      <c r="D149">
        <v>29673</v>
      </c>
      <c r="E149">
        <v>16</v>
      </c>
      <c r="F149">
        <v>2011</v>
      </c>
      <c r="G149" t="s">
        <v>8</v>
      </c>
    </row>
    <row r="150" spans="1:7" x14ac:dyDescent="0.25">
      <c r="A150" t="s">
        <v>574</v>
      </c>
      <c r="B150" t="s">
        <v>575</v>
      </c>
      <c r="C150">
        <v>4.5</v>
      </c>
      <c r="D150">
        <v>8958</v>
      </c>
      <c r="E150">
        <v>12</v>
      </c>
      <c r="F150">
        <v>2011</v>
      </c>
      <c r="G150" t="s">
        <v>10</v>
      </c>
    </row>
    <row r="151" spans="1:7" x14ac:dyDescent="0.25">
      <c r="A151" t="s">
        <v>583</v>
      </c>
      <c r="B151" t="s">
        <v>584</v>
      </c>
      <c r="C151">
        <v>4.4000000000000004</v>
      </c>
      <c r="D151">
        <v>3341</v>
      </c>
      <c r="E151">
        <v>9</v>
      </c>
      <c r="F151">
        <v>2011</v>
      </c>
      <c r="G151" t="s">
        <v>8</v>
      </c>
    </row>
    <row r="152" spans="1:7" x14ac:dyDescent="0.25">
      <c r="A152" t="s">
        <v>61</v>
      </c>
      <c r="B152" t="s">
        <v>62</v>
      </c>
      <c r="C152">
        <v>4.8</v>
      </c>
      <c r="D152">
        <v>1296</v>
      </c>
      <c r="E152">
        <v>24</v>
      </c>
      <c r="F152">
        <v>2012</v>
      </c>
      <c r="G152" t="s">
        <v>8</v>
      </c>
    </row>
    <row r="153" spans="1:7" x14ac:dyDescent="0.25">
      <c r="A153" t="s">
        <v>85</v>
      </c>
      <c r="B153" t="s">
        <v>86</v>
      </c>
      <c r="C153">
        <v>4.7</v>
      </c>
      <c r="D153">
        <v>22614</v>
      </c>
      <c r="E153">
        <v>11</v>
      </c>
      <c r="F153">
        <v>2012</v>
      </c>
      <c r="G153" t="s">
        <v>10</v>
      </c>
    </row>
    <row r="154" spans="1:7" x14ac:dyDescent="0.25">
      <c r="A154" t="s">
        <v>140</v>
      </c>
      <c r="B154" t="s">
        <v>141</v>
      </c>
      <c r="C154">
        <v>4.5</v>
      </c>
      <c r="D154">
        <v>6346</v>
      </c>
      <c r="E154">
        <v>9</v>
      </c>
      <c r="F154">
        <v>2012</v>
      </c>
      <c r="G154" t="s">
        <v>8</v>
      </c>
    </row>
    <row r="155" spans="1:7" x14ac:dyDescent="0.25">
      <c r="A155" t="s">
        <v>154</v>
      </c>
      <c r="B155" t="s">
        <v>155</v>
      </c>
      <c r="C155">
        <v>4.4000000000000004</v>
      </c>
      <c r="D155">
        <v>23631</v>
      </c>
      <c r="E155">
        <v>7</v>
      </c>
      <c r="F155">
        <v>2012</v>
      </c>
      <c r="G155" t="s">
        <v>10</v>
      </c>
    </row>
    <row r="156" spans="1:7" x14ac:dyDescent="0.25">
      <c r="A156" t="s">
        <v>156</v>
      </c>
      <c r="B156" t="s">
        <v>155</v>
      </c>
      <c r="C156">
        <v>4.5</v>
      </c>
      <c r="D156">
        <v>20262</v>
      </c>
      <c r="E156">
        <v>11</v>
      </c>
      <c r="F156">
        <v>2012</v>
      </c>
      <c r="G156" t="s">
        <v>10</v>
      </c>
    </row>
    <row r="157" spans="1:7" x14ac:dyDescent="0.25">
      <c r="A157" t="s">
        <v>157</v>
      </c>
      <c r="B157" t="s">
        <v>155</v>
      </c>
      <c r="C157">
        <v>3.8</v>
      </c>
      <c r="D157">
        <v>47265</v>
      </c>
      <c r="E157">
        <v>14</v>
      </c>
      <c r="F157">
        <v>2012</v>
      </c>
      <c r="G157" t="s">
        <v>10</v>
      </c>
    </row>
    <row r="158" spans="1:7" x14ac:dyDescent="0.25">
      <c r="A158" t="s">
        <v>158</v>
      </c>
      <c r="B158" t="s">
        <v>155</v>
      </c>
      <c r="C158">
        <v>4.5</v>
      </c>
      <c r="D158">
        <v>13964</v>
      </c>
      <c r="E158">
        <v>32</v>
      </c>
      <c r="F158">
        <v>2012</v>
      </c>
      <c r="G158" t="s">
        <v>10</v>
      </c>
    </row>
    <row r="159" spans="1:7" x14ac:dyDescent="0.25">
      <c r="A159" t="s">
        <v>169</v>
      </c>
      <c r="B159" t="s">
        <v>170</v>
      </c>
      <c r="C159">
        <v>4.5999999999999996</v>
      </c>
      <c r="D159">
        <v>5594</v>
      </c>
      <c r="E159">
        <v>5</v>
      </c>
      <c r="F159">
        <v>2012</v>
      </c>
      <c r="G159" t="s">
        <v>10</v>
      </c>
    </row>
    <row r="160" spans="1:7" x14ac:dyDescent="0.25">
      <c r="A160" t="s">
        <v>187</v>
      </c>
      <c r="B160" t="s">
        <v>188</v>
      </c>
      <c r="C160">
        <v>4</v>
      </c>
      <c r="D160">
        <v>57271</v>
      </c>
      <c r="E160">
        <v>10</v>
      </c>
      <c r="F160">
        <v>2012</v>
      </c>
      <c r="G160" t="s">
        <v>10</v>
      </c>
    </row>
    <row r="161" spans="1:7" x14ac:dyDescent="0.25">
      <c r="A161" t="s">
        <v>191</v>
      </c>
      <c r="B161" t="s">
        <v>192</v>
      </c>
      <c r="C161">
        <v>4.5</v>
      </c>
      <c r="D161">
        <v>3457</v>
      </c>
      <c r="E161">
        <v>14</v>
      </c>
      <c r="F161">
        <v>2012</v>
      </c>
      <c r="G161" t="s">
        <v>8</v>
      </c>
    </row>
    <row r="162" spans="1:7" x14ac:dyDescent="0.25">
      <c r="A162" t="s">
        <v>195</v>
      </c>
      <c r="B162" t="s">
        <v>196</v>
      </c>
      <c r="C162">
        <v>4.9000000000000004</v>
      </c>
      <c r="D162">
        <v>7038</v>
      </c>
      <c r="E162">
        <v>7</v>
      </c>
      <c r="F162">
        <v>2012</v>
      </c>
      <c r="G162" t="s">
        <v>10</v>
      </c>
    </row>
    <row r="163" spans="1:7" x14ac:dyDescent="0.25">
      <c r="A163" t="s">
        <v>217</v>
      </c>
      <c r="B163" t="s">
        <v>218</v>
      </c>
      <c r="C163">
        <v>4.7</v>
      </c>
      <c r="D163">
        <v>15779</v>
      </c>
      <c r="E163">
        <v>10</v>
      </c>
      <c r="F163">
        <v>2012</v>
      </c>
      <c r="G163" t="s">
        <v>8</v>
      </c>
    </row>
    <row r="164" spans="1:7" x14ac:dyDescent="0.25">
      <c r="A164" t="s">
        <v>250</v>
      </c>
      <c r="B164" t="s">
        <v>251</v>
      </c>
      <c r="C164">
        <v>4.9000000000000004</v>
      </c>
      <c r="D164">
        <v>19576</v>
      </c>
      <c r="E164">
        <v>8</v>
      </c>
      <c r="F164">
        <v>2012</v>
      </c>
      <c r="G164" t="s">
        <v>8</v>
      </c>
    </row>
    <row r="165" spans="1:7" x14ac:dyDescent="0.25">
      <c r="A165" t="s">
        <v>258</v>
      </c>
      <c r="B165" t="s">
        <v>257</v>
      </c>
      <c r="C165">
        <v>4.5999999999999996</v>
      </c>
      <c r="D165">
        <v>8634</v>
      </c>
      <c r="E165">
        <v>25</v>
      </c>
      <c r="F165">
        <v>2012</v>
      </c>
      <c r="G165" t="s">
        <v>8</v>
      </c>
    </row>
    <row r="166" spans="1:7" x14ac:dyDescent="0.25">
      <c r="A166" t="s">
        <v>259</v>
      </c>
      <c r="B166" t="s">
        <v>257</v>
      </c>
      <c r="C166">
        <v>4.7</v>
      </c>
      <c r="D166">
        <v>9342</v>
      </c>
      <c r="E166">
        <v>10</v>
      </c>
      <c r="F166">
        <v>2012</v>
      </c>
      <c r="G166" t="s">
        <v>8</v>
      </c>
    </row>
    <row r="167" spans="1:7" x14ac:dyDescent="0.25">
      <c r="A167" t="s">
        <v>304</v>
      </c>
      <c r="B167" t="s">
        <v>86</v>
      </c>
      <c r="C167">
        <v>4.5</v>
      </c>
      <c r="D167">
        <v>26741</v>
      </c>
      <c r="E167">
        <v>8</v>
      </c>
      <c r="F167">
        <v>2012</v>
      </c>
      <c r="G167" t="s">
        <v>10</v>
      </c>
    </row>
    <row r="168" spans="1:7" x14ac:dyDescent="0.25">
      <c r="A168" t="s">
        <v>312</v>
      </c>
      <c r="B168" t="s">
        <v>313</v>
      </c>
      <c r="C168">
        <v>4.5999999999999996</v>
      </c>
      <c r="D168">
        <v>8093</v>
      </c>
      <c r="E168">
        <v>14</v>
      </c>
      <c r="F168">
        <v>2012</v>
      </c>
      <c r="G168" t="s">
        <v>8</v>
      </c>
    </row>
    <row r="169" spans="1:7" x14ac:dyDescent="0.25">
      <c r="A169" t="s">
        <v>316</v>
      </c>
      <c r="B169" t="s">
        <v>317</v>
      </c>
      <c r="C169">
        <v>4.9000000000000004</v>
      </c>
      <c r="D169">
        <v>21834</v>
      </c>
      <c r="E169">
        <v>8</v>
      </c>
      <c r="F169">
        <v>2012</v>
      </c>
      <c r="G169" t="s">
        <v>10</v>
      </c>
    </row>
    <row r="170" spans="1:7" x14ac:dyDescent="0.25">
      <c r="A170" t="s">
        <v>321</v>
      </c>
      <c r="B170" t="s">
        <v>322</v>
      </c>
      <c r="C170">
        <v>4.5999999999999996</v>
      </c>
      <c r="D170">
        <v>3163</v>
      </c>
      <c r="E170">
        <v>13</v>
      </c>
      <c r="F170">
        <v>2012</v>
      </c>
      <c r="G170" t="s">
        <v>8</v>
      </c>
    </row>
    <row r="171" spans="1:7" x14ac:dyDescent="0.25">
      <c r="A171" t="s">
        <v>335</v>
      </c>
      <c r="B171" t="s">
        <v>336</v>
      </c>
      <c r="C171">
        <v>4.3</v>
      </c>
      <c r="D171">
        <v>13616</v>
      </c>
      <c r="E171">
        <v>10</v>
      </c>
      <c r="F171">
        <v>2012</v>
      </c>
      <c r="G171" t="s">
        <v>8</v>
      </c>
    </row>
    <row r="172" spans="1:7" x14ac:dyDescent="0.25">
      <c r="A172" t="s">
        <v>337</v>
      </c>
      <c r="B172" t="s">
        <v>338</v>
      </c>
      <c r="C172">
        <v>4.5</v>
      </c>
      <c r="D172">
        <v>8580</v>
      </c>
      <c r="E172">
        <v>46</v>
      </c>
      <c r="F172">
        <v>2012</v>
      </c>
      <c r="G172" t="s">
        <v>8</v>
      </c>
    </row>
    <row r="173" spans="1:7" x14ac:dyDescent="0.25">
      <c r="A173" t="s">
        <v>341</v>
      </c>
      <c r="B173" t="s">
        <v>342</v>
      </c>
      <c r="C173">
        <v>4.5999999999999996</v>
      </c>
      <c r="D173">
        <v>10009</v>
      </c>
      <c r="E173">
        <v>20</v>
      </c>
      <c r="F173">
        <v>2012</v>
      </c>
      <c r="G173" t="s">
        <v>8</v>
      </c>
    </row>
    <row r="174" spans="1:7" x14ac:dyDescent="0.25">
      <c r="A174" t="s">
        <v>365</v>
      </c>
      <c r="B174" t="s">
        <v>273</v>
      </c>
      <c r="C174">
        <v>4.5999999999999996</v>
      </c>
      <c r="D174">
        <v>7827</v>
      </c>
      <c r="E174">
        <v>20</v>
      </c>
      <c r="F174">
        <v>2012</v>
      </c>
      <c r="G174" t="s">
        <v>8</v>
      </c>
    </row>
    <row r="175" spans="1:7" x14ac:dyDescent="0.25">
      <c r="A175" t="s">
        <v>368</v>
      </c>
      <c r="B175" t="s">
        <v>369</v>
      </c>
      <c r="C175">
        <v>4</v>
      </c>
      <c r="D175">
        <v>5069</v>
      </c>
      <c r="E175">
        <v>17</v>
      </c>
      <c r="F175">
        <v>2012</v>
      </c>
      <c r="G175" t="s">
        <v>8</v>
      </c>
    </row>
    <row r="176" spans="1:7" x14ac:dyDescent="0.25">
      <c r="A176" t="s">
        <v>382</v>
      </c>
      <c r="B176" t="s">
        <v>383</v>
      </c>
      <c r="C176">
        <v>4.7</v>
      </c>
      <c r="D176">
        <v>3477</v>
      </c>
      <c r="E176">
        <v>28</v>
      </c>
      <c r="F176">
        <v>2012</v>
      </c>
      <c r="G176" t="s">
        <v>8</v>
      </c>
    </row>
    <row r="177" spans="1:7" x14ac:dyDescent="0.25">
      <c r="A177" t="s">
        <v>387</v>
      </c>
      <c r="B177" t="s">
        <v>388</v>
      </c>
      <c r="C177">
        <v>4.5999999999999996</v>
      </c>
      <c r="D177">
        <v>9325</v>
      </c>
      <c r="E177">
        <v>24</v>
      </c>
      <c r="F177">
        <v>2012</v>
      </c>
      <c r="G177" t="s">
        <v>8</v>
      </c>
    </row>
    <row r="178" spans="1:7" x14ac:dyDescent="0.25">
      <c r="A178" t="s">
        <v>391</v>
      </c>
      <c r="B178" t="s">
        <v>392</v>
      </c>
      <c r="C178">
        <v>4.5999999999999996</v>
      </c>
      <c r="D178">
        <v>2580</v>
      </c>
      <c r="E178">
        <v>9</v>
      </c>
      <c r="F178">
        <v>2012</v>
      </c>
      <c r="G178" t="s">
        <v>8</v>
      </c>
    </row>
    <row r="179" spans="1:7" x14ac:dyDescent="0.25">
      <c r="A179" t="s">
        <v>398</v>
      </c>
      <c r="B179" t="s">
        <v>399</v>
      </c>
      <c r="C179">
        <v>4.2</v>
      </c>
      <c r="D179">
        <v>1789</v>
      </c>
      <c r="E179">
        <v>14</v>
      </c>
      <c r="F179">
        <v>2012</v>
      </c>
      <c r="G179" t="s">
        <v>8</v>
      </c>
    </row>
    <row r="180" spans="1:7" x14ac:dyDescent="0.25">
      <c r="A180" t="s">
        <v>410</v>
      </c>
      <c r="B180" t="s">
        <v>151</v>
      </c>
      <c r="C180">
        <v>3.3</v>
      </c>
      <c r="D180">
        <v>9372</v>
      </c>
      <c r="E180">
        <v>12</v>
      </c>
      <c r="F180">
        <v>2012</v>
      </c>
      <c r="G180" t="s">
        <v>10</v>
      </c>
    </row>
    <row r="181" spans="1:7" x14ac:dyDescent="0.25">
      <c r="A181" t="s">
        <v>426</v>
      </c>
      <c r="B181" t="s">
        <v>287</v>
      </c>
      <c r="C181">
        <v>4.7</v>
      </c>
      <c r="D181">
        <v>50482</v>
      </c>
      <c r="E181">
        <v>13</v>
      </c>
      <c r="F181">
        <v>2012</v>
      </c>
      <c r="G181" t="s">
        <v>10</v>
      </c>
    </row>
    <row r="182" spans="1:7" x14ac:dyDescent="0.25">
      <c r="A182" t="s">
        <v>427</v>
      </c>
      <c r="B182" t="s">
        <v>428</v>
      </c>
      <c r="C182">
        <v>4.5999999999999996</v>
      </c>
      <c r="D182">
        <v>3207</v>
      </c>
      <c r="E182">
        <v>6</v>
      </c>
      <c r="F182">
        <v>2012</v>
      </c>
      <c r="G182" t="s">
        <v>8</v>
      </c>
    </row>
    <row r="183" spans="1:7" x14ac:dyDescent="0.25">
      <c r="A183" t="s">
        <v>444</v>
      </c>
      <c r="B183" t="s">
        <v>445</v>
      </c>
      <c r="C183">
        <v>4.4000000000000004</v>
      </c>
      <c r="D183">
        <v>11616</v>
      </c>
      <c r="E183">
        <v>7</v>
      </c>
      <c r="F183">
        <v>2012</v>
      </c>
      <c r="G183" t="s">
        <v>10</v>
      </c>
    </row>
    <row r="184" spans="1:7" x14ac:dyDescent="0.25">
      <c r="A184" t="s">
        <v>451</v>
      </c>
      <c r="B184" t="s">
        <v>452</v>
      </c>
      <c r="C184">
        <v>4.5999999999999996</v>
      </c>
      <c r="D184">
        <v>11098</v>
      </c>
      <c r="E184">
        <v>13</v>
      </c>
      <c r="F184">
        <v>2012</v>
      </c>
      <c r="G184" t="s">
        <v>10</v>
      </c>
    </row>
    <row r="185" spans="1:7" x14ac:dyDescent="0.25">
      <c r="A185" t="s">
        <v>459</v>
      </c>
      <c r="B185" t="s">
        <v>86</v>
      </c>
      <c r="C185">
        <v>4.7</v>
      </c>
      <c r="D185">
        <v>32122</v>
      </c>
      <c r="E185">
        <v>8</v>
      </c>
      <c r="F185">
        <v>2012</v>
      </c>
      <c r="G185" t="s">
        <v>10</v>
      </c>
    </row>
    <row r="186" spans="1:7" x14ac:dyDescent="0.25">
      <c r="A186" t="s">
        <v>460</v>
      </c>
      <c r="B186" t="s">
        <v>86</v>
      </c>
      <c r="C186">
        <v>4.8</v>
      </c>
      <c r="D186">
        <v>16949</v>
      </c>
      <c r="E186">
        <v>30</v>
      </c>
      <c r="F186">
        <v>2012</v>
      </c>
      <c r="G186" t="s">
        <v>10</v>
      </c>
    </row>
    <row r="187" spans="1:7" x14ac:dyDescent="0.25">
      <c r="A187" t="s">
        <v>461</v>
      </c>
      <c r="B187" t="s">
        <v>462</v>
      </c>
      <c r="C187">
        <v>4.7</v>
      </c>
      <c r="D187">
        <v>9289</v>
      </c>
      <c r="E187">
        <v>9</v>
      </c>
      <c r="F187">
        <v>2012</v>
      </c>
      <c r="G187" t="s">
        <v>8</v>
      </c>
    </row>
    <row r="188" spans="1:7" x14ac:dyDescent="0.25">
      <c r="A188" t="s">
        <v>470</v>
      </c>
      <c r="B188" t="s">
        <v>471</v>
      </c>
      <c r="C188">
        <v>4.4000000000000004</v>
      </c>
      <c r="D188">
        <v>4247</v>
      </c>
      <c r="E188">
        <v>13</v>
      </c>
      <c r="F188">
        <v>2012</v>
      </c>
      <c r="G188" t="s">
        <v>8</v>
      </c>
    </row>
    <row r="189" spans="1:7" x14ac:dyDescent="0.25">
      <c r="A189" t="s">
        <v>481</v>
      </c>
      <c r="B189" t="s">
        <v>331</v>
      </c>
      <c r="C189">
        <v>4.8</v>
      </c>
      <c r="D189">
        <v>6247</v>
      </c>
      <c r="E189">
        <v>10</v>
      </c>
      <c r="F189">
        <v>2012</v>
      </c>
      <c r="G189" t="s">
        <v>10</v>
      </c>
    </row>
    <row r="190" spans="1:7" x14ac:dyDescent="0.25">
      <c r="A190" t="s">
        <v>491</v>
      </c>
      <c r="B190" t="s">
        <v>492</v>
      </c>
      <c r="C190">
        <v>4.4000000000000004</v>
      </c>
      <c r="D190">
        <v>1201</v>
      </c>
      <c r="E190">
        <v>40</v>
      </c>
      <c r="F190">
        <v>2012</v>
      </c>
      <c r="G190" t="s">
        <v>8</v>
      </c>
    </row>
    <row r="191" spans="1:7" x14ac:dyDescent="0.25">
      <c r="A191" t="s">
        <v>499</v>
      </c>
      <c r="B191" t="s">
        <v>497</v>
      </c>
      <c r="C191">
        <v>4.8</v>
      </c>
      <c r="D191">
        <v>2876</v>
      </c>
      <c r="E191">
        <v>21</v>
      </c>
      <c r="F191">
        <v>2012</v>
      </c>
      <c r="G191" t="s">
        <v>8</v>
      </c>
    </row>
    <row r="192" spans="1:7" x14ac:dyDescent="0.25">
      <c r="A192" t="s">
        <v>505</v>
      </c>
      <c r="B192" t="s">
        <v>506</v>
      </c>
      <c r="C192">
        <v>4.5999999999999996</v>
      </c>
      <c r="D192">
        <v>10795</v>
      </c>
      <c r="E192">
        <v>21</v>
      </c>
      <c r="F192">
        <v>2012</v>
      </c>
      <c r="G192" t="s">
        <v>8</v>
      </c>
    </row>
    <row r="193" spans="1:7" x14ac:dyDescent="0.25">
      <c r="A193" t="s">
        <v>508</v>
      </c>
      <c r="B193" t="s">
        <v>375</v>
      </c>
      <c r="C193">
        <v>4.3</v>
      </c>
      <c r="D193">
        <v>14493</v>
      </c>
      <c r="E193">
        <v>18</v>
      </c>
      <c r="F193">
        <v>2012</v>
      </c>
      <c r="G193" t="s">
        <v>10</v>
      </c>
    </row>
    <row r="194" spans="1:7" x14ac:dyDescent="0.25">
      <c r="A194" t="s">
        <v>512</v>
      </c>
      <c r="B194" t="s">
        <v>331</v>
      </c>
      <c r="C194">
        <v>4.8</v>
      </c>
      <c r="D194">
        <v>2091</v>
      </c>
      <c r="E194">
        <v>12</v>
      </c>
      <c r="F194">
        <v>2012</v>
      </c>
      <c r="G194" t="s">
        <v>10</v>
      </c>
    </row>
    <row r="195" spans="1:7" x14ac:dyDescent="0.25">
      <c r="A195" t="s">
        <v>522</v>
      </c>
      <c r="B195" t="s">
        <v>78</v>
      </c>
      <c r="C195">
        <v>4.7</v>
      </c>
      <c r="D195">
        <v>6377</v>
      </c>
      <c r="E195">
        <v>7</v>
      </c>
      <c r="F195">
        <v>2012</v>
      </c>
      <c r="G195" t="s">
        <v>10</v>
      </c>
    </row>
    <row r="196" spans="1:7" x14ac:dyDescent="0.25">
      <c r="A196" t="s">
        <v>545</v>
      </c>
      <c r="B196" t="s">
        <v>546</v>
      </c>
      <c r="C196">
        <v>4.5999999999999996</v>
      </c>
      <c r="D196">
        <v>11034</v>
      </c>
      <c r="E196">
        <v>19</v>
      </c>
      <c r="F196">
        <v>2012</v>
      </c>
      <c r="G196" t="s">
        <v>8</v>
      </c>
    </row>
    <row r="197" spans="1:7" x14ac:dyDescent="0.25">
      <c r="A197" t="s">
        <v>549</v>
      </c>
      <c r="B197" t="s">
        <v>550</v>
      </c>
      <c r="C197">
        <v>4.5</v>
      </c>
      <c r="D197">
        <v>1904</v>
      </c>
      <c r="E197">
        <v>23</v>
      </c>
      <c r="F197">
        <v>2012</v>
      </c>
      <c r="G197" t="s">
        <v>8</v>
      </c>
    </row>
    <row r="198" spans="1:7" x14ac:dyDescent="0.25">
      <c r="A198" t="s">
        <v>565</v>
      </c>
      <c r="B198" t="s">
        <v>566</v>
      </c>
      <c r="C198">
        <v>4.8</v>
      </c>
      <c r="D198">
        <v>29673</v>
      </c>
      <c r="E198">
        <v>16</v>
      </c>
      <c r="F198">
        <v>2012</v>
      </c>
      <c r="G198" t="s">
        <v>8</v>
      </c>
    </row>
    <row r="199" spans="1:7" x14ac:dyDescent="0.25">
      <c r="A199" t="s">
        <v>585</v>
      </c>
      <c r="B199" t="s">
        <v>586</v>
      </c>
      <c r="C199">
        <v>4.4000000000000004</v>
      </c>
      <c r="D199">
        <v>7497</v>
      </c>
      <c r="E199">
        <v>6</v>
      </c>
      <c r="F199">
        <v>2012</v>
      </c>
      <c r="G199" t="s">
        <v>8</v>
      </c>
    </row>
    <row r="200" spans="1:7" x14ac:dyDescent="0.25">
      <c r="A200" t="s">
        <v>595</v>
      </c>
      <c r="B200" t="s">
        <v>596</v>
      </c>
      <c r="C200">
        <v>4.4000000000000004</v>
      </c>
      <c r="D200">
        <v>17044</v>
      </c>
      <c r="E200">
        <v>18</v>
      </c>
      <c r="F200">
        <v>2012</v>
      </c>
      <c r="G200" t="s">
        <v>8</v>
      </c>
    </row>
    <row r="201" spans="1:7" x14ac:dyDescent="0.25">
      <c r="A201" t="s">
        <v>597</v>
      </c>
      <c r="B201" t="s">
        <v>598</v>
      </c>
      <c r="C201">
        <v>4.5</v>
      </c>
      <c r="D201">
        <v>10760</v>
      </c>
      <c r="E201">
        <v>15</v>
      </c>
      <c r="F201">
        <v>2012</v>
      </c>
      <c r="G201" t="s">
        <v>10</v>
      </c>
    </row>
    <row r="202" spans="1:7" x14ac:dyDescent="0.25">
      <c r="A202" t="s">
        <v>45</v>
      </c>
      <c r="B202" t="s">
        <v>46</v>
      </c>
      <c r="C202">
        <v>3.9</v>
      </c>
      <c r="D202">
        <v>6310</v>
      </c>
      <c r="E202">
        <v>13</v>
      </c>
      <c r="F202">
        <v>2013</v>
      </c>
      <c r="G202" t="s">
        <v>10</v>
      </c>
    </row>
    <row r="203" spans="1:7" x14ac:dyDescent="0.25">
      <c r="A203" t="s">
        <v>49</v>
      </c>
      <c r="B203" t="s">
        <v>50</v>
      </c>
      <c r="C203">
        <v>4.3</v>
      </c>
      <c r="D203">
        <v>12159</v>
      </c>
      <c r="E203">
        <v>13</v>
      </c>
      <c r="F203">
        <v>2013</v>
      </c>
      <c r="G203" t="s">
        <v>10</v>
      </c>
    </row>
    <row r="204" spans="1:7" x14ac:dyDescent="0.25">
      <c r="A204" t="s">
        <v>98</v>
      </c>
      <c r="B204" t="s">
        <v>99</v>
      </c>
      <c r="C204">
        <v>4.8</v>
      </c>
      <c r="D204">
        <v>1329</v>
      </c>
      <c r="E204">
        <v>10</v>
      </c>
      <c r="F204">
        <v>2013</v>
      </c>
      <c r="G204" t="s">
        <v>8</v>
      </c>
    </row>
    <row r="205" spans="1:7" x14ac:dyDescent="0.25">
      <c r="A205" t="s">
        <v>100</v>
      </c>
      <c r="B205" t="s">
        <v>101</v>
      </c>
      <c r="C205">
        <v>4.4000000000000004</v>
      </c>
      <c r="D205">
        <v>4642</v>
      </c>
      <c r="E205">
        <v>13</v>
      </c>
      <c r="F205">
        <v>2013</v>
      </c>
      <c r="G205" t="s">
        <v>8</v>
      </c>
    </row>
    <row r="206" spans="1:7" x14ac:dyDescent="0.25">
      <c r="A206" t="s">
        <v>112</v>
      </c>
      <c r="B206" t="s">
        <v>113</v>
      </c>
      <c r="C206">
        <v>4.5</v>
      </c>
      <c r="D206">
        <v>6679</v>
      </c>
      <c r="E206">
        <v>105</v>
      </c>
      <c r="F206">
        <v>2013</v>
      </c>
      <c r="G206" t="s">
        <v>8</v>
      </c>
    </row>
    <row r="207" spans="1:7" x14ac:dyDescent="0.25">
      <c r="A207" t="s">
        <v>114</v>
      </c>
      <c r="B207" t="s">
        <v>78</v>
      </c>
      <c r="C207">
        <v>4.8</v>
      </c>
      <c r="D207">
        <v>6812</v>
      </c>
      <c r="E207">
        <v>0</v>
      </c>
      <c r="F207">
        <v>2013</v>
      </c>
      <c r="G207" t="s">
        <v>10</v>
      </c>
    </row>
    <row r="208" spans="1:7" x14ac:dyDescent="0.25">
      <c r="A208" t="s">
        <v>119</v>
      </c>
      <c r="B208" t="s">
        <v>46</v>
      </c>
      <c r="C208">
        <v>4.5999999999999996</v>
      </c>
      <c r="D208">
        <v>27098</v>
      </c>
      <c r="E208">
        <v>15</v>
      </c>
      <c r="F208">
        <v>2013</v>
      </c>
      <c r="G208" t="s">
        <v>10</v>
      </c>
    </row>
    <row r="209" spans="1:7" x14ac:dyDescent="0.25">
      <c r="A209" t="s">
        <v>123</v>
      </c>
      <c r="B209" t="s">
        <v>9</v>
      </c>
      <c r="C209">
        <v>4.7</v>
      </c>
      <c r="D209">
        <v>15845</v>
      </c>
      <c r="E209">
        <v>13</v>
      </c>
      <c r="F209">
        <v>2013</v>
      </c>
      <c r="G209" t="s">
        <v>10</v>
      </c>
    </row>
    <row r="210" spans="1:7" x14ac:dyDescent="0.25">
      <c r="A210" t="s">
        <v>157</v>
      </c>
      <c r="B210" t="s">
        <v>155</v>
      </c>
      <c r="C210">
        <v>3.8</v>
      </c>
      <c r="D210">
        <v>47265</v>
      </c>
      <c r="E210">
        <v>14</v>
      </c>
      <c r="F210">
        <v>2013</v>
      </c>
      <c r="G210" t="s">
        <v>10</v>
      </c>
    </row>
    <row r="211" spans="1:7" x14ac:dyDescent="0.25">
      <c r="A211" t="s">
        <v>169</v>
      </c>
      <c r="B211" t="s">
        <v>170</v>
      </c>
      <c r="C211">
        <v>4.5999999999999996</v>
      </c>
      <c r="D211">
        <v>5594</v>
      </c>
      <c r="E211">
        <v>5</v>
      </c>
      <c r="F211">
        <v>2013</v>
      </c>
      <c r="G211" t="s">
        <v>10</v>
      </c>
    </row>
    <row r="212" spans="1:7" x14ac:dyDescent="0.25">
      <c r="A212" t="s">
        <v>173</v>
      </c>
      <c r="B212" t="s">
        <v>174</v>
      </c>
      <c r="C212">
        <v>4.5999999999999996</v>
      </c>
      <c r="D212">
        <v>4799</v>
      </c>
      <c r="E212">
        <v>16</v>
      </c>
      <c r="F212">
        <v>2013</v>
      </c>
      <c r="G212" t="s">
        <v>8</v>
      </c>
    </row>
    <row r="213" spans="1:7" x14ac:dyDescent="0.25">
      <c r="A213" t="s">
        <v>187</v>
      </c>
      <c r="B213" t="s">
        <v>188</v>
      </c>
      <c r="C213">
        <v>4</v>
      </c>
      <c r="D213">
        <v>57271</v>
      </c>
      <c r="E213">
        <v>10</v>
      </c>
      <c r="F213">
        <v>2013</v>
      </c>
      <c r="G213" t="s">
        <v>10</v>
      </c>
    </row>
    <row r="214" spans="1:7" x14ac:dyDescent="0.25">
      <c r="A214" t="s">
        <v>195</v>
      </c>
      <c r="B214" t="s">
        <v>196</v>
      </c>
      <c r="C214">
        <v>4.9000000000000004</v>
      </c>
      <c r="D214">
        <v>7038</v>
      </c>
      <c r="E214">
        <v>7</v>
      </c>
      <c r="F214">
        <v>2013</v>
      </c>
      <c r="G214" t="s">
        <v>10</v>
      </c>
    </row>
    <row r="215" spans="1:7" x14ac:dyDescent="0.25">
      <c r="A215" t="s">
        <v>204</v>
      </c>
      <c r="B215" t="s">
        <v>205</v>
      </c>
      <c r="C215">
        <v>4.8</v>
      </c>
      <c r="D215">
        <v>4148</v>
      </c>
      <c r="E215">
        <v>11</v>
      </c>
      <c r="F215">
        <v>2013</v>
      </c>
      <c r="G215" t="s">
        <v>8</v>
      </c>
    </row>
    <row r="216" spans="1:7" x14ac:dyDescent="0.25">
      <c r="A216" t="s">
        <v>227</v>
      </c>
      <c r="B216" t="s">
        <v>228</v>
      </c>
      <c r="C216">
        <v>4.8</v>
      </c>
      <c r="D216">
        <v>3490</v>
      </c>
      <c r="E216">
        <v>15</v>
      </c>
      <c r="F216">
        <v>2013</v>
      </c>
      <c r="G216" t="s">
        <v>8</v>
      </c>
    </row>
    <row r="217" spans="1:7" x14ac:dyDescent="0.25">
      <c r="A217" t="s">
        <v>230</v>
      </c>
      <c r="B217" t="s">
        <v>231</v>
      </c>
      <c r="C217">
        <v>4.7</v>
      </c>
      <c r="D217">
        <v>4896</v>
      </c>
      <c r="E217">
        <v>17</v>
      </c>
      <c r="F217">
        <v>2013</v>
      </c>
      <c r="G217" t="s">
        <v>8</v>
      </c>
    </row>
    <row r="218" spans="1:7" x14ac:dyDescent="0.25">
      <c r="A218" t="s">
        <v>242</v>
      </c>
      <c r="B218" t="s">
        <v>243</v>
      </c>
      <c r="C218">
        <v>4.0999999999999996</v>
      </c>
      <c r="D218">
        <v>29651</v>
      </c>
      <c r="E218">
        <v>14</v>
      </c>
      <c r="F218">
        <v>2013</v>
      </c>
      <c r="G218" t="s">
        <v>10</v>
      </c>
    </row>
    <row r="219" spans="1:7" x14ac:dyDescent="0.25">
      <c r="A219" t="s">
        <v>250</v>
      </c>
      <c r="B219" t="s">
        <v>251</v>
      </c>
      <c r="C219">
        <v>4.9000000000000004</v>
      </c>
      <c r="D219">
        <v>19576</v>
      </c>
      <c r="E219">
        <v>8</v>
      </c>
      <c r="F219">
        <v>2013</v>
      </c>
      <c r="G219" t="s">
        <v>8</v>
      </c>
    </row>
    <row r="220" spans="1:7" x14ac:dyDescent="0.25">
      <c r="A220" t="s">
        <v>253</v>
      </c>
      <c r="B220" t="s">
        <v>9</v>
      </c>
      <c r="C220">
        <v>4.5</v>
      </c>
      <c r="D220">
        <v>4748</v>
      </c>
      <c r="E220">
        <v>12</v>
      </c>
      <c r="F220">
        <v>2013</v>
      </c>
      <c r="G220" t="s">
        <v>10</v>
      </c>
    </row>
    <row r="221" spans="1:7" x14ac:dyDescent="0.25">
      <c r="A221" t="s">
        <v>256</v>
      </c>
      <c r="B221" t="s">
        <v>257</v>
      </c>
      <c r="C221">
        <v>4.5</v>
      </c>
      <c r="D221">
        <v>11391</v>
      </c>
      <c r="E221">
        <v>12</v>
      </c>
      <c r="F221">
        <v>2013</v>
      </c>
      <c r="G221" t="s">
        <v>8</v>
      </c>
    </row>
    <row r="222" spans="1:7" x14ac:dyDescent="0.25">
      <c r="A222" t="s">
        <v>265</v>
      </c>
      <c r="B222" t="s">
        <v>266</v>
      </c>
      <c r="C222">
        <v>4.5</v>
      </c>
      <c r="D222">
        <v>3673</v>
      </c>
      <c r="E222">
        <v>4</v>
      </c>
      <c r="F222">
        <v>2013</v>
      </c>
      <c r="G222" t="s">
        <v>8</v>
      </c>
    </row>
    <row r="223" spans="1:7" x14ac:dyDescent="0.25">
      <c r="A223" t="s">
        <v>269</v>
      </c>
      <c r="B223" t="s">
        <v>266</v>
      </c>
      <c r="C223">
        <v>4.5999999999999996</v>
      </c>
      <c r="D223">
        <v>6990</v>
      </c>
      <c r="E223">
        <v>4</v>
      </c>
      <c r="F223">
        <v>2013</v>
      </c>
      <c r="G223" t="s">
        <v>8</v>
      </c>
    </row>
    <row r="224" spans="1:7" x14ac:dyDescent="0.25">
      <c r="A224" t="s">
        <v>270</v>
      </c>
      <c r="B224" t="s">
        <v>271</v>
      </c>
      <c r="C224">
        <v>4.5</v>
      </c>
      <c r="D224">
        <v>6132</v>
      </c>
      <c r="E224">
        <v>13</v>
      </c>
      <c r="F224">
        <v>2013</v>
      </c>
      <c r="G224" t="s">
        <v>8</v>
      </c>
    </row>
    <row r="225" spans="1:7" x14ac:dyDescent="0.25">
      <c r="A225" t="s">
        <v>316</v>
      </c>
      <c r="B225" t="s">
        <v>317</v>
      </c>
      <c r="C225">
        <v>4.9000000000000004</v>
      </c>
      <c r="D225">
        <v>21834</v>
      </c>
      <c r="E225">
        <v>8</v>
      </c>
      <c r="F225">
        <v>2013</v>
      </c>
      <c r="G225" t="s">
        <v>10</v>
      </c>
    </row>
    <row r="226" spans="1:7" x14ac:dyDescent="0.25">
      <c r="A226" t="s">
        <v>335</v>
      </c>
      <c r="B226" t="s">
        <v>336</v>
      </c>
      <c r="C226">
        <v>4.3</v>
      </c>
      <c r="D226">
        <v>13616</v>
      </c>
      <c r="E226">
        <v>10</v>
      </c>
      <c r="F226">
        <v>2013</v>
      </c>
      <c r="G226" t="s">
        <v>8</v>
      </c>
    </row>
    <row r="227" spans="1:7" x14ac:dyDescent="0.25">
      <c r="A227" t="s">
        <v>337</v>
      </c>
      <c r="B227" t="s">
        <v>338</v>
      </c>
      <c r="C227">
        <v>4.5</v>
      </c>
      <c r="D227">
        <v>8580</v>
      </c>
      <c r="E227">
        <v>46</v>
      </c>
      <c r="F227">
        <v>2013</v>
      </c>
      <c r="G227" t="s">
        <v>8</v>
      </c>
    </row>
    <row r="228" spans="1:7" x14ac:dyDescent="0.25">
      <c r="A228" t="s">
        <v>341</v>
      </c>
      <c r="B228" t="s">
        <v>342</v>
      </c>
      <c r="C228">
        <v>4.5999999999999996</v>
      </c>
      <c r="D228">
        <v>10009</v>
      </c>
      <c r="E228">
        <v>7</v>
      </c>
      <c r="F228">
        <v>2013</v>
      </c>
      <c r="G228" t="s">
        <v>8</v>
      </c>
    </row>
    <row r="229" spans="1:7" x14ac:dyDescent="0.25">
      <c r="A229" t="s">
        <v>347</v>
      </c>
      <c r="B229" t="s">
        <v>348</v>
      </c>
      <c r="C229">
        <v>4.9000000000000004</v>
      </c>
      <c r="D229">
        <v>7150</v>
      </c>
      <c r="E229">
        <v>12</v>
      </c>
      <c r="F229">
        <v>2013</v>
      </c>
      <c r="G229" t="s">
        <v>10</v>
      </c>
    </row>
    <row r="230" spans="1:7" x14ac:dyDescent="0.25">
      <c r="A230" t="s">
        <v>361</v>
      </c>
      <c r="B230" t="s">
        <v>362</v>
      </c>
      <c r="C230">
        <v>4.0999999999999996</v>
      </c>
      <c r="D230">
        <v>2272</v>
      </c>
      <c r="E230">
        <v>6</v>
      </c>
      <c r="F230">
        <v>2013</v>
      </c>
      <c r="G230" t="s">
        <v>8</v>
      </c>
    </row>
    <row r="231" spans="1:7" x14ac:dyDescent="0.25">
      <c r="A231" t="s">
        <v>364</v>
      </c>
      <c r="B231" t="s">
        <v>122</v>
      </c>
      <c r="C231">
        <v>4.5999999999999996</v>
      </c>
      <c r="D231">
        <v>220</v>
      </c>
      <c r="E231">
        <v>17</v>
      </c>
      <c r="F231">
        <v>2013</v>
      </c>
      <c r="G231" t="s">
        <v>8</v>
      </c>
    </row>
    <row r="232" spans="1:7" x14ac:dyDescent="0.25">
      <c r="A232" t="s">
        <v>368</v>
      </c>
      <c r="B232" t="s">
        <v>369</v>
      </c>
      <c r="C232">
        <v>4</v>
      </c>
      <c r="D232">
        <v>5069</v>
      </c>
      <c r="E232">
        <v>17</v>
      </c>
      <c r="F232">
        <v>2013</v>
      </c>
      <c r="G232" t="s">
        <v>8</v>
      </c>
    </row>
    <row r="233" spans="1:7" x14ac:dyDescent="0.25">
      <c r="A233" t="s">
        <v>374</v>
      </c>
      <c r="B233" t="s">
        <v>375</v>
      </c>
      <c r="C233">
        <v>4.5</v>
      </c>
      <c r="D233">
        <v>23114</v>
      </c>
      <c r="E233">
        <v>18</v>
      </c>
      <c r="F233">
        <v>2013</v>
      </c>
      <c r="G233" t="s">
        <v>10</v>
      </c>
    </row>
    <row r="234" spans="1:7" x14ac:dyDescent="0.25">
      <c r="A234" t="s">
        <v>382</v>
      </c>
      <c r="B234" t="s">
        <v>383</v>
      </c>
      <c r="C234">
        <v>4.7</v>
      </c>
      <c r="D234">
        <v>3477</v>
      </c>
      <c r="E234">
        <v>28</v>
      </c>
      <c r="F234">
        <v>2013</v>
      </c>
      <c r="G234" t="s">
        <v>8</v>
      </c>
    </row>
    <row r="235" spans="1:7" x14ac:dyDescent="0.25">
      <c r="A235" t="s">
        <v>387</v>
      </c>
      <c r="B235" t="s">
        <v>388</v>
      </c>
      <c r="C235">
        <v>4.5999999999999996</v>
      </c>
      <c r="D235">
        <v>9325</v>
      </c>
      <c r="E235">
        <v>24</v>
      </c>
      <c r="F235">
        <v>2013</v>
      </c>
      <c r="G235" t="s">
        <v>8</v>
      </c>
    </row>
    <row r="236" spans="1:7" x14ac:dyDescent="0.25">
      <c r="A236" t="s">
        <v>404</v>
      </c>
      <c r="B236" t="s">
        <v>405</v>
      </c>
      <c r="C236">
        <v>4.5999999999999996</v>
      </c>
      <c r="D236">
        <v>23148</v>
      </c>
      <c r="E236">
        <v>6</v>
      </c>
      <c r="F236">
        <v>2013</v>
      </c>
      <c r="G236" t="s">
        <v>10</v>
      </c>
    </row>
    <row r="237" spans="1:7" x14ac:dyDescent="0.25">
      <c r="A237" t="s">
        <v>420</v>
      </c>
      <c r="B237" t="s">
        <v>421</v>
      </c>
      <c r="C237">
        <v>4.8</v>
      </c>
      <c r="D237">
        <v>8922</v>
      </c>
      <c r="E237">
        <v>9</v>
      </c>
      <c r="F237">
        <v>2013</v>
      </c>
      <c r="G237" t="s">
        <v>10</v>
      </c>
    </row>
    <row r="238" spans="1:7" x14ac:dyDescent="0.25">
      <c r="A238" t="s">
        <v>426</v>
      </c>
      <c r="B238" t="s">
        <v>287</v>
      </c>
      <c r="C238">
        <v>4.7</v>
      </c>
      <c r="D238">
        <v>50482</v>
      </c>
      <c r="E238">
        <v>13</v>
      </c>
      <c r="F238">
        <v>2013</v>
      </c>
      <c r="G238" t="s">
        <v>10</v>
      </c>
    </row>
    <row r="239" spans="1:7" x14ac:dyDescent="0.25">
      <c r="A239" t="s">
        <v>427</v>
      </c>
      <c r="B239" t="s">
        <v>428</v>
      </c>
      <c r="C239">
        <v>4.5999999999999996</v>
      </c>
      <c r="D239">
        <v>3207</v>
      </c>
      <c r="E239">
        <v>6</v>
      </c>
      <c r="F239">
        <v>2013</v>
      </c>
      <c r="G239" t="s">
        <v>8</v>
      </c>
    </row>
    <row r="240" spans="1:7" x14ac:dyDescent="0.25">
      <c r="A240" t="s">
        <v>430</v>
      </c>
      <c r="B240" t="s">
        <v>431</v>
      </c>
      <c r="C240">
        <v>4.7</v>
      </c>
      <c r="D240">
        <v>23308</v>
      </c>
      <c r="E240">
        <v>6</v>
      </c>
      <c r="F240">
        <v>2013</v>
      </c>
      <c r="G240" t="s">
        <v>8</v>
      </c>
    </row>
    <row r="241" spans="1:7" x14ac:dyDescent="0.25">
      <c r="A241" t="s">
        <v>442</v>
      </c>
      <c r="B241" t="s">
        <v>443</v>
      </c>
      <c r="C241">
        <v>3.9</v>
      </c>
      <c r="D241">
        <v>33844</v>
      </c>
      <c r="E241">
        <v>20</v>
      </c>
      <c r="F241">
        <v>2013</v>
      </c>
      <c r="G241" t="s">
        <v>10</v>
      </c>
    </row>
    <row r="242" spans="1:7" x14ac:dyDescent="0.25">
      <c r="A242" t="s">
        <v>444</v>
      </c>
      <c r="B242" t="s">
        <v>445</v>
      </c>
      <c r="C242">
        <v>4.4000000000000004</v>
      </c>
      <c r="D242">
        <v>11616</v>
      </c>
      <c r="E242">
        <v>7</v>
      </c>
      <c r="F242">
        <v>2013</v>
      </c>
      <c r="G242" t="s">
        <v>10</v>
      </c>
    </row>
    <row r="243" spans="1:7" x14ac:dyDescent="0.25">
      <c r="A243" t="s">
        <v>457</v>
      </c>
      <c r="B243" t="s">
        <v>331</v>
      </c>
      <c r="C243">
        <v>4.8</v>
      </c>
      <c r="D243">
        <v>6982</v>
      </c>
      <c r="E243">
        <v>14</v>
      </c>
      <c r="F243">
        <v>2013</v>
      </c>
      <c r="G243" t="s">
        <v>10</v>
      </c>
    </row>
    <row r="244" spans="1:7" x14ac:dyDescent="0.25">
      <c r="A244" t="s">
        <v>468</v>
      </c>
      <c r="B244" t="s">
        <v>469</v>
      </c>
      <c r="C244">
        <v>4.9000000000000004</v>
      </c>
      <c r="D244">
        <v>5396</v>
      </c>
      <c r="E244">
        <v>20</v>
      </c>
      <c r="F244">
        <v>2013</v>
      </c>
      <c r="G244" t="s">
        <v>10</v>
      </c>
    </row>
    <row r="245" spans="1:7" x14ac:dyDescent="0.25">
      <c r="A245" t="s">
        <v>491</v>
      </c>
      <c r="B245" t="s">
        <v>492</v>
      </c>
      <c r="C245">
        <v>4.4000000000000004</v>
      </c>
      <c r="D245">
        <v>1201</v>
      </c>
      <c r="E245">
        <v>40</v>
      </c>
      <c r="F245">
        <v>2013</v>
      </c>
      <c r="G245" t="s">
        <v>8</v>
      </c>
    </row>
    <row r="246" spans="1:7" x14ac:dyDescent="0.25">
      <c r="A246" t="s">
        <v>496</v>
      </c>
      <c r="B246" t="s">
        <v>497</v>
      </c>
      <c r="C246">
        <v>4.8</v>
      </c>
      <c r="D246">
        <v>2663</v>
      </c>
      <c r="E246">
        <v>17</v>
      </c>
      <c r="F246">
        <v>2013</v>
      </c>
      <c r="G246" t="s">
        <v>8</v>
      </c>
    </row>
    <row r="247" spans="1:7" x14ac:dyDescent="0.25">
      <c r="A247" t="s">
        <v>533</v>
      </c>
      <c r="B247" t="s">
        <v>534</v>
      </c>
      <c r="C247">
        <v>4.9000000000000004</v>
      </c>
      <c r="D247">
        <v>19546</v>
      </c>
      <c r="E247">
        <v>5</v>
      </c>
      <c r="F247">
        <v>2013</v>
      </c>
      <c r="G247" t="s">
        <v>10</v>
      </c>
    </row>
    <row r="248" spans="1:7" x14ac:dyDescent="0.25">
      <c r="A248" t="s">
        <v>543</v>
      </c>
      <c r="B248" t="s">
        <v>544</v>
      </c>
      <c r="C248">
        <v>4.7</v>
      </c>
      <c r="D248">
        <v>7034</v>
      </c>
      <c r="E248">
        <v>15</v>
      </c>
      <c r="F248">
        <v>2013</v>
      </c>
      <c r="G248" t="s">
        <v>8</v>
      </c>
    </row>
    <row r="249" spans="1:7" x14ac:dyDescent="0.25">
      <c r="A249" t="s">
        <v>557</v>
      </c>
      <c r="B249" t="s">
        <v>182</v>
      </c>
      <c r="C249">
        <v>4.8</v>
      </c>
      <c r="D249">
        <v>26234</v>
      </c>
      <c r="E249">
        <v>0</v>
      </c>
      <c r="F249">
        <v>2013</v>
      </c>
      <c r="G249" t="s">
        <v>10</v>
      </c>
    </row>
    <row r="250" spans="1:7" x14ac:dyDescent="0.25">
      <c r="A250" t="s">
        <v>585</v>
      </c>
      <c r="B250" t="s">
        <v>586</v>
      </c>
      <c r="C250">
        <v>4.4000000000000004</v>
      </c>
      <c r="D250">
        <v>7497</v>
      </c>
      <c r="E250">
        <v>6</v>
      </c>
      <c r="F250">
        <v>2013</v>
      </c>
      <c r="G250" t="s">
        <v>8</v>
      </c>
    </row>
    <row r="251" spans="1:7" x14ac:dyDescent="0.25">
      <c r="A251" t="s">
        <v>601</v>
      </c>
      <c r="B251" t="s">
        <v>602</v>
      </c>
      <c r="C251">
        <v>4.8</v>
      </c>
      <c r="D251">
        <v>21625</v>
      </c>
      <c r="E251">
        <v>9</v>
      </c>
      <c r="F251">
        <v>2013</v>
      </c>
      <c r="G251" t="s">
        <v>10</v>
      </c>
    </row>
    <row r="252" spans="1:7" x14ac:dyDescent="0.25">
      <c r="A252" t="s">
        <v>19</v>
      </c>
      <c r="B252" t="s">
        <v>18</v>
      </c>
      <c r="C252">
        <v>4.7</v>
      </c>
      <c r="D252">
        <v>19735</v>
      </c>
      <c r="E252">
        <v>30</v>
      </c>
      <c r="F252">
        <v>2014</v>
      </c>
      <c r="G252" t="s">
        <v>10</v>
      </c>
    </row>
    <row r="253" spans="1:7" x14ac:dyDescent="0.25">
      <c r="A253" t="s">
        <v>43</v>
      </c>
      <c r="B253" t="s">
        <v>44</v>
      </c>
      <c r="C253">
        <v>4.5999999999999996</v>
      </c>
      <c r="D253">
        <v>36348</v>
      </c>
      <c r="E253">
        <v>14</v>
      </c>
      <c r="F253">
        <v>2014</v>
      </c>
      <c r="G253" t="s">
        <v>10</v>
      </c>
    </row>
    <row r="254" spans="1:7" x14ac:dyDescent="0.25">
      <c r="A254" t="s">
        <v>83</v>
      </c>
      <c r="B254" t="s">
        <v>84</v>
      </c>
      <c r="C254">
        <v>4.5</v>
      </c>
      <c r="D254">
        <v>2884</v>
      </c>
      <c r="E254">
        <v>28</v>
      </c>
      <c r="F254">
        <v>2014</v>
      </c>
      <c r="G254" t="s">
        <v>8</v>
      </c>
    </row>
    <row r="255" spans="1:7" x14ac:dyDescent="0.25">
      <c r="A255" t="s">
        <v>112</v>
      </c>
      <c r="B255" t="s">
        <v>113</v>
      </c>
      <c r="C255">
        <v>4.5</v>
      </c>
      <c r="D255">
        <v>6679</v>
      </c>
      <c r="E255">
        <v>105</v>
      </c>
      <c r="F255">
        <v>2014</v>
      </c>
      <c r="G255" t="s">
        <v>8</v>
      </c>
    </row>
    <row r="256" spans="1:7" x14ac:dyDescent="0.25">
      <c r="A256" t="s">
        <v>116</v>
      </c>
      <c r="B256" t="s">
        <v>78</v>
      </c>
      <c r="C256">
        <v>4.8</v>
      </c>
      <c r="D256">
        <v>6540</v>
      </c>
      <c r="E256">
        <v>22</v>
      </c>
      <c r="F256">
        <v>2014</v>
      </c>
      <c r="G256" t="s">
        <v>10</v>
      </c>
    </row>
    <row r="257" spans="1:7" x14ac:dyDescent="0.25">
      <c r="A257" t="s">
        <v>119</v>
      </c>
      <c r="B257" t="s">
        <v>46</v>
      </c>
      <c r="C257">
        <v>4.5999999999999996</v>
      </c>
      <c r="D257">
        <v>27098</v>
      </c>
      <c r="E257">
        <v>15</v>
      </c>
      <c r="F257">
        <v>2014</v>
      </c>
      <c r="G257" t="s">
        <v>10</v>
      </c>
    </row>
    <row r="258" spans="1:7" x14ac:dyDescent="0.25">
      <c r="A258" t="s">
        <v>120</v>
      </c>
      <c r="B258" t="s">
        <v>46</v>
      </c>
      <c r="C258">
        <v>4.5</v>
      </c>
      <c r="D258">
        <v>17684</v>
      </c>
      <c r="E258">
        <v>6</v>
      </c>
      <c r="F258">
        <v>2014</v>
      </c>
      <c r="G258" t="s">
        <v>10</v>
      </c>
    </row>
    <row r="259" spans="1:7" x14ac:dyDescent="0.25">
      <c r="A259" t="s">
        <v>161</v>
      </c>
      <c r="B259" t="s">
        <v>162</v>
      </c>
      <c r="C259">
        <v>4.7</v>
      </c>
      <c r="D259">
        <v>17323</v>
      </c>
      <c r="E259">
        <v>4</v>
      </c>
      <c r="F259">
        <v>2014</v>
      </c>
      <c r="G259" t="s">
        <v>8</v>
      </c>
    </row>
    <row r="260" spans="1:7" x14ac:dyDescent="0.25">
      <c r="A260" t="s">
        <v>165</v>
      </c>
      <c r="B260" t="s">
        <v>166</v>
      </c>
      <c r="C260">
        <v>4.7</v>
      </c>
      <c r="D260">
        <v>3642</v>
      </c>
      <c r="E260">
        <v>0</v>
      </c>
      <c r="F260">
        <v>2014</v>
      </c>
      <c r="G260" t="s">
        <v>10</v>
      </c>
    </row>
    <row r="261" spans="1:7" x14ac:dyDescent="0.25">
      <c r="A261" t="s">
        <v>187</v>
      </c>
      <c r="B261" t="s">
        <v>188</v>
      </c>
      <c r="C261">
        <v>4</v>
      </c>
      <c r="D261">
        <v>57271</v>
      </c>
      <c r="E261">
        <v>9</v>
      </c>
      <c r="F261">
        <v>2014</v>
      </c>
      <c r="G261" t="s">
        <v>10</v>
      </c>
    </row>
    <row r="262" spans="1:7" x14ac:dyDescent="0.25">
      <c r="A262" t="s">
        <v>197</v>
      </c>
      <c r="B262" t="s">
        <v>198</v>
      </c>
      <c r="C262">
        <v>4.5999999999999996</v>
      </c>
      <c r="D262">
        <v>5972</v>
      </c>
      <c r="E262">
        <v>10</v>
      </c>
      <c r="F262">
        <v>2014</v>
      </c>
      <c r="G262" t="s">
        <v>8</v>
      </c>
    </row>
    <row r="263" spans="1:7" x14ac:dyDescent="0.25">
      <c r="A263" t="s">
        <v>223</v>
      </c>
      <c r="B263" t="s">
        <v>224</v>
      </c>
      <c r="C263">
        <v>4.7</v>
      </c>
      <c r="D263">
        <v>25001</v>
      </c>
      <c r="E263">
        <v>11</v>
      </c>
      <c r="F263">
        <v>2014</v>
      </c>
      <c r="G263" t="s">
        <v>8</v>
      </c>
    </row>
    <row r="264" spans="1:7" x14ac:dyDescent="0.25">
      <c r="A264" t="s">
        <v>227</v>
      </c>
      <c r="B264" t="s">
        <v>228</v>
      </c>
      <c r="C264">
        <v>4.8</v>
      </c>
      <c r="D264">
        <v>3490</v>
      </c>
      <c r="E264">
        <v>15</v>
      </c>
      <c r="F264">
        <v>2014</v>
      </c>
      <c r="G264" t="s">
        <v>8</v>
      </c>
    </row>
    <row r="265" spans="1:7" x14ac:dyDescent="0.25">
      <c r="A265" t="s">
        <v>238</v>
      </c>
      <c r="B265" t="s">
        <v>239</v>
      </c>
      <c r="C265">
        <v>4.3</v>
      </c>
      <c r="D265">
        <v>7153</v>
      </c>
      <c r="E265">
        <v>9</v>
      </c>
      <c r="F265">
        <v>2014</v>
      </c>
      <c r="G265" t="s">
        <v>10</v>
      </c>
    </row>
    <row r="266" spans="1:7" x14ac:dyDescent="0.25">
      <c r="A266" t="s">
        <v>250</v>
      </c>
      <c r="B266" t="s">
        <v>251</v>
      </c>
      <c r="C266">
        <v>4.9000000000000004</v>
      </c>
      <c r="D266">
        <v>19576</v>
      </c>
      <c r="E266">
        <v>8</v>
      </c>
      <c r="F266">
        <v>2014</v>
      </c>
      <c r="G266" t="s">
        <v>8</v>
      </c>
    </row>
    <row r="267" spans="1:7" x14ac:dyDescent="0.25">
      <c r="A267" t="s">
        <v>252</v>
      </c>
      <c r="B267" t="s">
        <v>166</v>
      </c>
      <c r="C267">
        <v>4.5999999999999996</v>
      </c>
      <c r="D267">
        <v>978</v>
      </c>
      <c r="E267">
        <v>0</v>
      </c>
      <c r="F267">
        <v>2014</v>
      </c>
      <c r="G267" t="s">
        <v>10</v>
      </c>
    </row>
    <row r="268" spans="1:7" x14ac:dyDescent="0.25">
      <c r="A268" t="s">
        <v>260</v>
      </c>
      <c r="B268" t="s">
        <v>257</v>
      </c>
      <c r="C268">
        <v>4.5999999999999996</v>
      </c>
      <c r="D268">
        <v>10927</v>
      </c>
      <c r="E268">
        <v>6</v>
      </c>
      <c r="F268">
        <v>2014</v>
      </c>
      <c r="G268" t="s">
        <v>8</v>
      </c>
    </row>
    <row r="269" spans="1:7" x14ac:dyDescent="0.25">
      <c r="A269" t="s">
        <v>265</v>
      </c>
      <c r="B269" t="s">
        <v>266</v>
      </c>
      <c r="C269">
        <v>4.5</v>
      </c>
      <c r="D269">
        <v>3673</v>
      </c>
      <c r="E269">
        <v>4</v>
      </c>
      <c r="F269">
        <v>2014</v>
      </c>
      <c r="G269" t="s">
        <v>8</v>
      </c>
    </row>
    <row r="270" spans="1:7" x14ac:dyDescent="0.25">
      <c r="A270" t="s">
        <v>269</v>
      </c>
      <c r="B270" t="s">
        <v>266</v>
      </c>
      <c r="C270">
        <v>4.5999999999999996</v>
      </c>
      <c r="D270">
        <v>6990</v>
      </c>
      <c r="E270">
        <v>4</v>
      </c>
      <c r="F270">
        <v>2014</v>
      </c>
      <c r="G270" t="s">
        <v>8</v>
      </c>
    </row>
    <row r="271" spans="1:7" x14ac:dyDescent="0.25">
      <c r="A271" t="s">
        <v>282</v>
      </c>
      <c r="B271" t="s">
        <v>283</v>
      </c>
      <c r="C271">
        <v>4.9000000000000004</v>
      </c>
      <c r="D271">
        <v>1884</v>
      </c>
      <c r="E271">
        <v>0</v>
      </c>
      <c r="F271">
        <v>2014</v>
      </c>
      <c r="G271" t="s">
        <v>10</v>
      </c>
    </row>
    <row r="272" spans="1:7" x14ac:dyDescent="0.25">
      <c r="A272" t="s">
        <v>286</v>
      </c>
      <c r="B272" t="s">
        <v>287</v>
      </c>
      <c r="C272">
        <v>4.5</v>
      </c>
      <c r="D272">
        <v>8491</v>
      </c>
      <c r="E272">
        <v>7</v>
      </c>
      <c r="F272">
        <v>2014</v>
      </c>
      <c r="G272" t="s">
        <v>10</v>
      </c>
    </row>
    <row r="273" spans="1:7" x14ac:dyDescent="0.25">
      <c r="A273" t="s">
        <v>290</v>
      </c>
      <c r="B273" t="s">
        <v>291</v>
      </c>
      <c r="C273">
        <v>4.8</v>
      </c>
      <c r="D273">
        <v>18613</v>
      </c>
      <c r="E273">
        <v>5</v>
      </c>
      <c r="F273">
        <v>2014</v>
      </c>
      <c r="G273" t="s">
        <v>10</v>
      </c>
    </row>
    <row r="274" spans="1:7" x14ac:dyDescent="0.25">
      <c r="A274" t="s">
        <v>293</v>
      </c>
      <c r="B274" t="s">
        <v>62</v>
      </c>
      <c r="C274">
        <v>4.5</v>
      </c>
      <c r="D274">
        <v>1386</v>
      </c>
      <c r="E274">
        <v>20</v>
      </c>
      <c r="F274">
        <v>2014</v>
      </c>
      <c r="G274" t="s">
        <v>8</v>
      </c>
    </row>
    <row r="275" spans="1:7" x14ac:dyDescent="0.25">
      <c r="A275" t="s">
        <v>302</v>
      </c>
      <c r="B275" t="s">
        <v>303</v>
      </c>
      <c r="C275">
        <v>4.5999999999999996</v>
      </c>
      <c r="D275">
        <v>5542</v>
      </c>
      <c r="E275">
        <v>10</v>
      </c>
      <c r="F275">
        <v>2014</v>
      </c>
      <c r="G275" t="s">
        <v>8</v>
      </c>
    </row>
    <row r="276" spans="1:7" x14ac:dyDescent="0.25">
      <c r="A276" t="s">
        <v>316</v>
      </c>
      <c r="B276" t="s">
        <v>317</v>
      </c>
      <c r="C276">
        <v>4.9000000000000004</v>
      </c>
      <c r="D276">
        <v>21834</v>
      </c>
      <c r="E276">
        <v>8</v>
      </c>
      <c r="F276">
        <v>2014</v>
      </c>
      <c r="G276" t="s">
        <v>10</v>
      </c>
    </row>
    <row r="277" spans="1:7" x14ac:dyDescent="0.25">
      <c r="A277" t="s">
        <v>325</v>
      </c>
      <c r="B277" t="s">
        <v>326</v>
      </c>
      <c r="C277">
        <v>4.5999999999999996</v>
      </c>
      <c r="D277">
        <v>21930</v>
      </c>
      <c r="E277">
        <v>11</v>
      </c>
      <c r="F277">
        <v>2014</v>
      </c>
      <c r="G277" t="s">
        <v>10</v>
      </c>
    </row>
    <row r="278" spans="1:7" x14ac:dyDescent="0.25">
      <c r="A278" t="s">
        <v>337</v>
      </c>
      <c r="B278" t="s">
        <v>338</v>
      </c>
      <c r="C278">
        <v>4.5</v>
      </c>
      <c r="D278">
        <v>8580</v>
      </c>
      <c r="E278">
        <v>46</v>
      </c>
      <c r="F278">
        <v>2014</v>
      </c>
      <c r="G278" t="s">
        <v>8</v>
      </c>
    </row>
    <row r="279" spans="1:7" x14ac:dyDescent="0.25">
      <c r="A279" t="s">
        <v>349</v>
      </c>
      <c r="B279" t="s">
        <v>348</v>
      </c>
      <c r="C279">
        <v>4.9000000000000004</v>
      </c>
      <c r="D279">
        <v>3836</v>
      </c>
      <c r="E279">
        <v>12</v>
      </c>
      <c r="F279">
        <v>2014</v>
      </c>
      <c r="G279" t="s">
        <v>10</v>
      </c>
    </row>
    <row r="280" spans="1:7" x14ac:dyDescent="0.25">
      <c r="A280" t="s">
        <v>368</v>
      </c>
      <c r="B280" t="s">
        <v>369</v>
      </c>
      <c r="C280">
        <v>4</v>
      </c>
      <c r="D280">
        <v>5069</v>
      </c>
      <c r="E280">
        <v>17</v>
      </c>
      <c r="F280">
        <v>2014</v>
      </c>
      <c r="G280" t="s">
        <v>8</v>
      </c>
    </row>
    <row r="281" spans="1:7" x14ac:dyDescent="0.25">
      <c r="A281" t="s">
        <v>382</v>
      </c>
      <c r="B281" t="s">
        <v>383</v>
      </c>
      <c r="C281">
        <v>4.7</v>
      </c>
      <c r="D281">
        <v>3477</v>
      </c>
      <c r="E281">
        <v>28</v>
      </c>
      <c r="F281">
        <v>2014</v>
      </c>
      <c r="G281" t="s">
        <v>8</v>
      </c>
    </row>
    <row r="282" spans="1:7" x14ac:dyDescent="0.25">
      <c r="A282" t="s">
        <v>389</v>
      </c>
      <c r="B282" t="s">
        <v>390</v>
      </c>
      <c r="C282">
        <v>4.7</v>
      </c>
      <c r="D282">
        <v>35799</v>
      </c>
      <c r="E282">
        <v>39</v>
      </c>
      <c r="F282">
        <v>2014</v>
      </c>
      <c r="G282" t="s">
        <v>10</v>
      </c>
    </row>
    <row r="283" spans="1:7" x14ac:dyDescent="0.25">
      <c r="A283" t="s">
        <v>397</v>
      </c>
      <c r="B283" t="s">
        <v>331</v>
      </c>
      <c r="C283">
        <v>4.8</v>
      </c>
      <c r="D283">
        <v>6600</v>
      </c>
      <c r="E283">
        <v>11</v>
      </c>
      <c r="F283">
        <v>2014</v>
      </c>
      <c r="G283" t="s">
        <v>10</v>
      </c>
    </row>
    <row r="284" spans="1:7" x14ac:dyDescent="0.25">
      <c r="A284" t="s">
        <v>404</v>
      </c>
      <c r="B284" t="s">
        <v>405</v>
      </c>
      <c r="C284">
        <v>4.5999999999999996</v>
      </c>
      <c r="D284">
        <v>23148</v>
      </c>
      <c r="E284">
        <v>6</v>
      </c>
      <c r="F284">
        <v>2014</v>
      </c>
      <c r="G284" t="s">
        <v>10</v>
      </c>
    </row>
    <row r="285" spans="1:7" x14ac:dyDescent="0.25">
      <c r="A285" t="s">
        <v>406</v>
      </c>
      <c r="B285" t="s">
        <v>407</v>
      </c>
      <c r="C285">
        <v>4.8</v>
      </c>
      <c r="D285">
        <v>8081</v>
      </c>
      <c r="E285">
        <v>8</v>
      </c>
      <c r="F285">
        <v>2014</v>
      </c>
      <c r="G285" t="s">
        <v>10</v>
      </c>
    </row>
    <row r="286" spans="1:7" x14ac:dyDescent="0.25">
      <c r="A286" t="s">
        <v>408</v>
      </c>
      <c r="B286" t="s">
        <v>409</v>
      </c>
      <c r="C286">
        <v>4.8</v>
      </c>
      <c r="D286">
        <v>23358</v>
      </c>
      <c r="E286">
        <v>12</v>
      </c>
      <c r="F286">
        <v>2014</v>
      </c>
      <c r="G286" t="s">
        <v>8</v>
      </c>
    </row>
    <row r="287" spans="1:7" x14ac:dyDescent="0.25">
      <c r="A287" t="s">
        <v>420</v>
      </c>
      <c r="B287" t="s">
        <v>421</v>
      </c>
      <c r="C287">
        <v>4.8</v>
      </c>
      <c r="D287">
        <v>8922</v>
      </c>
      <c r="E287">
        <v>9</v>
      </c>
      <c r="F287">
        <v>2014</v>
      </c>
      <c r="G287" t="s">
        <v>10</v>
      </c>
    </row>
    <row r="288" spans="1:7" x14ac:dyDescent="0.25">
      <c r="A288" t="s">
        <v>426</v>
      </c>
      <c r="B288" t="s">
        <v>287</v>
      </c>
      <c r="C288">
        <v>4.7</v>
      </c>
      <c r="D288">
        <v>50482</v>
      </c>
      <c r="E288">
        <v>7</v>
      </c>
      <c r="F288">
        <v>2014</v>
      </c>
      <c r="G288" t="s">
        <v>10</v>
      </c>
    </row>
    <row r="289" spans="1:7" x14ac:dyDescent="0.25">
      <c r="A289" t="s">
        <v>426</v>
      </c>
      <c r="B289" t="s">
        <v>287</v>
      </c>
      <c r="C289">
        <v>4.7</v>
      </c>
      <c r="D289">
        <v>50482</v>
      </c>
      <c r="E289">
        <v>13</v>
      </c>
      <c r="F289">
        <v>2014</v>
      </c>
      <c r="G289" t="s">
        <v>10</v>
      </c>
    </row>
    <row r="290" spans="1:7" x14ac:dyDescent="0.25">
      <c r="A290" t="s">
        <v>442</v>
      </c>
      <c r="B290" t="s">
        <v>443</v>
      </c>
      <c r="C290">
        <v>3.9</v>
      </c>
      <c r="D290">
        <v>33844</v>
      </c>
      <c r="E290">
        <v>20</v>
      </c>
      <c r="F290">
        <v>2014</v>
      </c>
      <c r="G290" t="s">
        <v>10</v>
      </c>
    </row>
    <row r="291" spans="1:7" x14ac:dyDescent="0.25">
      <c r="A291" t="s">
        <v>444</v>
      </c>
      <c r="B291" t="s">
        <v>445</v>
      </c>
      <c r="C291">
        <v>4.4000000000000004</v>
      </c>
      <c r="D291">
        <v>11616</v>
      </c>
      <c r="E291">
        <v>7</v>
      </c>
      <c r="F291">
        <v>2014</v>
      </c>
      <c r="G291" t="s">
        <v>10</v>
      </c>
    </row>
    <row r="292" spans="1:7" x14ac:dyDescent="0.25">
      <c r="A292" t="s">
        <v>484</v>
      </c>
      <c r="B292" t="s">
        <v>485</v>
      </c>
      <c r="C292">
        <v>4.5</v>
      </c>
      <c r="D292">
        <v>10101</v>
      </c>
      <c r="E292">
        <v>8</v>
      </c>
      <c r="F292">
        <v>2014</v>
      </c>
      <c r="G292" t="s">
        <v>10</v>
      </c>
    </row>
    <row r="293" spans="1:7" x14ac:dyDescent="0.25">
      <c r="A293" t="s">
        <v>491</v>
      </c>
      <c r="B293" t="s">
        <v>492</v>
      </c>
      <c r="C293">
        <v>4.4000000000000004</v>
      </c>
      <c r="D293">
        <v>1201</v>
      </c>
      <c r="E293">
        <v>40</v>
      </c>
      <c r="F293">
        <v>2014</v>
      </c>
      <c r="G293" t="s">
        <v>8</v>
      </c>
    </row>
    <row r="294" spans="1:7" x14ac:dyDescent="0.25">
      <c r="A294" t="s">
        <v>533</v>
      </c>
      <c r="B294" t="s">
        <v>534</v>
      </c>
      <c r="C294">
        <v>4.9000000000000004</v>
      </c>
      <c r="D294">
        <v>19546</v>
      </c>
      <c r="E294">
        <v>5</v>
      </c>
      <c r="F294">
        <v>2014</v>
      </c>
      <c r="G294" t="s">
        <v>10</v>
      </c>
    </row>
    <row r="295" spans="1:7" x14ac:dyDescent="0.25">
      <c r="A295" t="s">
        <v>553</v>
      </c>
      <c r="B295" t="s">
        <v>554</v>
      </c>
      <c r="C295">
        <v>4.5999999999999996</v>
      </c>
      <c r="D295">
        <v>11128</v>
      </c>
      <c r="E295">
        <v>23</v>
      </c>
      <c r="F295">
        <v>2014</v>
      </c>
      <c r="G295" t="s">
        <v>8</v>
      </c>
    </row>
    <row r="296" spans="1:7" x14ac:dyDescent="0.25">
      <c r="A296" t="s">
        <v>557</v>
      </c>
      <c r="B296" t="s">
        <v>182</v>
      </c>
      <c r="C296">
        <v>4.8</v>
      </c>
      <c r="D296">
        <v>26234</v>
      </c>
      <c r="E296">
        <v>0</v>
      </c>
      <c r="F296">
        <v>2014</v>
      </c>
      <c r="G296" t="s">
        <v>10</v>
      </c>
    </row>
    <row r="297" spans="1:7" x14ac:dyDescent="0.25">
      <c r="A297" t="s">
        <v>564</v>
      </c>
      <c r="B297" t="s">
        <v>58</v>
      </c>
      <c r="C297">
        <v>4.5</v>
      </c>
      <c r="D297">
        <v>2586</v>
      </c>
      <c r="E297">
        <v>5</v>
      </c>
      <c r="F297">
        <v>2014</v>
      </c>
      <c r="G297" t="s">
        <v>10</v>
      </c>
    </row>
    <row r="298" spans="1:7" x14ac:dyDescent="0.25">
      <c r="A298" t="s">
        <v>565</v>
      </c>
      <c r="B298" t="s">
        <v>566</v>
      </c>
      <c r="C298">
        <v>4.8</v>
      </c>
      <c r="D298">
        <v>29673</v>
      </c>
      <c r="E298">
        <v>13</v>
      </c>
      <c r="F298">
        <v>2014</v>
      </c>
      <c r="G298" t="s">
        <v>8</v>
      </c>
    </row>
    <row r="299" spans="1:7" x14ac:dyDescent="0.25">
      <c r="A299" t="s">
        <v>565</v>
      </c>
      <c r="B299" t="s">
        <v>566</v>
      </c>
      <c r="C299">
        <v>4.8</v>
      </c>
      <c r="D299">
        <v>29673</v>
      </c>
      <c r="E299">
        <v>16</v>
      </c>
      <c r="F299">
        <v>2014</v>
      </c>
      <c r="G299" t="s">
        <v>8</v>
      </c>
    </row>
    <row r="300" spans="1:7" x14ac:dyDescent="0.25">
      <c r="A300" t="s">
        <v>578</v>
      </c>
      <c r="B300" t="s">
        <v>579</v>
      </c>
      <c r="C300">
        <v>4.7</v>
      </c>
      <c r="D300">
        <v>9292</v>
      </c>
      <c r="E300">
        <v>17</v>
      </c>
      <c r="F300">
        <v>2014</v>
      </c>
      <c r="G300" t="s">
        <v>8</v>
      </c>
    </row>
    <row r="301" spans="1:7" x14ac:dyDescent="0.25">
      <c r="A301" t="s">
        <v>601</v>
      </c>
      <c r="B301" t="s">
        <v>602</v>
      </c>
      <c r="C301">
        <v>4.8</v>
      </c>
      <c r="D301">
        <v>21625</v>
      </c>
      <c r="E301">
        <v>9</v>
      </c>
      <c r="F301">
        <v>2014</v>
      </c>
      <c r="G301" t="s">
        <v>10</v>
      </c>
    </row>
    <row r="302" spans="1:7" x14ac:dyDescent="0.25">
      <c r="A302" t="s">
        <v>36</v>
      </c>
      <c r="B302" t="s">
        <v>37</v>
      </c>
      <c r="C302">
        <v>4.5999999999999996</v>
      </c>
      <c r="D302">
        <v>2925</v>
      </c>
      <c r="E302">
        <v>6</v>
      </c>
      <c r="F302">
        <v>2015</v>
      </c>
      <c r="G302" t="s">
        <v>8</v>
      </c>
    </row>
    <row r="303" spans="1:7" x14ac:dyDescent="0.25">
      <c r="A303" t="s">
        <v>38</v>
      </c>
      <c r="B303" t="s">
        <v>37</v>
      </c>
      <c r="C303">
        <v>4.4000000000000004</v>
      </c>
      <c r="D303">
        <v>2951</v>
      </c>
      <c r="E303">
        <v>6</v>
      </c>
      <c r="F303">
        <v>2015</v>
      </c>
      <c r="G303" t="s">
        <v>8</v>
      </c>
    </row>
    <row r="304" spans="1:7" x14ac:dyDescent="0.25">
      <c r="A304" t="s">
        <v>39</v>
      </c>
      <c r="B304" t="s">
        <v>40</v>
      </c>
      <c r="C304">
        <v>4.5</v>
      </c>
      <c r="D304">
        <v>2426</v>
      </c>
      <c r="E304">
        <v>8</v>
      </c>
      <c r="F304">
        <v>2015</v>
      </c>
      <c r="G304" t="s">
        <v>8</v>
      </c>
    </row>
    <row r="305" spans="1:7" x14ac:dyDescent="0.25">
      <c r="A305" t="s">
        <v>43</v>
      </c>
      <c r="B305" t="s">
        <v>44</v>
      </c>
      <c r="C305">
        <v>4.5999999999999996</v>
      </c>
      <c r="D305">
        <v>36348</v>
      </c>
      <c r="E305">
        <v>14</v>
      </c>
      <c r="F305">
        <v>2015</v>
      </c>
      <c r="G305" t="s">
        <v>10</v>
      </c>
    </row>
    <row r="306" spans="1:7" x14ac:dyDescent="0.25">
      <c r="A306" t="s">
        <v>47</v>
      </c>
      <c r="B306" t="s">
        <v>48</v>
      </c>
      <c r="C306">
        <v>4.5999999999999996</v>
      </c>
      <c r="D306">
        <v>15921</v>
      </c>
      <c r="E306">
        <v>9</v>
      </c>
      <c r="F306">
        <v>2015</v>
      </c>
      <c r="G306" t="s">
        <v>8</v>
      </c>
    </row>
    <row r="307" spans="1:7" x14ac:dyDescent="0.25">
      <c r="A307" t="s">
        <v>57</v>
      </c>
      <c r="B307" t="s">
        <v>58</v>
      </c>
      <c r="C307">
        <v>4.5999999999999996</v>
      </c>
      <c r="D307">
        <v>5360</v>
      </c>
      <c r="E307">
        <v>5</v>
      </c>
      <c r="F307">
        <v>2015</v>
      </c>
      <c r="G307" t="s">
        <v>8</v>
      </c>
    </row>
    <row r="308" spans="1:7" x14ac:dyDescent="0.25">
      <c r="A308" t="s">
        <v>59</v>
      </c>
      <c r="B308" t="s">
        <v>60</v>
      </c>
      <c r="C308">
        <v>4.5999999999999996</v>
      </c>
      <c r="D308">
        <v>1909</v>
      </c>
      <c r="E308">
        <v>11</v>
      </c>
      <c r="F308">
        <v>2015</v>
      </c>
      <c r="G308" t="s">
        <v>8</v>
      </c>
    </row>
    <row r="309" spans="1:7" x14ac:dyDescent="0.25">
      <c r="A309" t="s">
        <v>66</v>
      </c>
      <c r="B309" t="s">
        <v>67</v>
      </c>
      <c r="C309">
        <v>4.8</v>
      </c>
      <c r="D309">
        <v>11113</v>
      </c>
      <c r="E309">
        <v>15</v>
      </c>
      <c r="F309">
        <v>2015</v>
      </c>
      <c r="G309" t="s">
        <v>8</v>
      </c>
    </row>
    <row r="310" spans="1:7" x14ac:dyDescent="0.25">
      <c r="A310" t="s">
        <v>68</v>
      </c>
      <c r="B310" t="s">
        <v>69</v>
      </c>
      <c r="C310">
        <v>4.7</v>
      </c>
      <c r="D310">
        <v>10070</v>
      </c>
      <c r="E310">
        <v>13</v>
      </c>
      <c r="F310">
        <v>2015</v>
      </c>
      <c r="G310" t="s">
        <v>8</v>
      </c>
    </row>
    <row r="311" spans="1:7" x14ac:dyDescent="0.25">
      <c r="A311" t="s">
        <v>93</v>
      </c>
      <c r="B311" t="s">
        <v>94</v>
      </c>
      <c r="C311">
        <v>4.8</v>
      </c>
      <c r="D311">
        <v>4022</v>
      </c>
      <c r="E311">
        <v>4</v>
      </c>
      <c r="F311">
        <v>2015</v>
      </c>
      <c r="G311" t="s">
        <v>8</v>
      </c>
    </row>
    <row r="312" spans="1:7" x14ac:dyDescent="0.25">
      <c r="A312" t="s">
        <v>95</v>
      </c>
      <c r="B312" t="s">
        <v>94</v>
      </c>
      <c r="C312">
        <v>4.8</v>
      </c>
      <c r="D312">
        <v>3871</v>
      </c>
      <c r="E312">
        <v>5</v>
      </c>
      <c r="F312">
        <v>2015</v>
      </c>
      <c r="G312" t="s">
        <v>8</v>
      </c>
    </row>
    <row r="313" spans="1:7" x14ac:dyDescent="0.25">
      <c r="A313" t="s">
        <v>106</v>
      </c>
      <c r="B313" t="s">
        <v>107</v>
      </c>
      <c r="C313">
        <v>4.8</v>
      </c>
      <c r="D313">
        <v>10922</v>
      </c>
      <c r="E313">
        <v>5</v>
      </c>
      <c r="F313">
        <v>2015</v>
      </c>
      <c r="G313" t="s">
        <v>10</v>
      </c>
    </row>
    <row r="314" spans="1:7" x14ac:dyDescent="0.25">
      <c r="A314" t="s">
        <v>133</v>
      </c>
      <c r="B314" t="s">
        <v>134</v>
      </c>
      <c r="C314">
        <v>4.5999999999999996</v>
      </c>
      <c r="D314">
        <v>2134</v>
      </c>
      <c r="E314">
        <v>5</v>
      </c>
      <c r="F314">
        <v>2015</v>
      </c>
      <c r="G314" t="s">
        <v>8</v>
      </c>
    </row>
    <row r="315" spans="1:7" x14ac:dyDescent="0.25">
      <c r="A315" t="s">
        <v>146</v>
      </c>
      <c r="B315" t="s">
        <v>147</v>
      </c>
      <c r="C315">
        <v>4.7</v>
      </c>
      <c r="D315">
        <v>5413</v>
      </c>
      <c r="E315">
        <v>9</v>
      </c>
      <c r="F315">
        <v>2015</v>
      </c>
      <c r="G315" t="s">
        <v>8</v>
      </c>
    </row>
    <row r="316" spans="1:7" x14ac:dyDescent="0.25">
      <c r="A316" t="s">
        <v>161</v>
      </c>
      <c r="B316" t="s">
        <v>162</v>
      </c>
      <c r="C316">
        <v>4.7</v>
      </c>
      <c r="D316">
        <v>17323</v>
      </c>
      <c r="E316">
        <v>4</v>
      </c>
      <c r="F316">
        <v>2015</v>
      </c>
      <c r="G316" t="s">
        <v>8</v>
      </c>
    </row>
    <row r="317" spans="1:7" x14ac:dyDescent="0.25">
      <c r="A317" t="s">
        <v>175</v>
      </c>
      <c r="B317" t="s">
        <v>176</v>
      </c>
      <c r="C317">
        <v>4.8</v>
      </c>
      <c r="D317">
        <v>14038</v>
      </c>
      <c r="E317">
        <v>4</v>
      </c>
      <c r="F317">
        <v>2015</v>
      </c>
      <c r="G317" t="s">
        <v>10</v>
      </c>
    </row>
    <row r="318" spans="1:7" x14ac:dyDescent="0.25">
      <c r="A318" t="s">
        <v>181</v>
      </c>
      <c r="B318" t="s">
        <v>182</v>
      </c>
      <c r="C318">
        <v>3.6</v>
      </c>
      <c r="D318">
        <v>14982</v>
      </c>
      <c r="E318">
        <v>19</v>
      </c>
      <c r="F318">
        <v>2015</v>
      </c>
      <c r="G318" t="s">
        <v>10</v>
      </c>
    </row>
    <row r="319" spans="1:7" x14ac:dyDescent="0.25">
      <c r="A319" t="s">
        <v>199</v>
      </c>
      <c r="B319" t="s">
        <v>155</v>
      </c>
      <c r="C319">
        <v>4.4000000000000004</v>
      </c>
      <c r="D319">
        <v>25624</v>
      </c>
      <c r="E319">
        <v>14</v>
      </c>
      <c r="F319">
        <v>2015</v>
      </c>
      <c r="G319" t="s">
        <v>10</v>
      </c>
    </row>
    <row r="320" spans="1:7" x14ac:dyDescent="0.25">
      <c r="A320" t="s">
        <v>212</v>
      </c>
      <c r="B320" t="s">
        <v>213</v>
      </c>
      <c r="C320">
        <v>4.7</v>
      </c>
      <c r="D320">
        <v>3564</v>
      </c>
      <c r="E320">
        <v>9</v>
      </c>
      <c r="F320">
        <v>2015</v>
      </c>
      <c r="G320" t="s">
        <v>8</v>
      </c>
    </row>
    <row r="321" spans="1:7" x14ac:dyDescent="0.25">
      <c r="A321" t="s">
        <v>223</v>
      </c>
      <c r="B321" t="s">
        <v>224</v>
      </c>
      <c r="C321">
        <v>4.7</v>
      </c>
      <c r="D321">
        <v>25001</v>
      </c>
      <c r="E321">
        <v>11</v>
      </c>
      <c r="F321">
        <v>2015</v>
      </c>
      <c r="G321" t="s">
        <v>8</v>
      </c>
    </row>
    <row r="322" spans="1:7" x14ac:dyDescent="0.25">
      <c r="A322" t="s">
        <v>229</v>
      </c>
      <c r="B322" t="s">
        <v>228</v>
      </c>
      <c r="C322">
        <v>4.9000000000000004</v>
      </c>
      <c r="D322">
        <v>2812</v>
      </c>
      <c r="E322">
        <v>17</v>
      </c>
      <c r="F322">
        <v>2015</v>
      </c>
      <c r="G322" t="s">
        <v>8</v>
      </c>
    </row>
    <row r="323" spans="1:7" x14ac:dyDescent="0.25">
      <c r="A323" t="s">
        <v>250</v>
      </c>
      <c r="B323" t="s">
        <v>251</v>
      </c>
      <c r="C323">
        <v>4.9000000000000004</v>
      </c>
      <c r="D323">
        <v>19576</v>
      </c>
      <c r="E323">
        <v>8</v>
      </c>
      <c r="F323">
        <v>2015</v>
      </c>
      <c r="G323" t="s">
        <v>8</v>
      </c>
    </row>
    <row r="324" spans="1:7" x14ac:dyDescent="0.25">
      <c r="A324" t="s">
        <v>261</v>
      </c>
      <c r="B324" t="s">
        <v>257</v>
      </c>
      <c r="C324">
        <v>4.5999999999999996</v>
      </c>
      <c r="D324">
        <v>5235</v>
      </c>
      <c r="E324">
        <v>5</v>
      </c>
      <c r="F324">
        <v>2015</v>
      </c>
      <c r="G324" t="s">
        <v>8</v>
      </c>
    </row>
    <row r="325" spans="1:7" x14ac:dyDescent="0.25">
      <c r="A325" t="s">
        <v>265</v>
      </c>
      <c r="B325" t="s">
        <v>266</v>
      </c>
      <c r="C325">
        <v>4.5</v>
      </c>
      <c r="D325">
        <v>3673</v>
      </c>
      <c r="E325">
        <v>4</v>
      </c>
      <c r="F325">
        <v>2015</v>
      </c>
      <c r="G325" t="s">
        <v>8</v>
      </c>
    </row>
    <row r="326" spans="1:7" x14ac:dyDescent="0.25">
      <c r="A326" t="s">
        <v>269</v>
      </c>
      <c r="B326" t="s">
        <v>266</v>
      </c>
      <c r="C326">
        <v>4.5999999999999996</v>
      </c>
      <c r="D326">
        <v>6990</v>
      </c>
      <c r="E326">
        <v>4</v>
      </c>
      <c r="F326">
        <v>2015</v>
      </c>
      <c r="G326" t="s">
        <v>8</v>
      </c>
    </row>
    <row r="327" spans="1:7" x14ac:dyDescent="0.25">
      <c r="A327" t="s">
        <v>290</v>
      </c>
      <c r="B327" t="s">
        <v>291</v>
      </c>
      <c r="C327">
        <v>4.8</v>
      </c>
      <c r="D327">
        <v>18613</v>
      </c>
      <c r="E327">
        <v>5</v>
      </c>
      <c r="F327">
        <v>2015</v>
      </c>
      <c r="G327" t="s">
        <v>10</v>
      </c>
    </row>
    <row r="328" spans="1:7" x14ac:dyDescent="0.25">
      <c r="A328" t="s">
        <v>302</v>
      </c>
      <c r="B328" t="s">
        <v>303</v>
      </c>
      <c r="C328">
        <v>4.5999999999999996</v>
      </c>
      <c r="D328">
        <v>5542</v>
      </c>
      <c r="E328">
        <v>10</v>
      </c>
      <c r="F328">
        <v>2015</v>
      </c>
      <c r="G328" t="s">
        <v>8</v>
      </c>
    </row>
    <row r="329" spans="1:7" x14ac:dyDescent="0.25">
      <c r="A329" t="s">
        <v>316</v>
      </c>
      <c r="B329" t="s">
        <v>317</v>
      </c>
      <c r="C329">
        <v>4.9000000000000004</v>
      </c>
      <c r="D329">
        <v>21834</v>
      </c>
      <c r="E329">
        <v>8</v>
      </c>
      <c r="F329">
        <v>2015</v>
      </c>
      <c r="G329" t="s">
        <v>10</v>
      </c>
    </row>
    <row r="330" spans="1:7" x14ac:dyDescent="0.25">
      <c r="A330" t="s">
        <v>318</v>
      </c>
      <c r="B330" t="s">
        <v>78</v>
      </c>
      <c r="C330">
        <v>4.8</v>
      </c>
      <c r="D330">
        <v>6169</v>
      </c>
      <c r="E330">
        <v>7</v>
      </c>
      <c r="F330">
        <v>2015</v>
      </c>
      <c r="G330" t="s">
        <v>10</v>
      </c>
    </row>
    <row r="331" spans="1:7" x14ac:dyDescent="0.25">
      <c r="A331" t="s">
        <v>337</v>
      </c>
      <c r="B331" t="s">
        <v>338</v>
      </c>
      <c r="C331">
        <v>4.5</v>
      </c>
      <c r="D331">
        <v>8580</v>
      </c>
      <c r="E331">
        <v>46</v>
      </c>
      <c r="F331">
        <v>2015</v>
      </c>
      <c r="G331" t="s">
        <v>8</v>
      </c>
    </row>
    <row r="332" spans="1:7" x14ac:dyDescent="0.25">
      <c r="A332" t="s">
        <v>356</v>
      </c>
      <c r="B332" t="s">
        <v>147</v>
      </c>
      <c r="C332">
        <v>4.7</v>
      </c>
      <c r="D332">
        <v>9366</v>
      </c>
      <c r="E332">
        <v>9</v>
      </c>
      <c r="F332">
        <v>2015</v>
      </c>
      <c r="G332" t="s">
        <v>8</v>
      </c>
    </row>
    <row r="333" spans="1:7" x14ac:dyDescent="0.25">
      <c r="A333" t="s">
        <v>368</v>
      </c>
      <c r="B333" t="s">
        <v>369</v>
      </c>
      <c r="C333">
        <v>4</v>
      </c>
      <c r="D333">
        <v>5069</v>
      </c>
      <c r="E333">
        <v>17</v>
      </c>
      <c r="F333">
        <v>2015</v>
      </c>
      <c r="G333" t="s">
        <v>8</v>
      </c>
    </row>
    <row r="334" spans="1:7" x14ac:dyDescent="0.25">
      <c r="A334" t="s">
        <v>384</v>
      </c>
      <c r="B334" t="s">
        <v>383</v>
      </c>
      <c r="C334">
        <v>4.8</v>
      </c>
      <c r="D334">
        <v>25554</v>
      </c>
      <c r="E334">
        <v>8</v>
      </c>
      <c r="F334">
        <v>2015</v>
      </c>
      <c r="G334" t="s">
        <v>8</v>
      </c>
    </row>
    <row r="335" spans="1:7" x14ac:dyDescent="0.25">
      <c r="A335" t="s">
        <v>387</v>
      </c>
      <c r="B335" t="s">
        <v>388</v>
      </c>
      <c r="C335">
        <v>4.7</v>
      </c>
      <c r="D335">
        <v>4725</v>
      </c>
      <c r="E335">
        <v>16</v>
      </c>
      <c r="F335">
        <v>2015</v>
      </c>
      <c r="G335" t="s">
        <v>8</v>
      </c>
    </row>
    <row r="336" spans="1:7" x14ac:dyDescent="0.25">
      <c r="A336" t="s">
        <v>406</v>
      </c>
      <c r="B336" t="s">
        <v>407</v>
      </c>
      <c r="C336">
        <v>4.8</v>
      </c>
      <c r="D336">
        <v>8081</v>
      </c>
      <c r="E336">
        <v>8</v>
      </c>
      <c r="F336">
        <v>2015</v>
      </c>
      <c r="G336" t="s">
        <v>10</v>
      </c>
    </row>
    <row r="337" spans="1:7" x14ac:dyDescent="0.25">
      <c r="A337" t="s">
        <v>408</v>
      </c>
      <c r="B337" t="s">
        <v>409</v>
      </c>
      <c r="C337">
        <v>4.8</v>
      </c>
      <c r="D337">
        <v>23358</v>
      </c>
      <c r="E337">
        <v>12</v>
      </c>
      <c r="F337">
        <v>2015</v>
      </c>
      <c r="G337" t="s">
        <v>8</v>
      </c>
    </row>
    <row r="338" spans="1:7" x14ac:dyDescent="0.25">
      <c r="A338" t="s">
        <v>420</v>
      </c>
      <c r="B338" t="s">
        <v>421</v>
      </c>
      <c r="C338">
        <v>4.8</v>
      </c>
      <c r="D338">
        <v>8922</v>
      </c>
      <c r="E338">
        <v>9</v>
      </c>
      <c r="F338">
        <v>2015</v>
      </c>
      <c r="G338" t="s">
        <v>10</v>
      </c>
    </row>
    <row r="339" spans="1:7" x14ac:dyDescent="0.25">
      <c r="A339" t="s">
        <v>430</v>
      </c>
      <c r="B339" t="s">
        <v>431</v>
      </c>
      <c r="C339">
        <v>4.7</v>
      </c>
      <c r="D339">
        <v>23308</v>
      </c>
      <c r="E339">
        <v>6</v>
      </c>
      <c r="F339">
        <v>2015</v>
      </c>
      <c r="G339" t="s">
        <v>8</v>
      </c>
    </row>
    <row r="340" spans="1:7" x14ac:dyDescent="0.25">
      <c r="A340" t="s">
        <v>433</v>
      </c>
      <c r="B340" t="s">
        <v>434</v>
      </c>
      <c r="C340">
        <v>4.0999999999999996</v>
      </c>
      <c r="D340">
        <v>79446</v>
      </c>
      <c r="E340">
        <v>18</v>
      </c>
      <c r="F340">
        <v>2015</v>
      </c>
      <c r="G340" t="s">
        <v>10</v>
      </c>
    </row>
    <row r="341" spans="1:7" x14ac:dyDescent="0.25">
      <c r="A341" t="s">
        <v>472</v>
      </c>
      <c r="B341" t="s">
        <v>473</v>
      </c>
      <c r="C341">
        <v>4.5</v>
      </c>
      <c r="D341">
        <v>22641</v>
      </c>
      <c r="E341">
        <v>11</v>
      </c>
      <c r="F341">
        <v>2015</v>
      </c>
      <c r="G341" t="s">
        <v>8</v>
      </c>
    </row>
    <row r="342" spans="1:7" x14ac:dyDescent="0.25">
      <c r="A342" t="s">
        <v>482</v>
      </c>
      <c r="B342" t="s">
        <v>483</v>
      </c>
      <c r="C342">
        <v>4.7</v>
      </c>
      <c r="D342">
        <v>39459</v>
      </c>
      <c r="E342">
        <v>9</v>
      </c>
      <c r="F342">
        <v>2015</v>
      </c>
      <c r="G342" t="s">
        <v>10</v>
      </c>
    </row>
    <row r="343" spans="1:7" x14ac:dyDescent="0.25">
      <c r="A343" t="s">
        <v>489</v>
      </c>
      <c r="B343" t="s">
        <v>490</v>
      </c>
      <c r="C343">
        <v>4.8</v>
      </c>
      <c r="D343">
        <v>49288</v>
      </c>
      <c r="E343">
        <v>11</v>
      </c>
      <c r="F343">
        <v>2015</v>
      </c>
      <c r="G343" t="s">
        <v>10</v>
      </c>
    </row>
    <row r="344" spans="1:7" x14ac:dyDescent="0.25">
      <c r="A344" t="s">
        <v>498</v>
      </c>
      <c r="B344" t="s">
        <v>497</v>
      </c>
      <c r="C344">
        <v>4.8</v>
      </c>
      <c r="D344">
        <v>3428</v>
      </c>
      <c r="E344">
        <v>14</v>
      </c>
      <c r="F344">
        <v>2015</v>
      </c>
      <c r="G344" t="s">
        <v>8</v>
      </c>
    </row>
    <row r="345" spans="1:7" x14ac:dyDescent="0.25">
      <c r="A345" t="s">
        <v>533</v>
      </c>
      <c r="B345" t="s">
        <v>534</v>
      </c>
      <c r="C345">
        <v>4.9000000000000004</v>
      </c>
      <c r="D345">
        <v>19546</v>
      </c>
      <c r="E345">
        <v>5</v>
      </c>
      <c r="F345">
        <v>2015</v>
      </c>
      <c r="G345" t="s">
        <v>10</v>
      </c>
    </row>
    <row r="346" spans="1:7" x14ac:dyDescent="0.25">
      <c r="A346" t="s">
        <v>535</v>
      </c>
      <c r="B346" t="s">
        <v>536</v>
      </c>
      <c r="C346">
        <v>4.5999999999999996</v>
      </c>
      <c r="D346">
        <v>7508</v>
      </c>
      <c r="E346">
        <v>16</v>
      </c>
      <c r="F346">
        <v>2015</v>
      </c>
      <c r="G346" t="s">
        <v>8</v>
      </c>
    </row>
    <row r="347" spans="1:7" x14ac:dyDescent="0.25">
      <c r="A347" t="s">
        <v>541</v>
      </c>
      <c r="B347" t="s">
        <v>542</v>
      </c>
      <c r="C347">
        <v>4.7</v>
      </c>
      <c r="D347">
        <v>6169</v>
      </c>
      <c r="E347">
        <v>16</v>
      </c>
      <c r="F347">
        <v>2015</v>
      </c>
      <c r="G347" t="s">
        <v>8</v>
      </c>
    </row>
    <row r="348" spans="1:7" x14ac:dyDescent="0.25">
      <c r="A348" t="s">
        <v>553</v>
      </c>
      <c r="B348" t="s">
        <v>554</v>
      </c>
      <c r="C348">
        <v>4.5999999999999996</v>
      </c>
      <c r="D348">
        <v>11128</v>
      </c>
      <c r="E348">
        <v>23</v>
      </c>
      <c r="F348">
        <v>2015</v>
      </c>
      <c r="G348" t="s">
        <v>8</v>
      </c>
    </row>
    <row r="349" spans="1:7" x14ac:dyDescent="0.25">
      <c r="A349" t="s">
        <v>557</v>
      </c>
      <c r="B349" t="s">
        <v>182</v>
      </c>
      <c r="C349">
        <v>4.8</v>
      </c>
      <c r="D349">
        <v>26234</v>
      </c>
      <c r="E349">
        <v>0</v>
      </c>
      <c r="F349">
        <v>2015</v>
      </c>
      <c r="G349" t="s">
        <v>10</v>
      </c>
    </row>
    <row r="350" spans="1:7" x14ac:dyDescent="0.25">
      <c r="A350" t="s">
        <v>580</v>
      </c>
      <c r="B350" t="s">
        <v>317</v>
      </c>
      <c r="C350">
        <v>4.7</v>
      </c>
      <c r="D350">
        <v>1873</v>
      </c>
      <c r="E350">
        <v>14</v>
      </c>
      <c r="F350">
        <v>2015</v>
      </c>
      <c r="G350" t="s">
        <v>10</v>
      </c>
    </row>
    <row r="351" spans="1:7" x14ac:dyDescent="0.25">
      <c r="A351" t="s">
        <v>601</v>
      </c>
      <c r="B351" t="s">
        <v>602</v>
      </c>
      <c r="C351">
        <v>4.8</v>
      </c>
      <c r="D351">
        <v>21625</v>
      </c>
      <c r="E351">
        <v>9</v>
      </c>
      <c r="F351">
        <v>2015</v>
      </c>
      <c r="G351" t="s">
        <v>10</v>
      </c>
    </row>
    <row r="352" spans="1:7" x14ac:dyDescent="0.25">
      <c r="A352" t="s">
        <v>6</v>
      </c>
      <c r="B352" t="s">
        <v>7</v>
      </c>
      <c r="C352">
        <v>4.7</v>
      </c>
      <c r="D352">
        <v>17350</v>
      </c>
      <c r="E352">
        <v>8</v>
      </c>
      <c r="F352">
        <v>2016</v>
      </c>
      <c r="G352" t="s">
        <v>8</v>
      </c>
    </row>
    <row r="353" spans="1:7" x14ac:dyDescent="0.25">
      <c r="A353" t="s">
        <v>24</v>
      </c>
      <c r="B353" t="s">
        <v>25</v>
      </c>
      <c r="C353">
        <v>4.5999999999999996</v>
      </c>
      <c r="D353">
        <v>23848</v>
      </c>
      <c r="E353">
        <v>8</v>
      </c>
      <c r="F353">
        <v>2016</v>
      </c>
      <c r="G353" t="s">
        <v>10</v>
      </c>
    </row>
    <row r="354" spans="1:7" x14ac:dyDescent="0.25">
      <c r="A354" t="s">
        <v>34</v>
      </c>
      <c r="B354" t="s">
        <v>35</v>
      </c>
      <c r="C354">
        <v>4.5</v>
      </c>
      <c r="D354">
        <v>2313</v>
      </c>
      <c r="E354">
        <v>4</v>
      </c>
      <c r="F354">
        <v>2016</v>
      </c>
      <c r="G354" t="s">
        <v>8</v>
      </c>
    </row>
    <row r="355" spans="1:7" x14ac:dyDescent="0.25">
      <c r="A355" t="s">
        <v>41</v>
      </c>
      <c r="B355" t="s">
        <v>42</v>
      </c>
      <c r="C355">
        <v>4.8</v>
      </c>
      <c r="D355">
        <v>9198</v>
      </c>
      <c r="E355">
        <v>13</v>
      </c>
      <c r="F355">
        <v>2016</v>
      </c>
      <c r="G355" t="s">
        <v>8</v>
      </c>
    </row>
    <row r="356" spans="1:7" x14ac:dyDescent="0.25">
      <c r="A356" t="s">
        <v>68</v>
      </c>
      <c r="B356" t="s">
        <v>69</v>
      </c>
      <c r="C356">
        <v>4.7</v>
      </c>
      <c r="D356">
        <v>10070</v>
      </c>
      <c r="E356">
        <v>13</v>
      </c>
      <c r="F356">
        <v>2016</v>
      </c>
      <c r="G356" t="s">
        <v>8</v>
      </c>
    </row>
    <row r="357" spans="1:7" x14ac:dyDescent="0.25">
      <c r="A357" t="s">
        <v>70</v>
      </c>
      <c r="B357" t="s">
        <v>71</v>
      </c>
      <c r="C357">
        <v>4.7</v>
      </c>
      <c r="D357">
        <v>3729</v>
      </c>
      <c r="E357">
        <v>18</v>
      </c>
      <c r="F357">
        <v>2016</v>
      </c>
      <c r="G357" t="s">
        <v>8</v>
      </c>
    </row>
    <row r="358" spans="1:7" x14ac:dyDescent="0.25">
      <c r="A358" t="s">
        <v>79</v>
      </c>
      <c r="B358" t="s">
        <v>80</v>
      </c>
      <c r="C358">
        <v>4.5999999999999996</v>
      </c>
      <c r="D358">
        <v>10369</v>
      </c>
      <c r="E358">
        <v>4</v>
      </c>
      <c r="F358">
        <v>2016</v>
      </c>
      <c r="G358" t="s">
        <v>8</v>
      </c>
    </row>
    <row r="359" spans="1:7" x14ac:dyDescent="0.25">
      <c r="A359" t="s">
        <v>87</v>
      </c>
      <c r="B359" t="s">
        <v>88</v>
      </c>
      <c r="C359">
        <v>4.7</v>
      </c>
      <c r="D359">
        <v>4761</v>
      </c>
      <c r="E359">
        <v>16</v>
      </c>
      <c r="F359">
        <v>2016</v>
      </c>
      <c r="G359" t="s">
        <v>8</v>
      </c>
    </row>
    <row r="360" spans="1:7" x14ac:dyDescent="0.25">
      <c r="A360" t="s">
        <v>106</v>
      </c>
      <c r="B360" t="s">
        <v>107</v>
      </c>
      <c r="C360">
        <v>4.8</v>
      </c>
      <c r="D360">
        <v>10922</v>
      </c>
      <c r="E360">
        <v>5</v>
      </c>
      <c r="F360">
        <v>2016</v>
      </c>
      <c r="G360" t="s">
        <v>10</v>
      </c>
    </row>
    <row r="361" spans="1:7" x14ac:dyDescent="0.25">
      <c r="A361" t="s">
        <v>132</v>
      </c>
      <c r="B361" t="s">
        <v>78</v>
      </c>
      <c r="C361">
        <v>4.8</v>
      </c>
      <c r="D361">
        <v>5118</v>
      </c>
      <c r="E361">
        <v>20</v>
      </c>
      <c r="F361">
        <v>2016</v>
      </c>
      <c r="G361" t="s">
        <v>10</v>
      </c>
    </row>
    <row r="362" spans="1:7" x14ac:dyDescent="0.25">
      <c r="A362" t="s">
        <v>148</v>
      </c>
      <c r="B362" t="s">
        <v>149</v>
      </c>
      <c r="C362">
        <v>4.5999999999999996</v>
      </c>
      <c r="D362">
        <v>10721</v>
      </c>
      <c r="E362">
        <v>8</v>
      </c>
      <c r="F362">
        <v>2016</v>
      </c>
      <c r="G362" t="s">
        <v>10</v>
      </c>
    </row>
    <row r="363" spans="1:7" x14ac:dyDescent="0.25">
      <c r="A363" t="s">
        <v>150</v>
      </c>
      <c r="B363" t="s">
        <v>151</v>
      </c>
      <c r="C363">
        <v>4.7</v>
      </c>
      <c r="D363">
        <v>4370</v>
      </c>
      <c r="E363">
        <v>15</v>
      </c>
      <c r="F363">
        <v>2016</v>
      </c>
      <c r="G363" t="s">
        <v>10</v>
      </c>
    </row>
    <row r="364" spans="1:7" x14ac:dyDescent="0.25">
      <c r="A364" t="s">
        <v>161</v>
      </c>
      <c r="B364" t="s">
        <v>162</v>
      </c>
      <c r="C364">
        <v>4.7</v>
      </c>
      <c r="D364">
        <v>17323</v>
      </c>
      <c r="E364">
        <v>4</v>
      </c>
      <c r="F364">
        <v>2016</v>
      </c>
      <c r="G364" t="s">
        <v>8</v>
      </c>
    </row>
    <row r="365" spans="1:7" x14ac:dyDescent="0.25">
      <c r="A365" t="s">
        <v>175</v>
      </c>
      <c r="B365" t="s">
        <v>176</v>
      </c>
      <c r="C365">
        <v>4.8</v>
      </c>
      <c r="D365">
        <v>14038</v>
      </c>
      <c r="E365">
        <v>4</v>
      </c>
      <c r="F365">
        <v>2016</v>
      </c>
      <c r="G365" t="s">
        <v>10</v>
      </c>
    </row>
    <row r="366" spans="1:7" x14ac:dyDescent="0.25">
      <c r="A366" t="s">
        <v>202</v>
      </c>
      <c r="B366" t="s">
        <v>203</v>
      </c>
      <c r="C366">
        <v>4.9000000000000004</v>
      </c>
      <c r="D366">
        <v>5867</v>
      </c>
      <c r="E366">
        <v>54</v>
      </c>
      <c r="F366">
        <v>2016</v>
      </c>
      <c r="G366" t="s">
        <v>8</v>
      </c>
    </row>
    <row r="367" spans="1:7" x14ac:dyDescent="0.25">
      <c r="A367" t="s">
        <v>206</v>
      </c>
      <c r="B367" t="s">
        <v>151</v>
      </c>
      <c r="C367">
        <v>4.9000000000000004</v>
      </c>
      <c r="D367">
        <v>19622</v>
      </c>
      <c r="E367">
        <v>30</v>
      </c>
      <c r="F367">
        <v>2016</v>
      </c>
      <c r="G367" t="s">
        <v>10</v>
      </c>
    </row>
    <row r="368" spans="1:7" x14ac:dyDescent="0.25">
      <c r="A368" t="s">
        <v>207</v>
      </c>
      <c r="B368" t="s">
        <v>151</v>
      </c>
      <c r="C368">
        <v>4</v>
      </c>
      <c r="D368">
        <v>23973</v>
      </c>
      <c r="E368">
        <v>12</v>
      </c>
      <c r="F368">
        <v>2016</v>
      </c>
      <c r="G368" t="s">
        <v>10</v>
      </c>
    </row>
    <row r="369" spans="1:7" x14ac:dyDescent="0.25">
      <c r="A369" t="s">
        <v>211</v>
      </c>
      <c r="B369" t="s">
        <v>151</v>
      </c>
      <c r="C369">
        <v>4.9000000000000004</v>
      </c>
      <c r="D369">
        <v>10052</v>
      </c>
      <c r="E369">
        <v>22</v>
      </c>
      <c r="F369">
        <v>2016</v>
      </c>
      <c r="G369" t="s">
        <v>10</v>
      </c>
    </row>
    <row r="370" spans="1:7" x14ac:dyDescent="0.25">
      <c r="A370" t="s">
        <v>214</v>
      </c>
      <c r="B370" t="s">
        <v>209</v>
      </c>
      <c r="C370">
        <v>4.8</v>
      </c>
      <c r="D370">
        <v>13471</v>
      </c>
      <c r="E370">
        <v>52</v>
      </c>
      <c r="F370">
        <v>2016</v>
      </c>
      <c r="G370" t="s">
        <v>10</v>
      </c>
    </row>
    <row r="371" spans="1:7" x14ac:dyDescent="0.25">
      <c r="A371" t="s">
        <v>219</v>
      </c>
      <c r="B371" t="s">
        <v>220</v>
      </c>
      <c r="C371">
        <v>4.4000000000000004</v>
      </c>
      <c r="D371">
        <v>15526</v>
      </c>
      <c r="E371">
        <v>14</v>
      </c>
      <c r="F371">
        <v>2016</v>
      </c>
      <c r="G371" t="s">
        <v>8</v>
      </c>
    </row>
    <row r="372" spans="1:7" x14ac:dyDescent="0.25">
      <c r="A372" t="s">
        <v>223</v>
      </c>
      <c r="B372" t="s">
        <v>224</v>
      </c>
      <c r="C372">
        <v>4.7</v>
      </c>
      <c r="D372">
        <v>25001</v>
      </c>
      <c r="E372">
        <v>11</v>
      </c>
      <c r="F372">
        <v>2016</v>
      </c>
      <c r="G372" t="s">
        <v>8</v>
      </c>
    </row>
    <row r="373" spans="1:7" x14ac:dyDescent="0.25">
      <c r="A373" t="s">
        <v>250</v>
      </c>
      <c r="B373" t="s">
        <v>251</v>
      </c>
      <c r="C373">
        <v>4.9000000000000004</v>
      </c>
      <c r="D373">
        <v>19576</v>
      </c>
      <c r="E373">
        <v>8</v>
      </c>
      <c r="F373">
        <v>2016</v>
      </c>
      <c r="G373" t="s">
        <v>8</v>
      </c>
    </row>
    <row r="374" spans="1:7" x14ac:dyDescent="0.25">
      <c r="A374" t="s">
        <v>262</v>
      </c>
      <c r="B374" t="s">
        <v>257</v>
      </c>
      <c r="C374">
        <v>4.8</v>
      </c>
      <c r="D374">
        <v>8916</v>
      </c>
      <c r="E374">
        <v>6</v>
      </c>
      <c r="F374">
        <v>2016</v>
      </c>
      <c r="G374" t="s">
        <v>8</v>
      </c>
    </row>
    <row r="375" spans="1:7" x14ac:dyDescent="0.25">
      <c r="A375" t="s">
        <v>269</v>
      </c>
      <c r="B375" t="s">
        <v>266</v>
      </c>
      <c r="C375">
        <v>4.5999999999999996</v>
      </c>
      <c r="D375">
        <v>6990</v>
      </c>
      <c r="E375">
        <v>4</v>
      </c>
      <c r="F375">
        <v>2016</v>
      </c>
      <c r="G375" t="s">
        <v>8</v>
      </c>
    </row>
    <row r="376" spans="1:7" x14ac:dyDescent="0.25">
      <c r="A376" t="s">
        <v>298</v>
      </c>
      <c r="B376" t="s">
        <v>299</v>
      </c>
      <c r="C376">
        <v>4.7</v>
      </c>
      <c r="D376">
        <v>17739</v>
      </c>
      <c r="E376">
        <v>8</v>
      </c>
      <c r="F376">
        <v>2016</v>
      </c>
      <c r="G376" t="s">
        <v>8</v>
      </c>
    </row>
    <row r="377" spans="1:7" x14ac:dyDescent="0.25">
      <c r="A377" t="s">
        <v>302</v>
      </c>
      <c r="B377" t="s">
        <v>303</v>
      </c>
      <c r="C377">
        <v>4.5999999999999996</v>
      </c>
      <c r="D377">
        <v>5542</v>
      </c>
      <c r="E377">
        <v>10</v>
      </c>
      <c r="F377">
        <v>2016</v>
      </c>
      <c r="G377" t="s">
        <v>8</v>
      </c>
    </row>
    <row r="378" spans="1:7" x14ac:dyDescent="0.25">
      <c r="A378" t="s">
        <v>310</v>
      </c>
      <c r="B378" t="s">
        <v>311</v>
      </c>
      <c r="C378">
        <v>4.7</v>
      </c>
      <c r="D378">
        <v>5178</v>
      </c>
      <c r="E378">
        <v>9</v>
      </c>
      <c r="F378">
        <v>2016</v>
      </c>
      <c r="G378" t="s">
        <v>8</v>
      </c>
    </row>
    <row r="379" spans="1:7" x14ac:dyDescent="0.25">
      <c r="A379" t="s">
        <v>316</v>
      </c>
      <c r="B379" t="s">
        <v>317</v>
      </c>
      <c r="C379">
        <v>4.9000000000000004</v>
      </c>
      <c r="D379">
        <v>21834</v>
      </c>
      <c r="E379">
        <v>8</v>
      </c>
      <c r="F379">
        <v>2016</v>
      </c>
      <c r="G379" t="s">
        <v>10</v>
      </c>
    </row>
    <row r="380" spans="1:7" x14ac:dyDescent="0.25">
      <c r="A380" t="s">
        <v>334</v>
      </c>
      <c r="B380" t="s">
        <v>213</v>
      </c>
      <c r="C380">
        <v>4.7</v>
      </c>
      <c r="D380">
        <v>3503</v>
      </c>
      <c r="E380">
        <v>9</v>
      </c>
      <c r="F380">
        <v>2016</v>
      </c>
      <c r="G380" t="s">
        <v>10</v>
      </c>
    </row>
    <row r="381" spans="1:7" x14ac:dyDescent="0.25">
      <c r="A381" t="s">
        <v>337</v>
      </c>
      <c r="B381" t="s">
        <v>338</v>
      </c>
      <c r="C381">
        <v>4.5</v>
      </c>
      <c r="D381">
        <v>8580</v>
      </c>
      <c r="E381">
        <v>46</v>
      </c>
      <c r="F381">
        <v>2016</v>
      </c>
      <c r="G381" t="s">
        <v>8</v>
      </c>
    </row>
    <row r="382" spans="1:7" x14ac:dyDescent="0.25">
      <c r="A382" t="s">
        <v>368</v>
      </c>
      <c r="B382" t="s">
        <v>369</v>
      </c>
      <c r="C382">
        <v>4</v>
      </c>
      <c r="D382">
        <v>5069</v>
      </c>
      <c r="E382">
        <v>17</v>
      </c>
      <c r="F382">
        <v>2016</v>
      </c>
      <c r="G382" t="s">
        <v>8</v>
      </c>
    </row>
    <row r="383" spans="1:7" x14ac:dyDescent="0.25">
      <c r="A383" t="s">
        <v>384</v>
      </c>
      <c r="B383" t="s">
        <v>383</v>
      </c>
      <c r="C383">
        <v>4.8</v>
      </c>
      <c r="D383">
        <v>25554</v>
      </c>
      <c r="E383">
        <v>8</v>
      </c>
      <c r="F383">
        <v>2016</v>
      </c>
      <c r="G383" t="s">
        <v>8</v>
      </c>
    </row>
    <row r="384" spans="1:7" x14ac:dyDescent="0.25">
      <c r="A384" t="s">
        <v>387</v>
      </c>
      <c r="B384" t="s">
        <v>388</v>
      </c>
      <c r="C384">
        <v>4.7</v>
      </c>
      <c r="D384">
        <v>4725</v>
      </c>
      <c r="E384">
        <v>16</v>
      </c>
      <c r="F384">
        <v>2016</v>
      </c>
      <c r="G384" t="s">
        <v>8</v>
      </c>
    </row>
    <row r="385" spans="1:7" x14ac:dyDescent="0.25">
      <c r="A385" t="s">
        <v>416</v>
      </c>
      <c r="B385" t="s">
        <v>417</v>
      </c>
      <c r="C385">
        <v>4.8</v>
      </c>
      <c r="D385">
        <v>2774</v>
      </c>
      <c r="E385">
        <v>0</v>
      </c>
      <c r="F385">
        <v>2016</v>
      </c>
      <c r="G385" t="s">
        <v>8</v>
      </c>
    </row>
    <row r="386" spans="1:7" x14ac:dyDescent="0.25">
      <c r="A386" t="s">
        <v>430</v>
      </c>
      <c r="B386" t="s">
        <v>431</v>
      </c>
      <c r="C386">
        <v>4.7</v>
      </c>
      <c r="D386">
        <v>23308</v>
      </c>
      <c r="E386">
        <v>6</v>
      </c>
      <c r="F386">
        <v>2016</v>
      </c>
      <c r="G386" t="s">
        <v>8</v>
      </c>
    </row>
    <row r="387" spans="1:7" x14ac:dyDescent="0.25">
      <c r="A387" t="s">
        <v>433</v>
      </c>
      <c r="B387" t="s">
        <v>434</v>
      </c>
      <c r="C387">
        <v>4.0999999999999996</v>
      </c>
      <c r="D387">
        <v>79446</v>
      </c>
      <c r="E387">
        <v>7</v>
      </c>
      <c r="F387">
        <v>2016</v>
      </c>
      <c r="G387" t="s">
        <v>10</v>
      </c>
    </row>
    <row r="388" spans="1:7" x14ac:dyDescent="0.25">
      <c r="A388" t="s">
        <v>440</v>
      </c>
      <c r="B388" t="s">
        <v>441</v>
      </c>
      <c r="C388">
        <v>4.8</v>
      </c>
      <c r="D388">
        <v>5249</v>
      </c>
      <c r="E388">
        <v>5</v>
      </c>
      <c r="F388">
        <v>2016</v>
      </c>
      <c r="G388" t="s">
        <v>10</v>
      </c>
    </row>
    <row r="389" spans="1:7" x14ac:dyDescent="0.25">
      <c r="A389" t="s">
        <v>472</v>
      </c>
      <c r="B389" t="s">
        <v>473</v>
      </c>
      <c r="C389">
        <v>4.5</v>
      </c>
      <c r="D389">
        <v>22641</v>
      </c>
      <c r="E389">
        <v>11</v>
      </c>
      <c r="F389">
        <v>2016</v>
      </c>
      <c r="G389" t="s">
        <v>8</v>
      </c>
    </row>
    <row r="390" spans="1:7" x14ac:dyDescent="0.25">
      <c r="A390" t="s">
        <v>479</v>
      </c>
      <c r="B390" t="s">
        <v>480</v>
      </c>
      <c r="C390">
        <v>4.9000000000000004</v>
      </c>
      <c r="D390">
        <v>7861</v>
      </c>
      <c r="E390">
        <v>5</v>
      </c>
      <c r="F390">
        <v>2016</v>
      </c>
      <c r="G390" t="s">
        <v>8</v>
      </c>
    </row>
    <row r="391" spans="1:7" x14ac:dyDescent="0.25">
      <c r="A391" t="s">
        <v>489</v>
      </c>
      <c r="B391" t="s">
        <v>490</v>
      </c>
      <c r="C391">
        <v>4.8</v>
      </c>
      <c r="D391">
        <v>49288</v>
      </c>
      <c r="E391">
        <v>11</v>
      </c>
      <c r="F391">
        <v>2016</v>
      </c>
      <c r="G391" t="s">
        <v>10</v>
      </c>
    </row>
    <row r="392" spans="1:7" x14ac:dyDescent="0.25">
      <c r="A392" t="s">
        <v>493</v>
      </c>
      <c r="B392" t="s">
        <v>492</v>
      </c>
      <c r="C392">
        <v>4.3</v>
      </c>
      <c r="D392">
        <v>807</v>
      </c>
      <c r="E392">
        <v>36</v>
      </c>
      <c r="F392">
        <v>2016</v>
      </c>
      <c r="G392" t="s">
        <v>8</v>
      </c>
    </row>
    <row r="393" spans="1:7" x14ac:dyDescent="0.25">
      <c r="A393" t="s">
        <v>533</v>
      </c>
      <c r="B393" t="s">
        <v>534</v>
      </c>
      <c r="C393">
        <v>4.9000000000000004</v>
      </c>
      <c r="D393">
        <v>19546</v>
      </c>
      <c r="E393">
        <v>5</v>
      </c>
      <c r="F393">
        <v>2016</v>
      </c>
      <c r="G393" t="s">
        <v>10</v>
      </c>
    </row>
    <row r="394" spans="1:7" x14ac:dyDescent="0.25">
      <c r="A394" t="s">
        <v>535</v>
      </c>
      <c r="B394" t="s">
        <v>536</v>
      </c>
      <c r="C394">
        <v>4.5999999999999996</v>
      </c>
      <c r="D394">
        <v>7508</v>
      </c>
      <c r="E394">
        <v>16</v>
      </c>
      <c r="F394">
        <v>2016</v>
      </c>
      <c r="G394" t="s">
        <v>8</v>
      </c>
    </row>
    <row r="395" spans="1:7" x14ac:dyDescent="0.25">
      <c r="A395" t="s">
        <v>537</v>
      </c>
      <c r="B395" t="s">
        <v>538</v>
      </c>
      <c r="C395">
        <v>4.9000000000000004</v>
      </c>
      <c r="D395">
        <v>8842</v>
      </c>
      <c r="E395">
        <v>10</v>
      </c>
      <c r="F395">
        <v>2016</v>
      </c>
      <c r="G395" t="s">
        <v>10</v>
      </c>
    </row>
    <row r="396" spans="1:7" x14ac:dyDescent="0.25">
      <c r="A396" t="s">
        <v>553</v>
      </c>
      <c r="B396" t="s">
        <v>554</v>
      </c>
      <c r="C396">
        <v>4.5999999999999996</v>
      </c>
      <c r="D396">
        <v>11128</v>
      </c>
      <c r="E396">
        <v>23</v>
      </c>
      <c r="F396">
        <v>2016</v>
      </c>
      <c r="G396" t="s">
        <v>8</v>
      </c>
    </row>
    <row r="397" spans="1:7" x14ac:dyDescent="0.25">
      <c r="A397" t="s">
        <v>557</v>
      </c>
      <c r="B397" t="s">
        <v>182</v>
      </c>
      <c r="C397">
        <v>4.8</v>
      </c>
      <c r="D397">
        <v>26234</v>
      </c>
      <c r="E397">
        <v>0</v>
      </c>
      <c r="F397">
        <v>2016</v>
      </c>
      <c r="G397" t="s">
        <v>10</v>
      </c>
    </row>
    <row r="398" spans="1:7" x14ac:dyDescent="0.25">
      <c r="A398" t="s">
        <v>571</v>
      </c>
      <c r="B398" t="s">
        <v>249</v>
      </c>
      <c r="C398">
        <v>4.7</v>
      </c>
      <c r="D398">
        <v>4585</v>
      </c>
      <c r="E398">
        <v>9</v>
      </c>
      <c r="F398">
        <v>2016</v>
      </c>
      <c r="G398" t="s">
        <v>8</v>
      </c>
    </row>
    <row r="399" spans="1:7" x14ac:dyDescent="0.25">
      <c r="A399" t="s">
        <v>587</v>
      </c>
      <c r="B399" t="s">
        <v>588</v>
      </c>
      <c r="C399">
        <v>4.8</v>
      </c>
      <c r="D399">
        <v>13779</v>
      </c>
      <c r="E399">
        <v>14</v>
      </c>
      <c r="F399">
        <v>2016</v>
      </c>
      <c r="G399" t="s">
        <v>8</v>
      </c>
    </row>
    <row r="400" spans="1:7" x14ac:dyDescent="0.25">
      <c r="A400" t="s">
        <v>601</v>
      </c>
      <c r="B400" t="s">
        <v>602</v>
      </c>
      <c r="C400">
        <v>4.8</v>
      </c>
      <c r="D400">
        <v>21625</v>
      </c>
      <c r="E400">
        <v>9</v>
      </c>
      <c r="F400">
        <v>2016</v>
      </c>
      <c r="G400" t="s">
        <v>10</v>
      </c>
    </row>
    <row r="401" spans="1:7" x14ac:dyDescent="0.25">
      <c r="A401" t="s">
        <v>604</v>
      </c>
      <c r="B401" t="s">
        <v>605</v>
      </c>
      <c r="C401">
        <v>4.7</v>
      </c>
      <c r="D401">
        <v>14331</v>
      </c>
      <c r="E401">
        <v>8</v>
      </c>
      <c r="F401">
        <v>2016</v>
      </c>
      <c r="G401" t="s">
        <v>8</v>
      </c>
    </row>
    <row r="402" spans="1:7" x14ac:dyDescent="0.25">
      <c r="A402" t="s">
        <v>13</v>
      </c>
      <c r="B402" t="s">
        <v>14</v>
      </c>
      <c r="C402">
        <v>4.7</v>
      </c>
      <c r="D402">
        <v>21424</v>
      </c>
      <c r="E402">
        <v>6</v>
      </c>
      <c r="F402">
        <v>2017</v>
      </c>
      <c r="G402" t="s">
        <v>10</v>
      </c>
    </row>
    <row r="403" spans="1:7" x14ac:dyDescent="0.25">
      <c r="A403" t="s">
        <v>20</v>
      </c>
      <c r="B403" t="s">
        <v>21</v>
      </c>
      <c r="C403">
        <v>4.7</v>
      </c>
      <c r="D403">
        <v>19699</v>
      </c>
      <c r="E403">
        <v>15</v>
      </c>
      <c r="F403">
        <v>2017</v>
      </c>
      <c r="G403" t="s">
        <v>10</v>
      </c>
    </row>
    <row r="404" spans="1:7" x14ac:dyDescent="0.25">
      <c r="A404" t="s">
        <v>24</v>
      </c>
      <c r="B404" t="s">
        <v>25</v>
      </c>
      <c r="C404">
        <v>4.5999999999999996</v>
      </c>
      <c r="D404">
        <v>23848</v>
      </c>
      <c r="E404">
        <v>8</v>
      </c>
      <c r="F404">
        <v>2017</v>
      </c>
      <c r="G404" t="s">
        <v>10</v>
      </c>
    </row>
    <row r="405" spans="1:7" x14ac:dyDescent="0.25">
      <c r="A405" t="s">
        <v>53</v>
      </c>
      <c r="B405" t="s">
        <v>54</v>
      </c>
      <c r="C405">
        <v>4.7</v>
      </c>
      <c r="D405">
        <v>9374</v>
      </c>
      <c r="E405">
        <v>9</v>
      </c>
      <c r="F405">
        <v>2017</v>
      </c>
      <c r="G405" t="s">
        <v>8</v>
      </c>
    </row>
    <row r="406" spans="1:7" x14ac:dyDescent="0.25">
      <c r="A406" t="s">
        <v>75</v>
      </c>
      <c r="B406" t="s">
        <v>76</v>
      </c>
      <c r="C406">
        <v>4.9000000000000004</v>
      </c>
      <c r="D406">
        <v>14344</v>
      </c>
      <c r="E406">
        <v>5</v>
      </c>
      <c r="F406">
        <v>2017</v>
      </c>
      <c r="G406" t="s">
        <v>10</v>
      </c>
    </row>
    <row r="407" spans="1:7" x14ac:dyDescent="0.25">
      <c r="A407" t="s">
        <v>106</v>
      </c>
      <c r="B407" t="s">
        <v>107</v>
      </c>
      <c r="C407">
        <v>4.8</v>
      </c>
      <c r="D407">
        <v>10922</v>
      </c>
      <c r="E407">
        <v>5</v>
      </c>
      <c r="F407">
        <v>2017</v>
      </c>
      <c r="G407" t="s">
        <v>10</v>
      </c>
    </row>
    <row r="408" spans="1:7" x14ac:dyDescent="0.25">
      <c r="A408" t="s">
        <v>127</v>
      </c>
      <c r="B408" t="s">
        <v>126</v>
      </c>
      <c r="C408">
        <v>4.9000000000000004</v>
      </c>
      <c r="D408">
        <v>4786</v>
      </c>
      <c r="E408">
        <v>8</v>
      </c>
      <c r="F408">
        <v>2017</v>
      </c>
      <c r="G408" t="s">
        <v>10</v>
      </c>
    </row>
    <row r="409" spans="1:7" x14ac:dyDescent="0.25">
      <c r="A409" t="s">
        <v>161</v>
      </c>
      <c r="B409" t="s">
        <v>162</v>
      </c>
      <c r="C409">
        <v>4.7</v>
      </c>
      <c r="D409">
        <v>17323</v>
      </c>
      <c r="E409">
        <v>4</v>
      </c>
      <c r="F409">
        <v>2017</v>
      </c>
      <c r="G409" t="s">
        <v>8</v>
      </c>
    </row>
    <row r="410" spans="1:7" x14ac:dyDescent="0.25">
      <c r="A410" t="s">
        <v>175</v>
      </c>
      <c r="B410" t="s">
        <v>176</v>
      </c>
      <c r="C410">
        <v>4.8</v>
      </c>
      <c r="D410">
        <v>14038</v>
      </c>
      <c r="E410">
        <v>4</v>
      </c>
      <c r="F410">
        <v>2017</v>
      </c>
      <c r="G410" t="s">
        <v>10</v>
      </c>
    </row>
    <row r="411" spans="1:7" x14ac:dyDescent="0.25">
      <c r="A411" t="s">
        <v>193</v>
      </c>
      <c r="B411" t="s">
        <v>194</v>
      </c>
      <c r="C411">
        <v>4.8</v>
      </c>
      <c r="D411">
        <v>8837</v>
      </c>
      <c r="E411">
        <v>5</v>
      </c>
      <c r="F411">
        <v>2017</v>
      </c>
      <c r="G411" t="s">
        <v>10</v>
      </c>
    </row>
    <row r="412" spans="1:7" x14ac:dyDescent="0.25">
      <c r="A412" t="s">
        <v>210</v>
      </c>
      <c r="B412" t="s">
        <v>151</v>
      </c>
      <c r="C412">
        <v>4.9000000000000004</v>
      </c>
      <c r="D412">
        <v>3146</v>
      </c>
      <c r="E412">
        <v>30</v>
      </c>
      <c r="F412">
        <v>2017</v>
      </c>
      <c r="G412" t="s">
        <v>10</v>
      </c>
    </row>
    <row r="413" spans="1:7" x14ac:dyDescent="0.25">
      <c r="A413" t="s">
        <v>219</v>
      </c>
      <c r="B413" t="s">
        <v>220</v>
      </c>
      <c r="C413">
        <v>4.4000000000000004</v>
      </c>
      <c r="D413">
        <v>15526</v>
      </c>
      <c r="E413">
        <v>14</v>
      </c>
      <c r="F413">
        <v>2017</v>
      </c>
      <c r="G413" t="s">
        <v>8</v>
      </c>
    </row>
    <row r="414" spans="1:7" x14ac:dyDescent="0.25">
      <c r="A414" t="s">
        <v>223</v>
      </c>
      <c r="B414" t="s">
        <v>224</v>
      </c>
      <c r="C414">
        <v>4.7</v>
      </c>
      <c r="D414">
        <v>25001</v>
      </c>
      <c r="E414">
        <v>11</v>
      </c>
      <c r="F414">
        <v>2017</v>
      </c>
      <c r="G414" t="s">
        <v>8</v>
      </c>
    </row>
    <row r="415" spans="1:7" x14ac:dyDescent="0.25">
      <c r="A415" t="s">
        <v>236</v>
      </c>
      <c r="B415" t="s">
        <v>237</v>
      </c>
      <c r="C415">
        <v>4.8</v>
      </c>
      <c r="D415">
        <v>16643</v>
      </c>
      <c r="E415">
        <v>4</v>
      </c>
      <c r="F415">
        <v>2017</v>
      </c>
      <c r="G415" t="s">
        <v>10</v>
      </c>
    </row>
    <row r="416" spans="1:7" x14ac:dyDescent="0.25">
      <c r="A416" t="s">
        <v>254</v>
      </c>
      <c r="B416" t="s">
        <v>255</v>
      </c>
      <c r="C416">
        <v>4.5999999999999996</v>
      </c>
      <c r="D416">
        <v>8393</v>
      </c>
      <c r="E416">
        <v>17</v>
      </c>
      <c r="F416">
        <v>2017</v>
      </c>
      <c r="G416" t="s">
        <v>8</v>
      </c>
    </row>
    <row r="417" spans="1:7" x14ac:dyDescent="0.25">
      <c r="A417" t="s">
        <v>269</v>
      </c>
      <c r="B417" t="s">
        <v>266</v>
      </c>
      <c r="C417">
        <v>4.5999999999999996</v>
      </c>
      <c r="D417">
        <v>6990</v>
      </c>
      <c r="E417">
        <v>4</v>
      </c>
      <c r="F417">
        <v>2017</v>
      </c>
      <c r="G417" t="s">
        <v>8</v>
      </c>
    </row>
    <row r="418" spans="1:7" x14ac:dyDescent="0.25">
      <c r="A418" t="s">
        <v>272</v>
      </c>
      <c r="B418" t="s">
        <v>273</v>
      </c>
      <c r="C418">
        <v>4.5</v>
      </c>
      <c r="D418">
        <v>3014</v>
      </c>
      <c r="E418">
        <v>21</v>
      </c>
      <c r="F418">
        <v>2017</v>
      </c>
      <c r="G418" t="s">
        <v>8</v>
      </c>
    </row>
    <row r="419" spans="1:7" x14ac:dyDescent="0.25">
      <c r="A419" t="s">
        <v>294</v>
      </c>
      <c r="B419" t="s">
        <v>295</v>
      </c>
      <c r="C419">
        <v>4.7</v>
      </c>
      <c r="D419">
        <v>10199</v>
      </c>
      <c r="E419">
        <v>11</v>
      </c>
      <c r="F419">
        <v>2017</v>
      </c>
      <c r="G419" t="s">
        <v>8</v>
      </c>
    </row>
    <row r="420" spans="1:7" x14ac:dyDescent="0.25">
      <c r="A420" t="s">
        <v>298</v>
      </c>
      <c r="B420" t="s">
        <v>299</v>
      </c>
      <c r="C420">
        <v>4.7</v>
      </c>
      <c r="D420">
        <v>17739</v>
      </c>
      <c r="E420">
        <v>8</v>
      </c>
      <c r="F420">
        <v>2017</v>
      </c>
      <c r="G420" t="s">
        <v>8</v>
      </c>
    </row>
    <row r="421" spans="1:7" x14ac:dyDescent="0.25">
      <c r="A421" t="s">
        <v>300</v>
      </c>
      <c r="B421" t="s">
        <v>301</v>
      </c>
      <c r="C421">
        <v>4.4000000000000004</v>
      </c>
      <c r="D421">
        <v>3113</v>
      </c>
      <c r="E421">
        <v>6</v>
      </c>
      <c r="F421">
        <v>2017</v>
      </c>
      <c r="G421" t="s">
        <v>8</v>
      </c>
    </row>
    <row r="422" spans="1:7" x14ac:dyDescent="0.25">
      <c r="A422" t="s">
        <v>314</v>
      </c>
      <c r="B422" t="s">
        <v>315</v>
      </c>
      <c r="C422">
        <v>4.9000000000000004</v>
      </c>
      <c r="D422">
        <v>3192</v>
      </c>
      <c r="E422">
        <v>22</v>
      </c>
      <c r="F422">
        <v>2017</v>
      </c>
      <c r="G422" t="s">
        <v>8</v>
      </c>
    </row>
    <row r="423" spans="1:7" x14ac:dyDescent="0.25">
      <c r="A423" t="s">
        <v>316</v>
      </c>
      <c r="B423" t="s">
        <v>317</v>
      </c>
      <c r="C423">
        <v>4.9000000000000004</v>
      </c>
      <c r="D423">
        <v>21834</v>
      </c>
      <c r="E423">
        <v>8</v>
      </c>
      <c r="F423">
        <v>2017</v>
      </c>
      <c r="G423" t="s">
        <v>10</v>
      </c>
    </row>
    <row r="424" spans="1:7" x14ac:dyDescent="0.25">
      <c r="A424" t="s">
        <v>323</v>
      </c>
      <c r="B424" t="s">
        <v>271</v>
      </c>
      <c r="C424">
        <v>4.5</v>
      </c>
      <c r="D424">
        <v>1831</v>
      </c>
      <c r="E424">
        <v>9</v>
      </c>
      <c r="F424">
        <v>2017</v>
      </c>
      <c r="G424" t="s">
        <v>8</v>
      </c>
    </row>
    <row r="425" spans="1:7" x14ac:dyDescent="0.25">
      <c r="A425" t="s">
        <v>324</v>
      </c>
      <c r="B425" t="s">
        <v>243</v>
      </c>
      <c r="C425">
        <v>4.3</v>
      </c>
      <c r="D425">
        <v>18904</v>
      </c>
      <c r="E425">
        <v>13</v>
      </c>
      <c r="F425">
        <v>2017</v>
      </c>
      <c r="G425" t="s">
        <v>10</v>
      </c>
    </row>
    <row r="426" spans="1:7" x14ac:dyDescent="0.25">
      <c r="A426" t="s">
        <v>332</v>
      </c>
      <c r="B426" t="s">
        <v>333</v>
      </c>
      <c r="C426">
        <v>4.8</v>
      </c>
      <c r="D426">
        <v>16990</v>
      </c>
      <c r="E426">
        <v>27</v>
      </c>
      <c r="F426">
        <v>2017</v>
      </c>
      <c r="G426" t="s">
        <v>10</v>
      </c>
    </row>
    <row r="427" spans="1:7" x14ac:dyDescent="0.25">
      <c r="A427" t="s">
        <v>337</v>
      </c>
      <c r="B427" t="s">
        <v>338</v>
      </c>
      <c r="C427">
        <v>4.5</v>
      </c>
      <c r="D427">
        <v>8580</v>
      </c>
      <c r="E427">
        <v>46</v>
      </c>
      <c r="F427">
        <v>2017</v>
      </c>
      <c r="G427" t="s">
        <v>8</v>
      </c>
    </row>
    <row r="428" spans="1:7" x14ac:dyDescent="0.25">
      <c r="A428" t="s">
        <v>339</v>
      </c>
      <c r="B428" t="s">
        <v>340</v>
      </c>
      <c r="C428">
        <v>4.8</v>
      </c>
      <c r="D428">
        <v>4757</v>
      </c>
      <c r="E428">
        <v>4</v>
      </c>
      <c r="F428">
        <v>2017</v>
      </c>
      <c r="G428" t="s">
        <v>10</v>
      </c>
    </row>
    <row r="429" spans="1:7" x14ac:dyDescent="0.25">
      <c r="A429" t="s">
        <v>345</v>
      </c>
      <c r="B429" t="s">
        <v>346</v>
      </c>
      <c r="C429">
        <v>4.5999999999999996</v>
      </c>
      <c r="D429">
        <v>22536</v>
      </c>
      <c r="E429">
        <v>12</v>
      </c>
      <c r="F429">
        <v>2017</v>
      </c>
      <c r="G429" t="s">
        <v>10</v>
      </c>
    </row>
    <row r="430" spans="1:7" x14ac:dyDescent="0.25">
      <c r="A430" t="s">
        <v>368</v>
      </c>
      <c r="B430" t="s">
        <v>369</v>
      </c>
      <c r="C430">
        <v>4</v>
      </c>
      <c r="D430">
        <v>5069</v>
      </c>
      <c r="E430">
        <v>17</v>
      </c>
      <c r="F430">
        <v>2017</v>
      </c>
      <c r="G430" t="s">
        <v>8</v>
      </c>
    </row>
    <row r="431" spans="1:7" x14ac:dyDescent="0.25">
      <c r="A431" t="s">
        <v>384</v>
      </c>
      <c r="B431" t="s">
        <v>383</v>
      </c>
      <c r="C431">
        <v>4.8</v>
      </c>
      <c r="D431">
        <v>25554</v>
      </c>
      <c r="E431">
        <v>8</v>
      </c>
      <c r="F431">
        <v>2017</v>
      </c>
      <c r="G431" t="s">
        <v>8</v>
      </c>
    </row>
    <row r="432" spans="1:7" x14ac:dyDescent="0.25">
      <c r="A432" t="s">
        <v>387</v>
      </c>
      <c r="B432" t="s">
        <v>388</v>
      </c>
      <c r="C432">
        <v>4.7</v>
      </c>
      <c r="D432">
        <v>4725</v>
      </c>
      <c r="E432">
        <v>16</v>
      </c>
      <c r="F432">
        <v>2017</v>
      </c>
      <c r="G432" t="s">
        <v>8</v>
      </c>
    </row>
    <row r="433" spans="1:7" x14ac:dyDescent="0.25">
      <c r="A433" t="s">
        <v>430</v>
      </c>
      <c r="B433" t="s">
        <v>431</v>
      </c>
      <c r="C433">
        <v>4.7</v>
      </c>
      <c r="D433">
        <v>23308</v>
      </c>
      <c r="E433">
        <v>6</v>
      </c>
      <c r="F433">
        <v>2017</v>
      </c>
      <c r="G433" t="s">
        <v>8</v>
      </c>
    </row>
    <row r="434" spans="1:7" x14ac:dyDescent="0.25">
      <c r="A434" t="s">
        <v>432</v>
      </c>
      <c r="B434" t="s">
        <v>78</v>
      </c>
      <c r="C434">
        <v>4.8</v>
      </c>
      <c r="D434">
        <v>5836</v>
      </c>
      <c r="E434">
        <v>0</v>
      </c>
      <c r="F434">
        <v>2017</v>
      </c>
      <c r="G434" t="s">
        <v>10</v>
      </c>
    </row>
    <row r="435" spans="1:7" x14ac:dyDescent="0.25">
      <c r="A435" t="s">
        <v>440</v>
      </c>
      <c r="B435" t="s">
        <v>441</v>
      </c>
      <c r="C435">
        <v>4.8</v>
      </c>
      <c r="D435">
        <v>5249</v>
      </c>
      <c r="E435">
        <v>5</v>
      </c>
      <c r="F435">
        <v>2017</v>
      </c>
      <c r="G435" t="s">
        <v>10</v>
      </c>
    </row>
    <row r="436" spans="1:7" x14ac:dyDescent="0.25">
      <c r="A436" t="s">
        <v>449</v>
      </c>
      <c r="B436" t="s">
        <v>450</v>
      </c>
      <c r="C436">
        <v>4.3</v>
      </c>
      <c r="D436">
        <v>29442</v>
      </c>
      <c r="E436">
        <v>7</v>
      </c>
      <c r="F436">
        <v>2017</v>
      </c>
      <c r="G436" t="s">
        <v>10</v>
      </c>
    </row>
    <row r="437" spans="1:7" x14ac:dyDescent="0.25">
      <c r="A437" t="s">
        <v>463</v>
      </c>
      <c r="B437" t="s">
        <v>464</v>
      </c>
      <c r="C437">
        <v>4.3</v>
      </c>
      <c r="D437">
        <v>7368</v>
      </c>
      <c r="E437">
        <v>7</v>
      </c>
      <c r="F437">
        <v>2017</v>
      </c>
      <c r="G437" t="s">
        <v>8</v>
      </c>
    </row>
    <row r="438" spans="1:7" x14ac:dyDescent="0.25">
      <c r="A438" t="s">
        <v>472</v>
      </c>
      <c r="B438" t="s">
        <v>473</v>
      </c>
      <c r="C438">
        <v>4.5</v>
      </c>
      <c r="D438">
        <v>22641</v>
      </c>
      <c r="E438">
        <v>11</v>
      </c>
      <c r="F438">
        <v>2017</v>
      </c>
      <c r="G438" t="s">
        <v>8</v>
      </c>
    </row>
    <row r="439" spans="1:7" x14ac:dyDescent="0.25">
      <c r="A439" t="s">
        <v>503</v>
      </c>
      <c r="B439" t="s">
        <v>504</v>
      </c>
      <c r="C439">
        <v>4.8</v>
      </c>
      <c r="D439">
        <v>9784</v>
      </c>
      <c r="E439">
        <v>5</v>
      </c>
      <c r="F439">
        <v>2017</v>
      </c>
      <c r="G439" t="s">
        <v>10</v>
      </c>
    </row>
    <row r="440" spans="1:7" x14ac:dyDescent="0.25">
      <c r="A440" t="s">
        <v>513</v>
      </c>
      <c r="B440" t="s">
        <v>514</v>
      </c>
      <c r="C440">
        <v>4.5999999999999996</v>
      </c>
      <c r="D440">
        <v>19720</v>
      </c>
      <c r="E440">
        <v>8</v>
      </c>
      <c r="F440">
        <v>2017</v>
      </c>
      <c r="G440" t="s">
        <v>10</v>
      </c>
    </row>
    <row r="441" spans="1:7" x14ac:dyDescent="0.25">
      <c r="A441" t="s">
        <v>519</v>
      </c>
      <c r="B441" t="s">
        <v>520</v>
      </c>
      <c r="C441">
        <v>4.5999999999999996</v>
      </c>
      <c r="D441">
        <v>26490</v>
      </c>
      <c r="E441">
        <v>15</v>
      </c>
      <c r="F441">
        <v>2017</v>
      </c>
      <c r="G441" t="s">
        <v>8</v>
      </c>
    </row>
    <row r="442" spans="1:7" x14ac:dyDescent="0.25">
      <c r="A442" t="s">
        <v>521</v>
      </c>
      <c r="B442" t="s">
        <v>299</v>
      </c>
      <c r="C442">
        <v>4.7</v>
      </c>
      <c r="D442">
        <v>5487</v>
      </c>
      <c r="E442">
        <v>9</v>
      </c>
      <c r="F442">
        <v>2017</v>
      </c>
      <c r="G442" t="s">
        <v>8</v>
      </c>
    </row>
    <row r="443" spans="1:7" x14ac:dyDescent="0.25">
      <c r="A443" t="s">
        <v>533</v>
      </c>
      <c r="B443" t="s">
        <v>534</v>
      </c>
      <c r="C443">
        <v>4.9000000000000004</v>
      </c>
      <c r="D443">
        <v>19546</v>
      </c>
      <c r="E443">
        <v>5</v>
      </c>
      <c r="F443">
        <v>2017</v>
      </c>
      <c r="G443" t="s">
        <v>10</v>
      </c>
    </row>
    <row r="444" spans="1:7" x14ac:dyDescent="0.25">
      <c r="A444" t="s">
        <v>535</v>
      </c>
      <c r="B444" t="s">
        <v>536</v>
      </c>
      <c r="C444">
        <v>4.5999999999999996</v>
      </c>
      <c r="D444">
        <v>7508</v>
      </c>
      <c r="E444">
        <v>16</v>
      </c>
      <c r="F444">
        <v>2017</v>
      </c>
      <c r="G444" t="s">
        <v>8</v>
      </c>
    </row>
    <row r="445" spans="1:7" x14ac:dyDescent="0.25">
      <c r="A445" t="s">
        <v>537</v>
      </c>
      <c r="B445" t="s">
        <v>538</v>
      </c>
      <c r="C445">
        <v>4.9000000000000004</v>
      </c>
      <c r="D445">
        <v>8842</v>
      </c>
      <c r="E445">
        <v>10</v>
      </c>
      <c r="F445">
        <v>2017</v>
      </c>
      <c r="G445" t="s">
        <v>10</v>
      </c>
    </row>
    <row r="446" spans="1:7" x14ac:dyDescent="0.25">
      <c r="A446" t="s">
        <v>547</v>
      </c>
      <c r="B446" t="s">
        <v>548</v>
      </c>
      <c r="C446">
        <v>4.5</v>
      </c>
      <c r="D446">
        <v>7932</v>
      </c>
      <c r="E446">
        <v>9</v>
      </c>
      <c r="F446">
        <v>2017</v>
      </c>
      <c r="G446" t="s">
        <v>10</v>
      </c>
    </row>
    <row r="447" spans="1:7" x14ac:dyDescent="0.25">
      <c r="A447" t="s">
        <v>553</v>
      </c>
      <c r="B447" t="s">
        <v>554</v>
      </c>
      <c r="C447">
        <v>4.5999999999999996</v>
      </c>
      <c r="D447">
        <v>11128</v>
      </c>
      <c r="E447">
        <v>23</v>
      </c>
      <c r="F447">
        <v>2017</v>
      </c>
      <c r="G447" t="s">
        <v>8</v>
      </c>
    </row>
    <row r="448" spans="1:7" x14ac:dyDescent="0.25">
      <c r="A448" t="s">
        <v>558</v>
      </c>
      <c r="B448" t="s">
        <v>381</v>
      </c>
      <c r="C448">
        <v>4.5999999999999996</v>
      </c>
      <c r="D448">
        <v>4360</v>
      </c>
      <c r="E448">
        <v>21</v>
      </c>
      <c r="F448">
        <v>2017</v>
      </c>
      <c r="G448" t="s">
        <v>8</v>
      </c>
    </row>
    <row r="449" spans="1:7" x14ac:dyDescent="0.25">
      <c r="A449" t="s">
        <v>576</v>
      </c>
      <c r="B449" t="s">
        <v>577</v>
      </c>
      <c r="C449">
        <v>4.5999999999999996</v>
      </c>
      <c r="D449">
        <v>5492</v>
      </c>
      <c r="E449">
        <v>18</v>
      </c>
      <c r="F449">
        <v>2017</v>
      </c>
      <c r="G449" t="s">
        <v>8</v>
      </c>
    </row>
    <row r="450" spans="1:7" x14ac:dyDescent="0.25">
      <c r="A450" t="s">
        <v>601</v>
      </c>
      <c r="B450" t="s">
        <v>602</v>
      </c>
      <c r="C450">
        <v>4.8</v>
      </c>
      <c r="D450">
        <v>21625</v>
      </c>
      <c r="E450">
        <v>9</v>
      </c>
      <c r="F450">
        <v>2017</v>
      </c>
      <c r="G450" t="s">
        <v>10</v>
      </c>
    </row>
    <row r="451" spans="1:7" x14ac:dyDescent="0.25">
      <c r="A451" t="s">
        <v>604</v>
      </c>
      <c r="B451" t="s">
        <v>605</v>
      </c>
      <c r="C451">
        <v>4.7</v>
      </c>
      <c r="D451">
        <v>14331</v>
      </c>
      <c r="E451">
        <v>8</v>
      </c>
      <c r="F451">
        <v>2017</v>
      </c>
      <c r="G451" t="s">
        <v>8</v>
      </c>
    </row>
    <row r="452" spans="1:7" x14ac:dyDescent="0.25">
      <c r="A452" t="s">
        <v>11</v>
      </c>
      <c r="B452" t="s">
        <v>12</v>
      </c>
      <c r="C452">
        <v>4.7</v>
      </c>
      <c r="D452">
        <v>18979</v>
      </c>
      <c r="E452">
        <v>15</v>
      </c>
      <c r="F452">
        <v>2018</v>
      </c>
      <c r="G452" t="s">
        <v>8</v>
      </c>
    </row>
    <row r="453" spans="1:7" x14ac:dyDescent="0.25">
      <c r="A453" t="s">
        <v>22</v>
      </c>
      <c r="B453" t="s">
        <v>23</v>
      </c>
      <c r="C453">
        <v>4.7</v>
      </c>
      <c r="D453">
        <v>5983</v>
      </c>
      <c r="E453">
        <v>3</v>
      </c>
      <c r="F453">
        <v>2018</v>
      </c>
      <c r="G453" t="s">
        <v>8</v>
      </c>
    </row>
    <row r="454" spans="1:7" x14ac:dyDescent="0.25">
      <c r="A454" t="s">
        <v>30</v>
      </c>
      <c r="B454" t="s">
        <v>31</v>
      </c>
      <c r="C454">
        <v>4.5</v>
      </c>
      <c r="D454">
        <v>5153</v>
      </c>
      <c r="E454">
        <v>5</v>
      </c>
      <c r="F454">
        <v>2018</v>
      </c>
      <c r="G454" t="s">
        <v>10</v>
      </c>
    </row>
    <row r="455" spans="1:7" x14ac:dyDescent="0.25">
      <c r="A455" t="s">
        <v>64</v>
      </c>
      <c r="B455" t="s">
        <v>65</v>
      </c>
      <c r="C455">
        <v>4.8</v>
      </c>
      <c r="D455">
        <v>61133</v>
      </c>
      <c r="E455">
        <v>11</v>
      </c>
      <c r="F455">
        <v>2018</v>
      </c>
      <c r="G455" t="s">
        <v>8</v>
      </c>
    </row>
    <row r="456" spans="1:7" x14ac:dyDescent="0.25">
      <c r="A456" t="s">
        <v>91</v>
      </c>
      <c r="B456" t="s">
        <v>92</v>
      </c>
      <c r="C456">
        <v>4.3</v>
      </c>
      <c r="D456">
        <v>6143</v>
      </c>
      <c r="E456">
        <v>8</v>
      </c>
      <c r="F456">
        <v>2018</v>
      </c>
      <c r="G456" t="s">
        <v>10</v>
      </c>
    </row>
    <row r="457" spans="1:7" x14ac:dyDescent="0.25">
      <c r="A457" t="s">
        <v>106</v>
      </c>
      <c r="B457" t="s">
        <v>107</v>
      </c>
      <c r="C457">
        <v>4.8</v>
      </c>
      <c r="D457">
        <v>10922</v>
      </c>
      <c r="E457">
        <v>5</v>
      </c>
      <c r="F457">
        <v>2018</v>
      </c>
      <c r="G457" t="s">
        <v>10</v>
      </c>
    </row>
    <row r="458" spans="1:7" x14ac:dyDescent="0.25">
      <c r="A458" t="s">
        <v>125</v>
      </c>
      <c r="B458" t="s">
        <v>126</v>
      </c>
      <c r="C458">
        <v>4.9000000000000004</v>
      </c>
      <c r="D458">
        <v>5062</v>
      </c>
      <c r="E458">
        <v>6</v>
      </c>
      <c r="F458">
        <v>2018</v>
      </c>
      <c r="G458" t="s">
        <v>10</v>
      </c>
    </row>
    <row r="459" spans="1:7" x14ac:dyDescent="0.25">
      <c r="A459" t="s">
        <v>128</v>
      </c>
      <c r="B459" t="s">
        <v>126</v>
      </c>
      <c r="C459">
        <v>4.9000000000000004</v>
      </c>
      <c r="D459">
        <v>7235</v>
      </c>
      <c r="E459">
        <v>4</v>
      </c>
      <c r="F459">
        <v>2018</v>
      </c>
      <c r="G459" t="s">
        <v>10</v>
      </c>
    </row>
    <row r="460" spans="1:7" x14ac:dyDescent="0.25">
      <c r="A460" t="s">
        <v>131</v>
      </c>
      <c r="B460" t="s">
        <v>126</v>
      </c>
      <c r="C460">
        <v>4.9000000000000004</v>
      </c>
      <c r="D460">
        <v>5470</v>
      </c>
      <c r="E460">
        <v>6</v>
      </c>
      <c r="F460">
        <v>2018</v>
      </c>
      <c r="G460" t="s">
        <v>10</v>
      </c>
    </row>
    <row r="461" spans="1:7" x14ac:dyDescent="0.25">
      <c r="A461" t="s">
        <v>144</v>
      </c>
      <c r="B461" t="s">
        <v>145</v>
      </c>
      <c r="C461">
        <v>4.7</v>
      </c>
      <c r="D461">
        <v>28729</v>
      </c>
      <c r="E461">
        <v>15</v>
      </c>
      <c r="F461">
        <v>2018</v>
      </c>
      <c r="G461" t="s">
        <v>8</v>
      </c>
    </row>
    <row r="462" spans="1:7" x14ac:dyDescent="0.25">
      <c r="A462" t="s">
        <v>148</v>
      </c>
      <c r="B462" t="s">
        <v>149</v>
      </c>
      <c r="C462">
        <v>4.5999999999999996</v>
      </c>
      <c r="D462">
        <v>10721</v>
      </c>
      <c r="E462">
        <v>8</v>
      </c>
      <c r="F462">
        <v>2018</v>
      </c>
      <c r="G462" t="s">
        <v>10</v>
      </c>
    </row>
    <row r="463" spans="1:7" x14ac:dyDescent="0.25">
      <c r="A463" t="s">
        <v>152</v>
      </c>
      <c r="B463" t="s">
        <v>153</v>
      </c>
      <c r="C463">
        <v>4.4000000000000004</v>
      </c>
      <c r="D463">
        <v>6042</v>
      </c>
      <c r="E463">
        <v>2</v>
      </c>
      <c r="F463">
        <v>2018</v>
      </c>
      <c r="G463" t="s">
        <v>8</v>
      </c>
    </row>
    <row r="464" spans="1:7" x14ac:dyDescent="0.25">
      <c r="A464" t="s">
        <v>159</v>
      </c>
      <c r="B464" t="s">
        <v>160</v>
      </c>
      <c r="C464">
        <v>4.2</v>
      </c>
      <c r="D464">
        <v>13677</v>
      </c>
      <c r="E464">
        <v>6</v>
      </c>
      <c r="F464">
        <v>2018</v>
      </c>
      <c r="G464" t="s">
        <v>8</v>
      </c>
    </row>
    <row r="465" spans="1:7" x14ac:dyDescent="0.25">
      <c r="A465" t="s">
        <v>161</v>
      </c>
      <c r="B465" t="s">
        <v>162</v>
      </c>
      <c r="C465">
        <v>4.7</v>
      </c>
      <c r="D465">
        <v>17323</v>
      </c>
      <c r="E465">
        <v>4</v>
      </c>
      <c r="F465">
        <v>2018</v>
      </c>
      <c r="G465" t="s">
        <v>8</v>
      </c>
    </row>
    <row r="466" spans="1:7" x14ac:dyDescent="0.25">
      <c r="A466" t="s">
        <v>175</v>
      </c>
      <c r="B466" t="s">
        <v>176</v>
      </c>
      <c r="C466">
        <v>4.8</v>
      </c>
      <c r="D466">
        <v>14038</v>
      </c>
      <c r="E466">
        <v>4</v>
      </c>
      <c r="F466">
        <v>2018</v>
      </c>
      <c r="G466" t="s">
        <v>10</v>
      </c>
    </row>
    <row r="467" spans="1:7" x14ac:dyDescent="0.25">
      <c r="A467" t="s">
        <v>179</v>
      </c>
      <c r="B467" t="s">
        <v>178</v>
      </c>
      <c r="C467">
        <v>4.5999999999999996</v>
      </c>
      <c r="D467">
        <v>22288</v>
      </c>
      <c r="E467">
        <v>12</v>
      </c>
      <c r="F467">
        <v>2018</v>
      </c>
      <c r="G467" t="s">
        <v>8</v>
      </c>
    </row>
    <row r="468" spans="1:7" x14ac:dyDescent="0.25">
      <c r="A468" t="s">
        <v>193</v>
      </c>
      <c r="B468" t="s">
        <v>194</v>
      </c>
      <c r="C468">
        <v>4.8</v>
      </c>
      <c r="D468">
        <v>8837</v>
      </c>
      <c r="E468">
        <v>5</v>
      </c>
      <c r="F468">
        <v>2018</v>
      </c>
      <c r="G468" t="s">
        <v>10</v>
      </c>
    </row>
    <row r="469" spans="1:7" x14ac:dyDescent="0.25">
      <c r="A469" t="s">
        <v>221</v>
      </c>
      <c r="B469" t="s">
        <v>222</v>
      </c>
      <c r="C469">
        <v>4.8</v>
      </c>
      <c r="D469">
        <v>3776</v>
      </c>
      <c r="E469">
        <v>22</v>
      </c>
      <c r="F469">
        <v>2018</v>
      </c>
      <c r="G469" t="s">
        <v>8</v>
      </c>
    </row>
    <row r="470" spans="1:7" x14ac:dyDescent="0.25">
      <c r="A470" t="s">
        <v>223</v>
      </c>
      <c r="B470" t="s">
        <v>224</v>
      </c>
      <c r="C470">
        <v>4.7</v>
      </c>
      <c r="D470">
        <v>25001</v>
      </c>
      <c r="E470">
        <v>11</v>
      </c>
      <c r="F470">
        <v>2018</v>
      </c>
      <c r="G470" t="s">
        <v>8</v>
      </c>
    </row>
    <row r="471" spans="1:7" x14ac:dyDescent="0.25">
      <c r="A471" t="s">
        <v>246</v>
      </c>
      <c r="B471" t="s">
        <v>247</v>
      </c>
      <c r="C471">
        <v>4.4000000000000004</v>
      </c>
      <c r="D471">
        <v>7396</v>
      </c>
      <c r="E471">
        <v>13</v>
      </c>
      <c r="F471">
        <v>2018</v>
      </c>
      <c r="G471" t="s">
        <v>8</v>
      </c>
    </row>
    <row r="472" spans="1:7" x14ac:dyDescent="0.25">
      <c r="A472" t="s">
        <v>263</v>
      </c>
      <c r="B472" t="s">
        <v>264</v>
      </c>
      <c r="C472">
        <v>4.8</v>
      </c>
      <c r="D472">
        <v>2507</v>
      </c>
      <c r="E472">
        <v>8</v>
      </c>
      <c r="F472">
        <v>2018</v>
      </c>
      <c r="G472" t="s">
        <v>8</v>
      </c>
    </row>
    <row r="473" spans="1:7" x14ac:dyDescent="0.25">
      <c r="A473" t="s">
        <v>267</v>
      </c>
      <c r="B473" t="s">
        <v>268</v>
      </c>
      <c r="C473">
        <v>4.9000000000000004</v>
      </c>
      <c r="D473">
        <v>11881</v>
      </c>
      <c r="E473">
        <v>13</v>
      </c>
      <c r="F473">
        <v>2018</v>
      </c>
      <c r="G473" t="s">
        <v>10</v>
      </c>
    </row>
    <row r="474" spans="1:7" x14ac:dyDescent="0.25">
      <c r="A474" t="s">
        <v>274</v>
      </c>
      <c r="B474" t="s">
        <v>275</v>
      </c>
      <c r="C474">
        <v>4.4000000000000004</v>
      </c>
      <c r="D474">
        <v>7550</v>
      </c>
      <c r="E474">
        <v>6</v>
      </c>
      <c r="F474">
        <v>2018</v>
      </c>
      <c r="G474" t="s">
        <v>8</v>
      </c>
    </row>
    <row r="475" spans="1:7" x14ac:dyDescent="0.25">
      <c r="A475" t="s">
        <v>284</v>
      </c>
      <c r="B475" t="s">
        <v>285</v>
      </c>
      <c r="C475">
        <v>4.5</v>
      </c>
      <c r="D475">
        <v>25706</v>
      </c>
      <c r="E475">
        <v>12</v>
      </c>
      <c r="F475">
        <v>2018</v>
      </c>
      <c r="G475" t="s">
        <v>10</v>
      </c>
    </row>
    <row r="476" spans="1:7" x14ac:dyDescent="0.25">
      <c r="A476" t="s">
        <v>292</v>
      </c>
      <c r="B476" t="s">
        <v>222</v>
      </c>
      <c r="C476">
        <v>4.8</v>
      </c>
      <c r="D476">
        <v>9867</v>
      </c>
      <c r="E476">
        <v>16</v>
      </c>
      <c r="F476">
        <v>2018</v>
      </c>
      <c r="G476" t="s">
        <v>8</v>
      </c>
    </row>
    <row r="477" spans="1:7" x14ac:dyDescent="0.25">
      <c r="A477" t="s">
        <v>298</v>
      </c>
      <c r="B477" t="s">
        <v>299</v>
      </c>
      <c r="C477">
        <v>4.7</v>
      </c>
      <c r="D477">
        <v>17739</v>
      </c>
      <c r="E477">
        <v>8</v>
      </c>
      <c r="F477">
        <v>2018</v>
      </c>
      <c r="G477" t="s">
        <v>8</v>
      </c>
    </row>
    <row r="478" spans="1:7" x14ac:dyDescent="0.25">
      <c r="A478" t="s">
        <v>316</v>
      </c>
      <c r="B478" t="s">
        <v>317</v>
      </c>
      <c r="C478">
        <v>4.9000000000000004</v>
      </c>
      <c r="D478">
        <v>21834</v>
      </c>
      <c r="E478">
        <v>8</v>
      </c>
      <c r="F478">
        <v>2018</v>
      </c>
      <c r="G478" t="s">
        <v>10</v>
      </c>
    </row>
    <row r="479" spans="1:7" x14ac:dyDescent="0.25">
      <c r="A479" t="s">
        <v>328</v>
      </c>
      <c r="B479" t="s">
        <v>329</v>
      </c>
      <c r="C479">
        <v>4.7</v>
      </c>
      <c r="D479">
        <v>10820</v>
      </c>
      <c r="E479">
        <v>5</v>
      </c>
      <c r="F479">
        <v>2018</v>
      </c>
      <c r="G479" t="s">
        <v>8</v>
      </c>
    </row>
    <row r="480" spans="1:7" x14ac:dyDescent="0.25">
      <c r="A480" t="s">
        <v>332</v>
      </c>
      <c r="B480" t="s">
        <v>333</v>
      </c>
      <c r="C480">
        <v>4.8</v>
      </c>
      <c r="D480">
        <v>16990</v>
      </c>
      <c r="E480">
        <v>27</v>
      </c>
      <c r="F480">
        <v>2018</v>
      </c>
      <c r="G480" t="s">
        <v>10</v>
      </c>
    </row>
    <row r="481" spans="1:7" x14ac:dyDescent="0.25">
      <c r="A481" t="s">
        <v>337</v>
      </c>
      <c r="B481" t="s">
        <v>338</v>
      </c>
      <c r="C481">
        <v>4.5</v>
      </c>
      <c r="D481">
        <v>8580</v>
      </c>
      <c r="E481">
        <v>46</v>
      </c>
      <c r="F481">
        <v>2018</v>
      </c>
      <c r="G481" t="s">
        <v>8</v>
      </c>
    </row>
    <row r="482" spans="1:7" x14ac:dyDescent="0.25">
      <c r="A482" t="s">
        <v>345</v>
      </c>
      <c r="B482" t="s">
        <v>346</v>
      </c>
      <c r="C482">
        <v>4.5999999999999996</v>
      </c>
      <c r="D482">
        <v>22536</v>
      </c>
      <c r="E482">
        <v>12</v>
      </c>
      <c r="F482">
        <v>2018</v>
      </c>
      <c r="G482" t="s">
        <v>10</v>
      </c>
    </row>
    <row r="483" spans="1:7" x14ac:dyDescent="0.25">
      <c r="A483" t="s">
        <v>350</v>
      </c>
      <c r="B483" t="s">
        <v>351</v>
      </c>
      <c r="C483">
        <v>4.8</v>
      </c>
      <c r="D483">
        <v>7802</v>
      </c>
      <c r="E483">
        <v>20</v>
      </c>
      <c r="F483">
        <v>2018</v>
      </c>
      <c r="G483" t="s">
        <v>8</v>
      </c>
    </row>
    <row r="484" spans="1:7" x14ac:dyDescent="0.25">
      <c r="A484" t="s">
        <v>354</v>
      </c>
      <c r="B484" t="s">
        <v>355</v>
      </c>
      <c r="C484">
        <v>4.8</v>
      </c>
      <c r="D484">
        <v>23047</v>
      </c>
      <c r="E484">
        <v>6</v>
      </c>
      <c r="F484">
        <v>2018</v>
      </c>
      <c r="G484" t="s">
        <v>8</v>
      </c>
    </row>
    <row r="485" spans="1:7" x14ac:dyDescent="0.25">
      <c r="A485" t="s">
        <v>359</v>
      </c>
      <c r="B485" t="s">
        <v>360</v>
      </c>
      <c r="C485">
        <v>4.8</v>
      </c>
      <c r="D485">
        <v>3923</v>
      </c>
      <c r="E485">
        <v>16</v>
      </c>
      <c r="F485">
        <v>2018</v>
      </c>
      <c r="G485" t="s">
        <v>8</v>
      </c>
    </row>
    <row r="486" spans="1:7" x14ac:dyDescent="0.25">
      <c r="A486" t="s">
        <v>384</v>
      </c>
      <c r="B486" t="s">
        <v>383</v>
      </c>
      <c r="C486">
        <v>4.8</v>
      </c>
      <c r="D486">
        <v>25554</v>
      </c>
      <c r="E486">
        <v>8</v>
      </c>
      <c r="F486">
        <v>2018</v>
      </c>
      <c r="G486" t="s">
        <v>8</v>
      </c>
    </row>
    <row r="487" spans="1:7" x14ac:dyDescent="0.25">
      <c r="A487" t="s">
        <v>413</v>
      </c>
      <c r="B487" t="s">
        <v>414</v>
      </c>
      <c r="C487">
        <v>4.3</v>
      </c>
      <c r="D487">
        <v>13061</v>
      </c>
      <c r="E487">
        <v>6</v>
      </c>
      <c r="F487">
        <v>2018</v>
      </c>
      <c r="G487" t="s">
        <v>8</v>
      </c>
    </row>
    <row r="488" spans="1:7" x14ac:dyDescent="0.25">
      <c r="A488" t="s">
        <v>430</v>
      </c>
      <c r="B488" t="s">
        <v>431</v>
      </c>
      <c r="C488">
        <v>4.7</v>
      </c>
      <c r="D488">
        <v>23308</v>
      </c>
      <c r="E488">
        <v>6</v>
      </c>
      <c r="F488">
        <v>2018</v>
      </c>
      <c r="G488" t="s">
        <v>8</v>
      </c>
    </row>
    <row r="489" spans="1:7" x14ac:dyDescent="0.25">
      <c r="A489" t="s">
        <v>453</v>
      </c>
      <c r="B489" t="s">
        <v>454</v>
      </c>
      <c r="C489">
        <v>4.8</v>
      </c>
      <c r="D489">
        <v>9947</v>
      </c>
      <c r="E489">
        <v>11</v>
      </c>
      <c r="F489">
        <v>2018</v>
      </c>
      <c r="G489" t="s">
        <v>10</v>
      </c>
    </row>
    <row r="490" spans="1:7" x14ac:dyDescent="0.25">
      <c r="A490" t="s">
        <v>463</v>
      </c>
      <c r="B490" t="s">
        <v>464</v>
      </c>
      <c r="C490">
        <v>4.3</v>
      </c>
      <c r="D490">
        <v>7368</v>
      </c>
      <c r="E490">
        <v>7</v>
      </c>
      <c r="F490">
        <v>2018</v>
      </c>
      <c r="G490" t="s">
        <v>8</v>
      </c>
    </row>
    <row r="491" spans="1:7" x14ac:dyDescent="0.25">
      <c r="A491" t="s">
        <v>486</v>
      </c>
      <c r="B491" t="s">
        <v>78</v>
      </c>
      <c r="C491">
        <v>4.8</v>
      </c>
      <c r="D491">
        <v>5898</v>
      </c>
      <c r="E491">
        <v>8</v>
      </c>
      <c r="F491">
        <v>2018</v>
      </c>
      <c r="G491" t="s">
        <v>10</v>
      </c>
    </row>
    <row r="492" spans="1:7" x14ac:dyDescent="0.25">
      <c r="A492" t="s">
        <v>500</v>
      </c>
      <c r="B492" t="s">
        <v>501</v>
      </c>
      <c r="C492">
        <v>4.5</v>
      </c>
      <c r="D492">
        <v>3601</v>
      </c>
      <c r="E492">
        <v>18</v>
      </c>
      <c r="F492">
        <v>2018</v>
      </c>
      <c r="G492" t="s">
        <v>8</v>
      </c>
    </row>
    <row r="493" spans="1:7" x14ac:dyDescent="0.25">
      <c r="A493" t="s">
        <v>502</v>
      </c>
      <c r="B493" t="s">
        <v>501</v>
      </c>
      <c r="C493">
        <v>4.4000000000000004</v>
      </c>
      <c r="D493">
        <v>7058</v>
      </c>
      <c r="E493">
        <v>17</v>
      </c>
      <c r="F493">
        <v>2018</v>
      </c>
      <c r="G493" t="s">
        <v>8</v>
      </c>
    </row>
    <row r="494" spans="1:7" x14ac:dyDescent="0.25">
      <c r="A494" t="s">
        <v>503</v>
      </c>
      <c r="B494" t="s">
        <v>504</v>
      </c>
      <c r="C494">
        <v>4.8</v>
      </c>
      <c r="D494">
        <v>9784</v>
      </c>
      <c r="E494">
        <v>5</v>
      </c>
      <c r="F494">
        <v>2018</v>
      </c>
      <c r="G494" t="s">
        <v>10</v>
      </c>
    </row>
    <row r="495" spans="1:7" x14ac:dyDescent="0.25">
      <c r="A495" t="s">
        <v>507</v>
      </c>
      <c r="B495" t="s">
        <v>235</v>
      </c>
      <c r="C495">
        <v>4.3</v>
      </c>
      <c r="D495">
        <v>10191</v>
      </c>
      <c r="E495">
        <v>18</v>
      </c>
      <c r="F495">
        <v>2018</v>
      </c>
      <c r="G495" t="s">
        <v>10</v>
      </c>
    </row>
    <row r="496" spans="1:7" x14ac:dyDescent="0.25">
      <c r="A496" t="s">
        <v>519</v>
      </c>
      <c r="B496" t="s">
        <v>520</v>
      </c>
      <c r="C496">
        <v>4.5999999999999996</v>
      </c>
      <c r="D496">
        <v>26490</v>
      </c>
      <c r="E496">
        <v>15</v>
      </c>
      <c r="F496">
        <v>2018</v>
      </c>
      <c r="G496" t="s">
        <v>8</v>
      </c>
    </row>
    <row r="497" spans="1:7" x14ac:dyDescent="0.25">
      <c r="A497" t="s">
        <v>533</v>
      </c>
      <c r="B497" t="s">
        <v>534</v>
      </c>
      <c r="C497">
        <v>4.9000000000000004</v>
      </c>
      <c r="D497">
        <v>19546</v>
      </c>
      <c r="E497">
        <v>5</v>
      </c>
      <c r="F497">
        <v>2018</v>
      </c>
      <c r="G497" t="s">
        <v>10</v>
      </c>
    </row>
    <row r="498" spans="1:7" x14ac:dyDescent="0.25">
      <c r="A498" t="s">
        <v>537</v>
      </c>
      <c r="B498" t="s">
        <v>538</v>
      </c>
      <c r="C498">
        <v>4.9000000000000004</v>
      </c>
      <c r="D498">
        <v>8842</v>
      </c>
      <c r="E498">
        <v>10</v>
      </c>
      <c r="F498">
        <v>2018</v>
      </c>
      <c r="G498" t="s">
        <v>10</v>
      </c>
    </row>
    <row r="499" spans="1:7" x14ac:dyDescent="0.25">
      <c r="A499" t="s">
        <v>539</v>
      </c>
      <c r="B499" t="s">
        <v>540</v>
      </c>
      <c r="C499">
        <v>4.8</v>
      </c>
      <c r="D499">
        <v>30183</v>
      </c>
      <c r="E499">
        <v>4</v>
      </c>
      <c r="F499">
        <v>2018</v>
      </c>
      <c r="G499" t="s">
        <v>10</v>
      </c>
    </row>
    <row r="500" spans="1:7" x14ac:dyDescent="0.25">
      <c r="A500" t="s">
        <v>593</v>
      </c>
      <c r="B500" t="s">
        <v>594</v>
      </c>
      <c r="C500">
        <v>4.5999999999999996</v>
      </c>
      <c r="D500">
        <v>6669</v>
      </c>
      <c r="E500">
        <v>12</v>
      </c>
      <c r="F500">
        <v>2018</v>
      </c>
      <c r="G500" t="s">
        <v>8</v>
      </c>
    </row>
    <row r="501" spans="1:7" x14ac:dyDescent="0.25">
      <c r="A501" t="s">
        <v>604</v>
      </c>
      <c r="B501" t="s">
        <v>605</v>
      </c>
      <c r="C501">
        <v>4.7</v>
      </c>
      <c r="D501">
        <v>14331</v>
      </c>
      <c r="E501">
        <v>8</v>
      </c>
      <c r="F501">
        <v>2018</v>
      </c>
      <c r="G501" t="s">
        <v>8</v>
      </c>
    </row>
    <row r="502" spans="1:7" x14ac:dyDescent="0.25">
      <c r="A502" t="s">
        <v>15</v>
      </c>
      <c r="B502" t="s">
        <v>16</v>
      </c>
      <c r="C502">
        <v>4.8</v>
      </c>
      <c r="D502">
        <v>7665</v>
      </c>
      <c r="E502">
        <v>12</v>
      </c>
      <c r="F502">
        <v>2019</v>
      </c>
      <c r="G502" t="s">
        <v>8</v>
      </c>
    </row>
    <row r="503" spans="1:7" x14ac:dyDescent="0.25">
      <c r="A503" t="s">
        <v>64</v>
      </c>
      <c r="B503" t="s">
        <v>65</v>
      </c>
      <c r="C503">
        <v>4.8</v>
      </c>
      <c r="D503">
        <v>61133</v>
      </c>
      <c r="E503">
        <v>11</v>
      </c>
      <c r="F503">
        <v>2019</v>
      </c>
      <c r="G503" t="s">
        <v>8</v>
      </c>
    </row>
    <row r="504" spans="1:7" x14ac:dyDescent="0.25">
      <c r="A504" t="s">
        <v>75</v>
      </c>
      <c r="B504" t="s">
        <v>76</v>
      </c>
      <c r="C504">
        <v>4.9000000000000004</v>
      </c>
      <c r="D504">
        <v>14344</v>
      </c>
      <c r="E504">
        <v>5</v>
      </c>
      <c r="F504">
        <v>2019</v>
      </c>
      <c r="G504" t="s">
        <v>10</v>
      </c>
    </row>
    <row r="505" spans="1:7" x14ac:dyDescent="0.25">
      <c r="A505" t="s">
        <v>81</v>
      </c>
      <c r="B505" t="s">
        <v>82</v>
      </c>
      <c r="C505">
        <v>4.8</v>
      </c>
      <c r="D505">
        <v>16244</v>
      </c>
      <c r="E505">
        <v>18</v>
      </c>
      <c r="F505">
        <v>2019</v>
      </c>
      <c r="G505" t="s">
        <v>8</v>
      </c>
    </row>
    <row r="506" spans="1:7" x14ac:dyDescent="0.25">
      <c r="A506" t="s">
        <v>117</v>
      </c>
      <c r="B506" t="s">
        <v>118</v>
      </c>
      <c r="C506">
        <v>4.5999999999999996</v>
      </c>
      <c r="D506">
        <v>7955</v>
      </c>
      <c r="E506">
        <v>5</v>
      </c>
      <c r="F506">
        <v>2019</v>
      </c>
      <c r="G506" t="s">
        <v>8</v>
      </c>
    </row>
    <row r="507" spans="1:7" x14ac:dyDescent="0.25">
      <c r="A507" t="s">
        <v>128</v>
      </c>
      <c r="B507" t="s">
        <v>126</v>
      </c>
      <c r="C507">
        <v>4.9000000000000004</v>
      </c>
      <c r="D507">
        <v>7235</v>
      </c>
      <c r="E507">
        <v>4</v>
      </c>
      <c r="F507">
        <v>2019</v>
      </c>
      <c r="G507" t="s">
        <v>10</v>
      </c>
    </row>
    <row r="508" spans="1:7" x14ac:dyDescent="0.25">
      <c r="A508" t="s">
        <v>129</v>
      </c>
      <c r="B508" t="s">
        <v>126</v>
      </c>
      <c r="C508">
        <v>4.9000000000000004</v>
      </c>
      <c r="D508">
        <v>12619</v>
      </c>
      <c r="E508">
        <v>8</v>
      </c>
      <c r="F508">
        <v>2019</v>
      </c>
      <c r="G508" t="s">
        <v>10</v>
      </c>
    </row>
    <row r="509" spans="1:7" x14ac:dyDescent="0.25">
      <c r="A509" t="s">
        <v>130</v>
      </c>
      <c r="B509" t="s">
        <v>126</v>
      </c>
      <c r="C509">
        <v>4.9000000000000004</v>
      </c>
      <c r="D509">
        <v>9089</v>
      </c>
      <c r="E509">
        <v>8</v>
      </c>
      <c r="F509">
        <v>2019</v>
      </c>
      <c r="G509" t="s">
        <v>10</v>
      </c>
    </row>
    <row r="510" spans="1:7" x14ac:dyDescent="0.25">
      <c r="A510" t="s">
        <v>144</v>
      </c>
      <c r="B510" t="s">
        <v>145</v>
      </c>
      <c r="C510">
        <v>4.7</v>
      </c>
      <c r="D510">
        <v>28729</v>
      </c>
      <c r="E510">
        <v>15</v>
      </c>
      <c r="F510">
        <v>2019</v>
      </c>
      <c r="G510" t="s">
        <v>8</v>
      </c>
    </row>
    <row r="511" spans="1:7" x14ac:dyDescent="0.25">
      <c r="A511" t="s">
        <v>175</v>
      </c>
      <c r="B511" t="s">
        <v>176</v>
      </c>
      <c r="C511">
        <v>4.8</v>
      </c>
      <c r="D511">
        <v>14038</v>
      </c>
      <c r="E511">
        <v>4</v>
      </c>
      <c r="F511">
        <v>2019</v>
      </c>
      <c r="G511" t="s">
        <v>10</v>
      </c>
    </row>
    <row r="512" spans="1:7" x14ac:dyDescent="0.25">
      <c r="A512" t="s">
        <v>177</v>
      </c>
      <c r="B512" t="s">
        <v>178</v>
      </c>
      <c r="C512">
        <v>4.5999999999999996</v>
      </c>
      <c r="D512">
        <v>7660</v>
      </c>
      <c r="E512">
        <v>12</v>
      </c>
      <c r="F512">
        <v>2019</v>
      </c>
      <c r="G512" t="s">
        <v>8</v>
      </c>
    </row>
    <row r="513" spans="1:7" x14ac:dyDescent="0.25">
      <c r="A513" t="s">
        <v>179</v>
      </c>
      <c r="B513" t="s">
        <v>178</v>
      </c>
      <c r="C513">
        <v>4.5999999999999996</v>
      </c>
      <c r="D513">
        <v>22288</v>
      </c>
      <c r="E513">
        <v>12</v>
      </c>
      <c r="F513">
        <v>2019</v>
      </c>
      <c r="G513" t="s">
        <v>8</v>
      </c>
    </row>
    <row r="514" spans="1:7" x14ac:dyDescent="0.25">
      <c r="A514" t="s">
        <v>189</v>
      </c>
      <c r="B514" t="s">
        <v>190</v>
      </c>
      <c r="C514">
        <v>4.5999999999999996</v>
      </c>
      <c r="D514">
        <v>10141</v>
      </c>
      <c r="E514">
        <v>6</v>
      </c>
      <c r="F514">
        <v>2019</v>
      </c>
      <c r="G514" t="s">
        <v>8</v>
      </c>
    </row>
    <row r="515" spans="1:7" x14ac:dyDescent="0.25">
      <c r="A515" t="s">
        <v>193</v>
      </c>
      <c r="B515" t="s">
        <v>194</v>
      </c>
      <c r="C515">
        <v>4.8</v>
      </c>
      <c r="D515">
        <v>8837</v>
      </c>
      <c r="E515">
        <v>5</v>
      </c>
      <c r="F515">
        <v>2019</v>
      </c>
      <c r="G515" t="s">
        <v>10</v>
      </c>
    </row>
    <row r="516" spans="1:7" x14ac:dyDescent="0.25">
      <c r="A516" t="s">
        <v>200</v>
      </c>
      <c r="B516" t="s">
        <v>201</v>
      </c>
      <c r="C516">
        <v>4.8</v>
      </c>
      <c r="D516">
        <v>5476</v>
      </c>
      <c r="E516">
        <v>7</v>
      </c>
      <c r="F516">
        <v>2019</v>
      </c>
      <c r="G516" t="s">
        <v>8</v>
      </c>
    </row>
    <row r="517" spans="1:7" x14ac:dyDescent="0.25">
      <c r="A517" t="s">
        <v>208</v>
      </c>
      <c r="B517" t="s">
        <v>209</v>
      </c>
      <c r="C517">
        <v>4.9000000000000004</v>
      </c>
      <c r="D517">
        <v>7758</v>
      </c>
      <c r="E517">
        <v>18</v>
      </c>
      <c r="F517">
        <v>2019</v>
      </c>
      <c r="G517" t="s">
        <v>10</v>
      </c>
    </row>
    <row r="518" spans="1:7" x14ac:dyDescent="0.25">
      <c r="A518" t="s">
        <v>225</v>
      </c>
      <c r="B518" t="s">
        <v>226</v>
      </c>
      <c r="C518">
        <v>4.3</v>
      </c>
      <c r="D518">
        <v>5272</v>
      </c>
      <c r="E518">
        <v>16</v>
      </c>
      <c r="F518">
        <v>2019</v>
      </c>
      <c r="G518" t="s">
        <v>8</v>
      </c>
    </row>
    <row r="519" spans="1:7" x14ac:dyDescent="0.25">
      <c r="A519" t="s">
        <v>232</v>
      </c>
      <c r="B519" t="s">
        <v>233</v>
      </c>
      <c r="C519">
        <v>4.8</v>
      </c>
      <c r="D519">
        <v>9737</v>
      </c>
      <c r="E519">
        <v>7</v>
      </c>
      <c r="F519">
        <v>2019</v>
      </c>
      <c r="G519" t="s">
        <v>8</v>
      </c>
    </row>
    <row r="520" spans="1:7" x14ac:dyDescent="0.25">
      <c r="A520" t="s">
        <v>236</v>
      </c>
      <c r="B520" t="s">
        <v>237</v>
      </c>
      <c r="C520">
        <v>4.8</v>
      </c>
      <c r="D520">
        <v>16643</v>
      </c>
      <c r="E520">
        <v>4</v>
      </c>
      <c r="F520">
        <v>2019</v>
      </c>
      <c r="G520" t="s">
        <v>10</v>
      </c>
    </row>
    <row r="521" spans="1:7" x14ac:dyDescent="0.25">
      <c r="A521" t="s">
        <v>246</v>
      </c>
      <c r="B521" t="s">
        <v>247</v>
      </c>
      <c r="C521">
        <v>4.4000000000000004</v>
      </c>
      <c r="D521">
        <v>7396</v>
      </c>
      <c r="E521">
        <v>13</v>
      </c>
      <c r="F521">
        <v>2019</v>
      </c>
      <c r="G521" t="s">
        <v>8</v>
      </c>
    </row>
    <row r="522" spans="1:7" x14ac:dyDescent="0.25">
      <c r="A522" t="s">
        <v>248</v>
      </c>
      <c r="B522" t="s">
        <v>249</v>
      </c>
      <c r="C522">
        <v>4.8</v>
      </c>
      <c r="D522">
        <v>7062</v>
      </c>
      <c r="E522">
        <v>12</v>
      </c>
      <c r="F522">
        <v>2019</v>
      </c>
      <c r="G522" t="s">
        <v>8</v>
      </c>
    </row>
    <row r="523" spans="1:7" x14ac:dyDescent="0.25">
      <c r="A523" t="s">
        <v>305</v>
      </c>
      <c r="B523" t="s">
        <v>306</v>
      </c>
      <c r="C523">
        <v>4.8</v>
      </c>
      <c r="D523">
        <v>5347</v>
      </c>
      <c r="E523">
        <v>16</v>
      </c>
      <c r="F523">
        <v>2019</v>
      </c>
      <c r="G523" t="s">
        <v>8</v>
      </c>
    </row>
    <row r="524" spans="1:7" x14ac:dyDescent="0.25">
      <c r="A524" t="s">
        <v>307</v>
      </c>
      <c r="B524" t="s">
        <v>308</v>
      </c>
      <c r="C524">
        <v>4.8</v>
      </c>
      <c r="D524">
        <v>7866</v>
      </c>
      <c r="E524">
        <v>11</v>
      </c>
      <c r="F524">
        <v>2019</v>
      </c>
      <c r="G524" t="s">
        <v>8</v>
      </c>
    </row>
    <row r="525" spans="1:7" x14ac:dyDescent="0.25">
      <c r="A525" t="s">
        <v>316</v>
      </c>
      <c r="B525" t="s">
        <v>317</v>
      </c>
      <c r="C525">
        <v>4.9000000000000004</v>
      </c>
      <c r="D525">
        <v>21834</v>
      </c>
      <c r="E525">
        <v>8</v>
      </c>
      <c r="F525">
        <v>2019</v>
      </c>
      <c r="G525" t="s">
        <v>10</v>
      </c>
    </row>
    <row r="526" spans="1:7" x14ac:dyDescent="0.25">
      <c r="A526" t="s">
        <v>328</v>
      </c>
      <c r="B526" t="s">
        <v>329</v>
      </c>
      <c r="C526">
        <v>4.7</v>
      </c>
      <c r="D526">
        <v>10820</v>
      </c>
      <c r="E526">
        <v>5</v>
      </c>
      <c r="F526">
        <v>2019</v>
      </c>
      <c r="G526" t="s">
        <v>8</v>
      </c>
    </row>
    <row r="527" spans="1:7" x14ac:dyDescent="0.25">
      <c r="A527" t="s">
        <v>332</v>
      </c>
      <c r="B527" t="s">
        <v>333</v>
      </c>
      <c r="C527">
        <v>4.8</v>
      </c>
      <c r="D527">
        <v>16990</v>
      </c>
      <c r="E527">
        <v>27</v>
      </c>
      <c r="F527">
        <v>2019</v>
      </c>
      <c r="G527" t="s">
        <v>10</v>
      </c>
    </row>
    <row r="528" spans="1:7" x14ac:dyDescent="0.25">
      <c r="A528" t="s">
        <v>350</v>
      </c>
      <c r="B528" t="s">
        <v>351</v>
      </c>
      <c r="C528">
        <v>4.8</v>
      </c>
      <c r="D528">
        <v>7802</v>
      </c>
      <c r="E528">
        <v>20</v>
      </c>
      <c r="F528">
        <v>2019</v>
      </c>
      <c r="G528" t="s">
        <v>8</v>
      </c>
    </row>
    <row r="529" spans="1:7" x14ac:dyDescent="0.25">
      <c r="A529" t="s">
        <v>354</v>
      </c>
      <c r="B529" t="s">
        <v>355</v>
      </c>
      <c r="C529">
        <v>4.8</v>
      </c>
      <c r="D529">
        <v>23047</v>
      </c>
      <c r="E529">
        <v>6</v>
      </c>
      <c r="F529">
        <v>2019</v>
      </c>
      <c r="G529" t="s">
        <v>8</v>
      </c>
    </row>
    <row r="530" spans="1:7" x14ac:dyDescent="0.25">
      <c r="A530" t="s">
        <v>366</v>
      </c>
      <c r="B530" t="s">
        <v>367</v>
      </c>
      <c r="C530">
        <v>4.9000000000000004</v>
      </c>
      <c r="D530">
        <v>9382</v>
      </c>
      <c r="E530">
        <v>6</v>
      </c>
      <c r="F530">
        <v>2019</v>
      </c>
      <c r="G530" t="s">
        <v>10</v>
      </c>
    </row>
    <row r="531" spans="1:7" x14ac:dyDescent="0.25">
      <c r="A531" t="s">
        <v>384</v>
      </c>
      <c r="B531" t="s">
        <v>383</v>
      </c>
      <c r="C531">
        <v>4.8</v>
      </c>
      <c r="D531">
        <v>25554</v>
      </c>
      <c r="E531">
        <v>8</v>
      </c>
      <c r="F531">
        <v>2019</v>
      </c>
      <c r="G531" t="s">
        <v>8</v>
      </c>
    </row>
    <row r="532" spans="1:7" x14ac:dyDescent="0.25">
      <c r="A532" t="s">
        <v>400</v>
      </c>
      <c r="B532" t="s">
        <v>401</v>
      </c>
      <c r="C532">
        <v>4.8</v>
      </c>
      <c r="D532">
        <v>12361</v>
      </c>
      <c r="E532">
        <v>12</v>
      </c>
      <c r="F532">
        <v>2019</v>
      </c>
      <c r="G532" t="s">
        <v>8</v>
      </c>
    </row>
    <row r="533" spans="1:7" x14ac:dyDescent="0.25">
      <c r="A533" t="s">
        <v>413</v>
      </c>
      <c r="B533" t="s">
        <v>414</v>
      </c>
      <c r="C533">
        <v>4.3</v>
      </c>
      <c r="D533">
        <v>13061</v>
      </c>
      <c r="E533">
        <v>6</v>
      </c>
      <c r="F533">
        <v>2019</v>
      </c>
      <c r="G533" t="s">
        <v>8</v>
      </c>
    </row>
    <row r="534" spans="1:7" x14ac:dyDescent="0.25">
      <c r="A534" t="s">
        <v>430</v>
      </c>
      <c r="B534" t="s">
        <v>431</v>
      </c>
      <c r="C534">
        <v>4.7</v>
      </c>
      <c r="D534">
        <v>23308</v>
      </c>
      <c r="E534">
        <v>6</v>
      </c>
      <c r="F534">
        <v>2019</v>
      </c>
      <c r="G534" t="s">
        <v>8</v>
      </c>
    </row>
    <row r="535" spans="1:7" x14ac:dyDescent="0.25">
      <c r="A535" t="s">
        <v>446</v>
      </c>
      <c r="B535" t="s">
        <v>375</v>
      </c>
      <c r="C535">
        <v>4.5</v>
      </c>
      <c r="D535">
        <v>13609</v>
      </c>
      <c r="E535">
        <v>14</v>
      </c>
      <c r="F535">
        <v>2019</v>
      </c>
      <c r="G535" t="s">
        <v>10</v>
      </c>
    </row>
    <row r="536" spans="1:7" x14ac:dyDescent="0.25">
      <c r="A536" t="s">
        <v>472</v>
      </c>
      <c r="B536" t="s">
        <v>473</v>
      </c>
      <c r="C536">
        <v>4.5</v>
      </c>
      <c r="D536">
        <v>22641</v>
      </c>
      <c r="E536">
        <v>11</v>
      </c>
      <c r="F536">
        <v>2019</v>
      </c>
      <c r="G536" t="s">
        <v>8</v>
      </c>
    </row>
    <row r="537" spans="1:7" x14ac:dyDescent="0.25">
      <c r="A537" t="s">
        <v>487</v>
      </c>
      <c r="B537" t="s">
        <v>488</v>
      </c>
      <c r="C537">
        <v>4.5999999999999996</v>
      </c>
      <c r="D537">
        <v>2744</v>
      </c>
      <c r="E537">
        <v>12</v>
      </c>
      <c r="F537">
        <v>2019</v>
      </c>
      <c r="G537" t="s">
        <v>8</v>
      </c>
    </row>
    <row r="538" spans="1:7" x14ac:dyDescent="0.25">
      <c r="A538" t="s">
        <v>516</v>
      </c>
      <c r="B538" t="s">
        <v>517</v>
      </c>
      <c r="C538">
        <v>4.5</v>
      </c>
      <c r="D538">
        <v>27536</v>
      </c>
      <c r="E538">
        <v>14</v>
      </c>
      <c r="F538">
        <v>2019</v>
      </c>
      <c r="G538" t="s">
        <v>10</v>
      </c>
    </row>
    <row r="539" spans="1:7" x14ac:dyDescent="0.25">
      <c r="A539" t="s">
        <v>519</v>
      </c>
      <c r="B539" t="s">
        <v>520</v>
      </c>
      <c r="C539">
        <v>4.5999999999999996</v>
      </c>
      <c r="D539">
        <v>26490</v>
      </c>
      <c r="E539">
        <v>15</v>
      </c>
      <c r="F539">
        <v>2019</v>
      </c>
      <c r="G539" t="s">
        <v>8</v>
      </c>
    </row>
    <row r="540" spans="1:7" x14ac:dyDescent="0.25">
      <c r="A540" t="s">
        <v>527</v>
      </c>
      <c r="B540" t="s">
        <v>528</v>
      </c>
      <c r="C540">
        <v>4.7</v>
      </c>
      <c r="D540">
        <v>11550</v>
      </c>
      <c r="E540">
        <v>10</v>
      </c>
      <c r="F540">
        <v>2019</v>
      </c>
      <c r="G540" t="s">
        <v>8</v>
      </c>
    </row>
    <row r="541" spans="1:7" x14ac:dyDescent="0.25">
      <c r="A541" t="s">
        <v>531</v>
      </c>
      <c r="B541" t="s">
        <v>532</v>
      </c>
      <c r="C541">
        <v>4.7</v>
      </c>
      <c r="D541">
        <v>9030</v>
      </c>
      <c r="E541">
        <v>10</v>
      </c>
      <c r="F541">
        <v>2019</v>
      </c>
      <c r="G541" t="s">
        <v>8</v>
      </c>
    </row>
    <row r="542" spans="1:7" x14ac:dyDescent="0.25">
      <c r="A542" t="s">
        <v>533</v>
      </c>
      <c r="B542" t="s">
        <v>534</v>
      </c>
      <c r="C542">
        <v>4.9000000000000004</v>
      </c>
      <c r="D542">
        <v>19546</v>
      </c>
      <c r="E542">
        <v>5</v>
      </c>
      <c r="F542">
        <v>2019</v>
      </c>
      <c r="G542" t="s">
        <v>10</v>
      </c>
    </row>
    <row r="543" spans="1:7" x14ac:dyDescent="0.25">
      <c r="A543" t="s">
        <v>537</v>
      </c>
      <c r="B543" t="s">
        <v>538</v>
      </c>
      <c r="C543">
        <v>4.9000000000000004</v>
      </c>
      <c r="D543">
        <v>8842</v>
      </c>
      <c r="E543">
        <v>10</v>
      </c>
      <c r="F543">
        <v>2019</v>
      </c>
      <c r="G543" t="s">
        <v>10</v>
      </c>
    </row>
    <row r="544" spans="1:7" x14ac:dyDescent="0.25">
      <c r="A544" t="s">
        <v>539</v>
      </c>
      <c r="B544" t="s">
        <v>540</v>
      </c>
      <c r="C544">
        <v>4.8</v>
      </c>
      <c r="D544">
        <v>30183</v>
      </c>
      <c r="E544">
        <v>4</v>
      </c>
      <c r="F544">
        <v>2019</v>
      </c>
      <c r="G544" t="s">
        <v>10</v>
      </c>
    </row>
    <row r="545" spans="1:7" x14ac:dyDescent="0.25">
      <c r="A545" t="s">
        <v>557</v>
      </c>
      <c r="B545" t="s">
        <v>182</v>
      </c>
      <c r="C545">
        <v>4.8</v>
      </c>
      <c r="D545">
        <v>26234</v>
      </c>
      <c r="E545">
        <v>7</v>
      </c>
      <c r="F545">
        <v>2019</v>
      </c>
      <c r="G545" t="s">
        <v>10</v>
      </c>
    </row>
    <row r="546" spans="1:7" x14ac:dyDescent="0.25">
      <c r="A546" t="s">
        <v>568</v>
      </c>
      <c r="B546" t="s">
        <v>277</v>
      </c>
      <c r="C546">
        <v>4.9000000000000004</v>
      </c>
      <c r="D546">
        <v>5956</v>
      </c>
      <c r="E546">
        <v>11</v>
      </c>
      <c r="F546">
        <v>2019</v>
      </c>
      <c r="G546" t="s">
        <v>8</v>
      </c>
    </row>
    <row r="547" spans="1:7" x14ac:dyDescent="0.25">
      <c r="A547" t="s">
        <v>569</v>
      </c>
      <c r="B547" t="s">
        <v>570</v>
      </c>
      <c r="C547">
        <v>4.8</v>
      </c>
      <c r="D547">
        <v>6108</v>
      </c>
      <c r="E547">
        <v>4</v>
      </c>
      <c r="F547">
        <v>2019</v>
      </c>
      <c r="G547" t="s">
        <v>8</v>
      </c>
    </row>
    <row r="548" spans="1:7" x14ac:dyDescent="0.25">
      <c r="A548" t="s">
        <v>581</v>
      </c>
      <c r="B548" t="s">
        <v>582</v>
      </c>
      <c r="C548">
        <v>4.8</v>
      </c>
      <c r="D548">
        <v>8170</v>
      </c>
      <c r="E548">
        <v>13</v>
      </c>
      <c r="F548">
        <v>2019</v>
      </c>
      <c r="G548" t="s">
        <v>10</v>
      </c>
    </row>
    <row r="549" spans="1:7" x14ac:dyDescent="0.25">
      <c r="A549" t="s">
        <v>589</v>
      </c>
      <c r="B549" t="s">
        <v>590</v>
      </c>
      <c r="C549">
        <v>4.8</v>
      </c>
      <c r="D549">
        <v>87841</v>
      </c>
      <c r="E549">
        <v>15</v>
      </c>
      <c r="F549">
        <v>2019</v>
      </c>
      <c r="G549" t="s">
        <v>10</v>
      </c>
    </row>
    <row r="550" spans="1:7" x14ac:dyDescent="0.25">
      <c r="A550" t="s">
        <v>603</v>
      </c>
      <c r="B550" t="s">
        <v>78</v>
      </c>
      <c r="C550">
        <v>4.9000000000000004</v>
      </c>
      <c r="D550">
        <v>9413</v>
      </c>
      <c r="E550">
        <v>8</v>
      </c>
      <c r="F550">
        <v>2019</v>
      </c>
      <c r="G550" t="s">
        <v>10</v>
      </c>
    </row>
    <row r="551" spans="1:7" x14ac:dyDescent="0.25">
      <c r="A551" t="s">
        <v>604</v>
      </c>
      <c r="B551" t="s">
        <v>605</v>
      </c>
      <c r="C551">
        <v>4.7</v>
      </c>
      <c r="D551">
        <v>14331</v>
      </c>
      <c r="E551">
        <v>8</v>
      </c>
      <c r="F551">
        <v>2019</v>
      </c>
      <c r="G551" t="s">
        <v>8</v>
      </c>
    </row>
  </sheetData>
  <autoFilter ref="A1:G563" xr:uid="{00000000-0001-0000-0000-000000000000}">
    <sortState xmlns:xlrd2="http://schemas.microsoft.com/office/spreadsheetml/2017/richdata2" ref="A2:G551">
      <sortCondition ref="F1:F563"/>
    </sortState>
  </autoFilter>
  <conditionalFormatting sqref="D1:D551 D1186:D1048576">
    <cfRule type="cellIs" dxfId="5" priority="2" operator="lessThan">
      <formula>100</formula>
    </cfRule>
  </conditionalFormatting>
  <conditionalFormatting sqref="E2:E1048576">
    <cfRule type="cellIs" dxfId="4" priority="1" operator="notBetween">
      <formula>0</formula>
      <formula>54</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FE917-668A-4CB4-B262-5390151DBEA4}">
  <dimension ref="A1:AZ551"/>
  <sheetViews>
    <sheetView zoomScaleNormal="100" workbookViewId="0">
      <selection activeCell="T19" sqref="T19"/>
    </sheetView>
  </sheetViews>
  <sheetFormatPr defaultRowHeight="15" x14ac:dyDescent="0.25"/>
  <cols>
    <col min="1" max="1" width="29.7109375" customWidth="1"/>
    <col min="2" max="2" width="33.42578125" customWidth="1"/>
    <col min="3" max="3" width="13.28515625" customWidth="1"/>
    <col min="4" max="4" width="10.7109375" bestFit="1" customWidth="1"/>
    <col min="7" max="7" width="11.140625" bestFit="1" customWidth="1"/>
    <col min="8" max="8" width="11.140625" customWidth="1"/>
    <col min="9" max="9" width="13.140625" bestFit="1" customWidth="1"/>
    <col min="10" max="10" width="19.140625" bestFit="1" customWidth="1"/>
    <col min="11" max="11" width="15.140625" bestFit="1" customWidth="1"/>
  </cols>
  <sheetData>
    <row r="1" spans="1:52" x14ac:dyDescent="0.25">
      <c r="A1" t="s">
        <v>0</v>
      </c>
      <c r="B1" t="s">
        <v>610</v>
      </c>
      <c r="C1" t="s">
        <v>1</v>
      </c>
      <c r="D1" t="s">
        <v>2</v>
      </c>
      <c r="E1" t="s">
        <v>3</v>
      </c>
      <c r="F1" t="s">
        <v>4</v>
      </c>
      <c r="G1" t="s">
        <v>5</v>
      </c>
      <c r="I1" t="s">
        <v>5</v>
      </c>
      <c r="J1" t="s">
        <v>632</v>
      </c>
      <c r="AT1" t="s">
        <v>1</v>
      </c>
      <c r="AU1" t="s">
        <v>2</v>
      </c>
      <c r="AV1" t="s">
        <v>3</v>
      </c>
      <c r="AW1" t="s">
        <v>4</v>
      </c>
      <c r="AY1" t="s">
        <v>4</v>
      </c>
      <c r="AZ1" t="s">
        <v>633</v>
      </c>
    </row>
    <row r="2" spans="1:52" x14ac:dyDescent="0.25">
      <c r="A2" t="s">
        <v>6</v>
      </c>
      <c r="B2" t="s">
        <v>7</v>
      </c>
      <c r="C2">
        <v>4.7</v>
      </c>
      <c r="D2">
        <v>17350</v>
      </c>
      <c r="E2">
        <v>8</v>
      </c>
      <c r="F2">
        <v>2016</v>
      </c>
      <c r="G2" t="s">
        <v>8</v>
      </c>
      <c r="I2" t="s">
        <v>8</v>
      </c>
      <c r="J2">
        <f>COUNTIF(G:G,I2)</f>
        <v>310</v>
      </c>
      <c r="K2" s="3"/>
      <c r="AT2">
        <v>4.7</v>
      </c>
      <c r="AU2">
        <v>17350</v>
      </c>
      <c r="AV2">
        <v>8</v>
      </c>
      <c r="AW2">
        <v>2016</v>
      </c>
      <c r="AY2">
        <v>2009</v>
      </c>
      <c r="AZ2">
        <v>4.5839999999999996</v>
      </c>
    </row>
    <row r="3" spans="1:52" x14ac:dyDescent="0.25">
      <c r="A3" t="s">
        <v>606</v>
      </c>
      <c r="B3" t="s">
        <v>9</v>
      </c>
      <c r="C3">
        <v>4.5999999999999996</v>
      </c>
      <c r="D3">
        <v>2052</v>
      </c>
      <c r="E3">
        <v>22</v>
      </c>
      <c r="F3">
        <v>2011</v>
      </c>
      <c r="G3" t="s">
        <v>10</v>
      </c>
      <c r="I3" t="s">
        <v>10</v>
      </c>
      <c r="J3">
        <f>COUNTIF(G:G,I3)</f>
        <v>240</v>
      </c>
      <c r="K3" s="3"/>
      <c r="AT3">
        <v>4.5999999999999996</v>
      </c>
      <c r="AU3">
        <v>2052</v>
      </c>
      <c r="AV3">
        <v>22</v>
      </c>
      <c r="AW3">
        <v>2011</v>
      </c>
      <c r="AY3">
        <v>2010</v>
      </c>
      <c r="AZ3">
        <v>4.5579999999999998</v>
      </c>
    </row>
    <row r="4" spans="1:52" x14ac:dyDescent="0.25">
      <c r="A4" t="s">
        <v>11</v>
      </c>
      <c r="B4" t="s">
        <v>12</v>
      </c>
      <c r="C4">
        <v>4.7</v>
      </c>
      <c r="D4">
        <v>18979</v>
      </c>
      <c r="E4">
        <v>15</v>
      </c>
      <c r="F4">
        <v>2018</v>
      </c>
      <c r="G4" t="s">
        <v>8</v>
      </c>
      <c r="AT4">
        <v>4.7</v>
      </c>
      <c r="AU4">
        <v>18979</v>
      </c>
      <c r="AV4">
        <v>15</v>
      </c>
      <c r="AW4">
        <v>2018</v>
      </c>
      <c r="AY4">
        <v>2011</v>
      </c>
      <c r="AZ4">
        <v>4.5580000000000007</v>
      </c>
    </row>
    <row r="5" spans="1:52" x14ac:dyDescent="0.25">
      <c r="A5" t="s">
        <v>13</v>
      </c>
      <c r="B5" t="s">
        <v>14</v>
      </c>
      <c r="C5">
        <v>4.7</v>
      </c>
      <c r="D5">
        <v>21424</v>
      </c>
      <c r="E5">
        <v>6</v>
      </c>
      <c r="F5">
        <v>2017</v>
      </c>
      <c r="G5" t="s">
        <v>10</v>
      </c>
      <c r="AT5">
        <v>4.7</v>
      </c>
      <c r="AU5">
        <v>21424</v>
      </c>
      <c r="AV5">
        <v>6</v>
      </c>
      <c r="AW5">
        <v>2017</v>
      </c>
      <c r="AY5">
        <v>2012</v>
      </c>
      <c r="AZ5">
        <v>4.532</v>
      </c>
    </row>
    <row r="6" spans="1:52" x14ac:dyDescent="0.25">
      <c r="A6" t="s">
        <v>15</v>
      </c>
      <c r="B6" t="s">
        <v>16</v>
      </c>
      <c r="C6">
        <v>4.8</v>
      </c>
      <c r="D6">
        <v>7665</v>
      </c>
      <c r="E6">
        <v>12</v>
      </c>
      <c r="F6">
        <v>2019</v>
      </c>
      <c r="G6" t="s">
        <v>8</v>
      </c>
      <c r="AT6">
        <v>4.8</v>
      </c>
      <c r="AU6">
        <v>7665</v>
      </c>
      <c r="AV6">
        <v>12</v>
      </c>
      <c r="AW6">
        <v>2019</v>
      </c>
      <c r="AY6">
        <v>2013</v>
      </c>
      <c r="AZ6">
        <v>4.5540000000000003</v>
      </c>
    </row>
    <row r="7" spans="1:52" x14ac:dyDescent="0.25">
      <c r="A7" t="s">
        <v>17</v>
      </c>
      <c r="B7" t="s">
        <v>18</v>
      </c>
      <c r="C7">
        <v>4.4000000000000004</v>
      </c>
      <c r="D7">
        <v>12643</v>
      </c>
      <c r="E7">
        <v>11</v>
      </c>
      <c r="F7">
        <v>2011</v>
      </c>
      <c r="G7" t="s">
        <v>10</v>
      </c>
      <c r="I7" t="s">
        <v>638</v>
      </c>
      <c r="AT7">
        <v>4.4000000000000004</v>
      </c>
      <c r="AU7">
        <v>12643</v>
      </c>
      <c r="AV7">
        <v>11</v>
      </c>
      <c r="AW7">
        <v>2011</v>
      </c>
      <c r="AY7">
        <v>2014</v>
      </c>
      <c r="AZ7">
        <v>4.6220000000000008</v>
      </c>
    </row>
    <row r="8" spans="1:52" x14ac:dyDescent="0.25">
      <c r="A8" t="s">
        <v>19</v>
      </c>
      <c r="B8" t="s">
        <v>18</v>
      </c>
      <c r="C8">
        <v>4.7</v>
      </c>
      <c r="D8">
        <v>19735</v>
      </c>
      <c r="E8">
        <v>30</v>
      </c>
      <c r="F8">
        <v>2014</v>
      </c>
      <c r="G8" t="s">
        <v>10</v>
      </c>
      <c r="I8" s="5" t="s">
        <v>634</v>
      </c>
      <c r="J8" s="5" t="s">
        <v>637</v>
      </c>
      <c r="K8" t="s">
        <v>636</v>
      </c>
      <c r="AT8">
        <v>4.7</v>
      </c>
      <c r="AU8">
        <v>19735</v>
      </c>
      <c r="AV8">
        <v>30</v>
      </c>
      <c r="AW8">
        <v>2014</v>
      </c>
      <c r="AY8">
        <v>2015</v>
      </c>
      <c r="AZ8">
        <v>4.6479999999999997</v>
      </c>
    </row>
    <row r="9" spans="1:52" x14ac:dyDescent="0.25">
      <c r="A9" t="s">
        <v>20</v>
      </c>
      <c r="B9" t="s">
        <v>21</v>
      </c>
      <c r="C9">
        <v>4.7</v>
      </c>
      <c r="D9">
        <v>19699</v>
      </c>
      <c r="E9">
        <v>15</v>
      </c>
      <c r="F9">
        <v>2017</v>
      </c>
      <c r="G9" t="s">
        <v>10</v>
      </c>
      <c r="I9" s="6" t="s">
        <v>10</v>
      </c>
      <c r="J9" s="7">
        <v>4.6483333333333263</v>
      </c>
      <c r="K9" s="7">
        <v>3764110</v>
      </c>
      <c r="AT9">
        <v>4.7</v>
      </c>
      <c r="AU9">
        <v>19699</v>
      </c>
      <c r="AV9">
        <v>15</v>
      </c>
      <c r="AW9">
        <v>2017</v>
      </c>
      <c r="AY9">
        <v>2016</v>
      </c>
      <c r="AZ9">
        <v>4.6780000000000008</v>
      </c>
    </row>
    <row r="10" spans="1:52" x14ac:dyDescent="0.25">
      <c r="A10" t="s">
        <v>22</v>
      </c>
      <c r="B10" t="s">
        <v>23</v>
      </c>
      <c r="C10">
        <v>4.7</v>
      </c>
      <c r="D10">
        <v>5983</v>
      </c>
      <c r="E10">
        <v>3</v>
      </c>
      <c r="F10">
        <v>2018</v>
      </c>
      <c r="G10" t="s">
        <v>8</v>
      </c>
      <c r="I10" s="6" t="s">
        <v>8</v>
      </c>
      <c r="J10" s="7">
        <v>4.5951612903225794</v>
      </c>
      <c r="K10" s="7">
        <v>2810195</v>
      </c>
      <c r="AT10">
        <v>4.7</v>
      </c>
      <c r="AU10">
        <v>5983</v>
      </c>
      <c r="AV10">
        <v>3</v>
      </c>
      <c r="AW10">
        <v>2018</v>
      </c>
      <c r="AY10">
        <v>2017</v>
      </c>
      <c r="AZ10">
        <v>4.66</v>
      </c>
    </row>
    <row r="11" spans="1:52" x14ac:dyDescent="0.25">
      <c r="A11" t="s">
        <v>24</v>
      </c>
      <c r="B11" t="s">
        <v>25</v>
      </c>
      <c r="C11">
        <v>4.5999999999999996</v>
      </c>
      <c r="D11">
        <v>23848</v>
      </c>
      <c r="E11">
        <v>8</v>
      </c>
      <c r="F11">
        <v>2016</v>
      </c>
      <c r="G11" t="s">
        <v>10</v>
      </c>
      <c r="I11" s="6" t="s">
        <v>635</v>
      </c>
      <c r="J11" s="7">
        <v>4.6183636363636271</v>
      </c>
      <c r="K11" s="7">
        <v>6574305</v>
      </c>
      <c r="AT11">
        <v>4.5999999999999996</v>
      </c>
      <c r="AU11">
        <v>23848</v>
      </c>
      <c r="AV11">
        <v>8</v>
      </c>
      <c r="AW11">
        <v>2016</v>
      </c>
      <c r="AY11">
        <v>2018</v>
      </c>
      <c r="AZ11">
        <v>4.6680000000000028</v>
      </c>
    </row>
    <row r="12" spans="1:52" x14ac:dyDescent="0.25">
      <c r="A12" t="s">
        <v>24</v>
      </c>
      <c r="B12" t="s">
        <v>25</v>
      </c>
      <c r="C12">
        <v>4.5999999999999996</v>
      </c>
      <c r="D12">
        <v>23848</v>
      </c>
      <c r="E12">
        <v>8</v>
      </c>
      <c r="F12">
        <v>2017</v>
      </c>
      <c r="G12" t="s">
        <v>10</v>
      </c>
      <c r="AT12">
        <v>4.5999999999999996</v>
      </c>
      <c r="AU12">
        <v>23848</v>
      </c>
      <c r="AV12">
        <v>8</v>
      </c>
      <c r="AW12">
        <v>2017</v>
      </c>
      <c r="AY12">
        <v>2019</v>
      </c>
      <c r="AZ12">
        <v>4.740000000000002</v>
      </c>
    </row>
    <row r="13" spans="1:52" x14ac:dyDescent="0.25">
      <c r="A13" t="s">
        <v>26</v>
      </c>
      <c r="B13" t="s">
        <v>27</v>
      </c>
      <c r="C13">
        <v>4.5999999999999996</v>
      </c>
      <c r="D13">
        <v>460</v>
      </c>
      <c r="E13">
        <v>2</v>
      </c>
      <c r="F13">
        <v>2010</v>
      </c>
      <c r="G13" t="s">
        <v>8</v>
      </c>
      <c r="AT13">
        <v>4.5999999999999996</v>
      </c>
      <c r="AU13">
        <v>460</v>
      </c>
      <c r="AV13">
        <v>2</v>
      </c>
      <c r="AW13">
        <v>2010</v>
      </c>
    </row>
    <row r="14" spans="1:52" x14ac:dyDescent="0.25">
      <c r="A14" t="s">
        <v>28</v>
      </c>
      <c r="B14" t="s">
        <v>29</v>
      </c>
      <c r="C14">
        <v>4.5999999999999996</v>
      </c>
      <c r="D14">
        <v>4149</v>
      </c>
      <c r="E14">
        <v>32</v>
      </c>
      <c r="F14">
        <v>2011</v>
      </c>
      <c r="G14" t="s">
        <v>8</v>
      </c>
      <c r="AT14">
        <v>4.5999999999999996</v>
      </c>
      <c r="AU14">
        <v>4149</v>
      </c>
      <c r="AV14">
        <v>32</v>
      </c>
      <c r="AW14">
        <v>2011</v>
      </c>
    </row>
    <row r="15" spans="1:52" x14ac:dyDescent="0.25">
      <c r="A15" t="s">
        <v>30</v>
      </c>
      <c r="B15" t="s">
        <v>31</v>
      </c>
      <c r="C15">
        <v>4.5</v>
      </c>
      <c r="D15">
        <v>5153</v>
      </c>
      <c r="E15">
        <v>5</v>
      </c>
      <c r="F15">
        <v>2018</v>
      </c>
      <c r="G15" t="s">
        <v>10</v>
      </c>
      <c r="AT15">
        <v>4.5</v>
      </c>
      <c r="AU15">
        <v>5153</v>
      </c>
      <c r="AV15">
        <v>5</v>
      </c>
      <c r="AW15">
        <v>2018</v>
      </c>
    </row>
    <row r="16" spans="1:52" x14ac:dyDescent="0.25">
      <c r="A16" t="s">
        <v>32</v>
      </c>
      <c r="B16" t="s">
        <v>33</v>
      </c>
      <c r="C16">
        <v>4.5999999999999996</v>
      </c>
      <c r="D16">
        <v>5013</v>
      </c>
      <c r="E16">
        <v>17</v>
      </c>
      <c r="F16">
        <v>2009</v>
      </c>
      <c r="G16" t="s">
        <v>8</v>
      </c>
      <c r="AT16">
        <v>4.5999999999999996</v>
      </c>
      <c r="AU16">
        <v>5013</v>
      </c>
      <c r="AV16">
        <v>17</v>
      </c>
      <c r="AW16">
        <v>2009</v>
      </c>
    </row>
    <row r="17" spans="1:49" x14ac:dyDescent="0.25">
      <c r="A17" t="s">
        <v>34</v>
      </c>
      <c r="B17" t="s">
        <v>35</v>
      </c>
      <c r="C17">
        <v>4.5</v>
      </c>
      <c r="D17">
        <v>2313</v>
      </c>
      <c r="E17">
        <v>4</v>
      </c>
      <c r="F17">
        <v>2016</v>
      </c>
      <c r="G17" t="s">
        <v>8</v>
      </c>
      <c r="AT17">
        <v>4.5</v>
      </c>
      <c r="AU17">
        <v>2313</v>
      </c>
      <c r="AV17">
        <v>4</v>
      </c>
      <c r="AW17">
        <v>2016</v>
      </c>
    </row>
    <row r="18" spans="1:49" x14ac:dyDescent="0.25">
      <c r="A18" t="s">
        <v>36</v>
      </c>
      <c r="B18" t="s">
        <v>37</v>
      </c>
      <c r="C18">
        <v>4.5999999999999996</v>
      </c>
      <c r="D18">
        <v>2925</v>
      </c>
      <c r="E18">
        <v>6</v>
      </c>
      <c r="F18">
        <v>2015</v>
      </c>
      <c r="G18" t="s">
        <v>8</v>
      </c>
      <c r="AT18">
        <v>4.5999999999999996</v>
      </c>
      <c r="AU18">
        <v>2925</v>
      </c>
      <c r="AV18">
        <v>6</v>
      </c>
      <c r="AW18">
        <v>2015</v>
      </c>
    </row>
    <row r="19" spans="1:49" x14ac:dyDescent="0.25">
      <c r="A19" t="s">
        <v>38</v>
      </c>
      <c r="B19" t="s">
        <v>37</v>
      </c>
      <c r="C19">
        <v>4.4000000000000004</v>
      </c>
      <c r="D19">
        <v>2951</v>
      </c>
      <c r="E19">
        <v>6</v>
      </c>
      <c r="F19">
        <v>2015</v>
      </c>
      <c r="G19" t="s">
        <v>8</v>
      </c>
      <c r="AT19">
        <v>4.4000000000000004</v>
      </c>
      <c r="AU19">
        <v>2951</v>
      </c>
      <c r="AV19">
        <v>6</v>
      </c>
      <c r="AW19">
        <v>2015</v>
      </c>
    </row>
    <row r="20" spans="1:49" x14ac:dyDescent="0.25">
      <c r="A20" t="s">
        <v>39</v>
      </c>
      <c r="B20" t="s">
        <v>40</v>
      </c>
      <c r="C20">
        <v>4.5</v>
      </c>
      <c r="D20">
        <v>2426</v>
      </c>
      <c r="E20">
        <v>8</v>
      </c>
      <c r="F20">
        <v>2015</v>
      </c>
      <c r="G20" t="s">
        <v>8</v>
      </c>
      <c r="AT20">
        <v>4.5</v>
      </c>
      <c r="AU20">
        <v>2426</v>
      </c>
      <c r="AV20">
        <v>8</v>
      </c>
      <c r="AW20">
        <v>2015</v>
      </c>
    </row>
    <row r="21" spans="1:49" x14ac:dyDescent="0.25">
      <c r="A21" t="s">
        <v>41</v>
      </c>
      <c r="B21" t="s">
        <v>42</v>
      </c>
      <c r="C21">
        <v>4.8</v>
      </c>
      <c r="D21">
        <v>9198</v>
      </c>
      <c r="E21">
        <v>13</v>
      </c>
      <c r="F21">
        <v>2016</v>
      </c>
      <c r="G21" t="s">
        <v>8</v>
      </c>
      <c r="AT21">
        <v>4.8</v>
      </c>
      <c r="AU21">
        <v>9198</v>
      </c>
      <c r="AV21">
        <v>13</v>
      </c>
      <c r="AW21">
        <v>2016</v>
      </c>
    </row>
    <row r="22" spans="1:49" x14ac:dyDescent="0.25">
      <c r="A22" t="s">
        <v>43</v>
      </c>
      <c r="B22" t="s">
        <v>44</v>
      </c>
      <c r="C22">
        <v>4.5999999999999996</v>
      </c>
      <c r="D22">
        <v>36348</v>
      </c>
      <c r="E22">
        <v>14</v>
      </c>
      <c r="F22">
        <v>2014</v>
      </c>
      <c r="G22" t="s">
        <v>10</v>
      </c>
      <c r="AT22">
        <v>4.5999999999999996</v>
      </c>
      <c r="AU22">
        <v>36348</v>
      </c>
      <c r="AV22">
        <v>14</v>
      </c>
      <c r="AW22">
        <v>2014</v>
      </c>
    </row>
    <row r="23" spans="1:49" x14ac:dyDescent="0.25">
      <c r="A23" t="s">
        <v>43</v>
      </c>
      <c r="B23" t="s">
        <v>44</v>
      </c>
      <c r="C23">
        <v>4.5999999999999996</v>
      </c>
      <c r="D23">
        <v>36348</v>
      </c>
      <c r="E23">
        <v>14</v>
      </c>
      <c r="F23">
        <v>2015</v>
      </c>
      <c r="G23" t="s">
        <v>10</v>
      </c>
      <c r="AT23">
        <v>4.5999999999999996</v>
      </c>
      <c r="AU23">
        <v>36348</v>
      </c>
      <c r="AV23">
        <v>14</v>
      </c>
      <c r="AW23">
        <v>2015</v>
      </c>
    </row>
    <row r="24" spans="1:49" x14ac:dyDescent="0.25">
      <c r="A24" t="s">
        <v>45</v>
      </c>
      <c r="B24" t="s">
        <v>46</v>
      </c>
      <c r="C24">
        <v>3.9</v>
      </c>
      <c r="D24">
        <v>6310</v>
      </c>
      <c r="E24">
        <v>13</v>
      </c>
      <c r="F24">
        <v>2013</v>
      </c>
      <c r="G24" t="s">
        <v>10</v>
      </c>
      <c r="AT24">
        <v>3.9</v>
      </c>
      <c r="AU24">
        <v>6310</v>
      </c>
      <c r="AV24">
        <v>13</v>
      </c>
      <c r="AW24">
        <v>2013</v>
      </c>
    </row>
    <row r="25" spans="1:49" x14ac:dyDescent="0.25">
      <c r="A25" t="s">
        <v>47</v>
      </c>
      <c r="B25" t="s">
        <v>48</v>
      </c>
      <c r="C25">
        <v>4.5999999999999996</v>
      </c>
      <c r="D25">
        <v>15921</v>
      </c>
      <c r="E25">
        <v>9</v>
      </c>
      <c r="F25">
        <v>2015</v>
      </c>
      <c r="G25" t="s">
        <v>8</v>
      </c>
      <c r="AT25">
        <v>4.5999999999999996</v>
      </c>
      <c r="AU25">
        <v>15921</v>
      </c>
      <c r="AV25">
        <v>9</v>
      </c>
      <c r="AW25">
        <v>2015</v>
      </c>
    </row>
    <row r="26" spans="1:49" x14ac:dyDescent="0.25">
      <c r="A26" t="s">
        <v>49</v>
      </c>
      <c r="B26" t="s">
        <v>50</v>
      </c>
      <c r="C26">
        <v>4.3</v>
      </c>
      <c r="D26">
        <v>12159</v>
      </c>
      <c r="E26">
        <v>13</v>
      </c>
      <c r="F26">
        <v>2013</v>
      </c>
      <c r="G26" t="s">
        <v>10</v>
      </c>
      <c r="AT26">
        <v>4.3</v>
      </c>
      <c r="AU26">
        <v>12159</v>
      </c>
      <c r="AV26">
        <v>13</v>
      </c>
      <c r="AW26">
        <v>2013</v>
      </c>
    </row>
    <row r="27" spans="1:49" x14ac:dyDescent="0.25">
      <c r="A27" t="s">
        <v>51</v>
      </c>
      <c r="B27" t="s">
        <v>52</v>
      </c>
      <c r="C27">
        <v>4.5999999999999996</v>
      </c>
      <c r="D27">
        <v>798</v>
      </c>
      <c r="E27">
        <v>5</v>
      </c>
      <c r="F27">
        <v>2009</v>
      </c>
      <c r="G27" t="s">
        <v>8</v>
      </c>
      <c r="AT27">
        <v>4.5999999999999996</v>
      </c>
      <c r="AU27">
        <v>798</v>
      </c>
      <c r="AV27">
        <v>5</v>
      </c>
      <c r="AW27">
        <v>2009</v>
      </c>
    </row>
    <row r="28" spans="1:49" x14ac:dyDescent="0.25">
      <c r="A28" t="s">
        <v>53</v>
      </c>
      <c r="B28" t="s">
        <v>54</v>
      </c>
      <c r="C28">
        <v>4.7</v>
      </c>
      <c r="D28">
        <v>9374</v>
      </c>
      <c r="E28">
        <v>9</v>
      </c>
      <c r="F28">
        <v>2017</v>
      </c>
      <c r="G28" t="s">
        <v>8</v>
      </c>
      <c r="AT28">
        <v>4.7</v>
      </c>
      <c r="AU28">
        <v>9374</v>
      </c>
      <c r="AV28">
        <v>9</v>
      </c>
      <c r="AW28">
        <v>2017</v>
      </c>
    </row>
    <row r="29" spans="1:49" x14ac:dyDescent="0.25">
      <c r="A29" t="s">
        <v>55</v>
      </c>
      <c r="B29" t="s">
        <v>56</v>
      </c>
      <c r="C29">
        <v>4.2</v>
      </c>
      <c r="D29">
        <v>491</v>
      </c>
      <c r="E29">
        <v>14</v>
      </c>
      <c r="F29">
        <v>2010</v>
      </c>
      <c r="G29" t="s">
        <v>8</v>
      </c>
      <c r="AT29">
        <v>4.2</v>
      </c>
      <c r="AU29">
        <v>491</v>
      </c>
      <c r="AV29">
        <v>14</v>
      </c>
      <c r="AW29">
        <v>2010</v>
      </c>
    </row>
    <row r="30" spans="1:49" x14ac:dyDescent="0.25">
      <c r="A30" t="s">
        <v>57</v>
      </c>
      <c r="B30" t="s">
        <v>58</v>
      </c>
      <c r="C30">
        <v>4.5999999999999996</v>
      </c>
      <c r="D30">
        <v>5360</v>
      </c>
      <c r="E30">
        <v>5</v>
      </c>
      <c r="F30">
        <v>2015</v>
      </c>
      <c r="G30" t="s">
        <v>8</v>
      </c>
      <c r="AT30">
        <v>4.5999999999999996</v>
      </c>
      <c r="AU30">
        <v>5360</v>
      </c>
      <c r="AV30">
        <v>5</v>
      </c>
      <c r="AW30">
        <v>2015</v>
      </c>
    </row>
    <row r="31" spans="1:49" x14ac:dyDescent="0.25">
      <c r="A31" t="s">
        <v>59</v>
      </c>
      <c r="B31" t="s">
        <v>60</v>
      </c>
      <c r="C31">
        <v>4.5999999999999996</v>
      </c>
      <c r="D31">
        <v>1909</v>
      </c>
      <c r="E31">
        <v>11</v>
      </c>
      <c r="F31">
        <v>2015</v>
      </c>
      <c r="G31" t="s">
        <v>8</v>
      </c>
      <c r="AT31">
        <v>4.5999999999999996</v>
      </c>
      <c r="AU31">
        <v>1909</v>
      </c>
      <c r="AV31">
        <v>11</v>
      </c>
      <c r="AW31">
        <v>2015</v>
      </c>
    </row>
    <row r="32" spans="1:49" x14ac:dyDescent="0.25">
      <c r="A32" t="s">
        <v>61</v>
      </c>
      <c r="B32" t="s">
        <v>62</v>
      </c>
      <c r="C32">
        <v>4.8</v>
      </c>
      <c r="D32">
        <v>1296</v>
      </c>
      <c r="E32">
        <v>24</v>
      </c>
      <c r="F32">
        <v>2012</v>
      </c>
      <c r="G32" t="s">
        <v>8</v>
      </c>
      <c r="AT32">
        <v>4.8</v>
      </c>
      <c r="AU32">
        <v>1296</v>
      </c>
      <c r="AV32">
        <v>24</v>
      </c>
      <c r="AW32">
        <v>2012</v>
      </c>
    </row>
    <row r="33" spans="1:49" x14ac:dyDescent="0.25">
      <c r="A33" t="s">
        <v>63</v>
      </c>
      <c r="B33" t="s">
        <v>62</v>
      </c>
      <c r="C33">
        <v>4.7</v>
      </c>
      <c r="D33">
        <v>615</v>
      </c>
      <c r="E33">
        <v>21</v>
      </c>
      <c r="F33">
        <v>2010</v>
      </c>
      <c r="G33" t="s">
        <v>8</v>
      </c>
      <c r="AT33">
        <v>4.7</v>
      </c>
      <c r="AU33">
        <v>615</v>
      </c>
      <c r="AV33">
        <v>21</v>
      </c>
      <c r="AW33">
        <v>2010</v>
      </c>
    </row>
    <row r="34" spans="1:49" x14ac:dyDescent="0.25">
      <c r="A34" t="s">
        <v>64</v>
      </c>
      <c r="B34" t="s">
        <v>65</v>
      </c>
      <c r="C34">
        <v>4.8</v>
      </c>
      <c r="D34">
        <v>61133</v>
      </c>
      <c r="E34">
        <v>11</v>
      </c>
      <c r="F34">
        <v>2018</v>
      </c>
      <c r="G34" t="s">
        <v>8</v>
      </c>
      <c r="AT34">
        <v>4.8</v>
      </c>
      <c r="AU34">
        <v>61133</v>
      </c>
      <c r="AV34">
        <v>11</v>
      </c>
      <c r="AW34">
        <v>2018</v>
      </c>
    </row>
    <row r="35" spans="1:49" x14ac:dyDescent="0.25">
      <c r="A35" t="s">
        <v>64</v>
      </c>
      <c r="B35" t="s">
        <v>65</v>
      </c>
      <c r="C35">
        <v>4.8</v>
      </c>
      <c r="D35">
        <v>61133</v>
      </c>
      <c r="E35">
        <v>11</v>
      </c>
      <c r="F35">
        <v>2019</v>
      </c>
      <c r="G35" t="s">
        <v>8</v>
      </c>
      <c r="AT35">
        <v>4.8</v>
      </c>
      <c r="AU35">
        <v>61133</v>
      </c>
      <c r="AV35">
        <v>11</v>
      </c>
      <c r="AW35">
        <v>2019</v>
      </c>
    </row>
    <row r="36" spans="1:49" x14ac:dyDescent="0.25">
      <c r="A36" t="s">
        <v>66</v>
      </c>
      <c r="B36" t="s">
        <v>67</v>
      </c>
      <c r="C36">
        <v>4.8</v>
      </c>
      <c r="D36">
        <v>11113</v>
      </c>
      <c r="E36">
        <v>15</v>
      </c>
      <c r="F36">
        <v>2015</v>
      </c>
      <c r="G36" t="s">
        <v>8</v>
      </c>
      <c r="AT36">
        <v>4.8</v>
      </c>
      <c r="AU36">
        <v>11113</v>
      </c>
      <c r="AV36">
        <v>15</v>
      </c>
      <c r="AW36">
        <v>2015</v>
      </c>
    </row>
    <row r="37" spans="1:49" x14ac:dyDescent="0.25">
      <c r="A37" t="s">
        <v>68</v>
      </c>
      <c r="B37" t="s">
        <v>69</v>
      </c>
      <c r="C37">
        <v>4.7</v>
      </c>
      <c r="D37">
        <v>10070</v>
      </c>
      <c r="E37">
        <v>13</v>
      </c>
      <c r="F37">
        <v>2015</v>
      </c>
      <c r="G37" t="s">
        <v>8</v>
      </c>
      <c r="AT37">
        <v>4.7</v>
      </c>
      <c r="AU37">
        <v>10070</v>
      </c>
      <c r="AV37">
        <v>13</v>
      </c>
      <c r="AW37">
        <v>2015</v>
      </c>
    </row>
    <row r="38" spans="1:49" x14ac:dyDescent="0.25">
      <c r="A38" t="s">
        <v>68</v>
      </c>
      <c r="B38" t="s">
        <v>69</v>
      </c>
      <c r="C38">
        <v>4.7</v>
      </c>
      <c r="D38">
        <v>10070</v>
      </c>
      <c r="E38">
        <v>13</v>
      </c>
      <c r="F38">
        <v>2016</v>
      </c>
      <c r="G38" t="s">
        <v>8</v>
      </c>
      <c r="AT38">
        <v>4.7</v>
      </c>
      <c r="AU38">
        <v>10070</v>
      </c>
      <c r="AV38">
        <v>13</v>
      </c>
      <c r="AW38">
        <v>2016</v>
      </c>
    </row>
    <row r="39" spans="1:49" x14ac:dyDescent="0.25">
      <c r="A39" t="s">
        <v>70</v>
      </c>
      <c r="B39" t="s">
        <v>71</v>
      </c>
      <c r="C39">
        <v>4.7</v>
      </c>
      <c r="D39">
        <v>3729</v>
      </c>
      <c r="E39">
        <v>18</v>
      </c>
      <c r="F39">
        <v>2016</v>
      </c>
      <c r="G39" t="s">
        <v>8</v>
      </c>
      <c r="AT39">
        <v>4.7</v>
      </c>
      <c r="AU39">
        <v>3729</v>
      </c>
      <c r="AV39">
        <v>18</v>
      </c>
      <c r="AW39">
        <v>2016</v>
      </c>
    </row>
    <row r="40" spans="1:49" x14ac:dyDescent="0.25">
      <c r="A40" t="s">
        <v>72</v>
      </c>
      <c r="B40" t="s">
        <v>73</v>
      </c>
      <c r="C40">
        <v>4.5999999999999996</v>
      </c>
      <c r="D40">
        <v>9769</v>
      </c>
      <c r="E40">
        <v>13</v>
      </c>
      <c r="F40">
        <v>2009</v>
      </c>
      <c r="G40" t="s">
        <v>10</v>
      </c>
      <c r="AT40">
        <v>4.5999999999999996</v>
      </c>
      <c r="AU40">
        <v>9769</v>
      </c>
      <c r="AV40">
        <v>13</v>
      </c>
      <c r="AW40">
        <v>2009</v>
      </c>
    </row>
    <row r="41" spans="1:49" x14ac:dyDescent="0.25">
      <c r="A41" t="s">
        <v>74</v>
      </c>
      <c r="B41" t="s">
        <v>52</v>
      </c>
      <c r="C41">
        <v>4.5</v>
      </c>
      <c r="D41">
        <v>471</v>
      </c>
      <c r="E41">
        <v>8</v>
      </c>
      <c r="F41">
        <v>2010</v>
      </c>
      <c r="G41" t="s">
        <v>8</v>
      </c>
      <c r="AT41">
        <v>4.5</v>
      </c>
      <c r="AU41">
        <v>471</v>
      </c>
      <c r="AV41">
        <v>8</v>
      </c>
      <c r="AW41">
        <v>2010</v>
      </c>
    </row>
    <row r="42" spans="1:49" x14ac:dyDescent="0.25">
      <c r="A42" t="s">
        <v>75</v>
      </c>
      <c r="B42" t="s">
        <v>76</v>
      </c>
      <c r="C42">
        <v>4.9000000000000004</v>
      </c>
      <c r="D42">
        <v>14344</v>
      </c>
      <c r="E42">
        <v>5</v>
      </c>
      <c r="F42">
        <v>2017</v>
      </c>
      <c r="G42" t="s">
        <v>10</v>
      </c>
      <c r="AT42">
        <v>4.9000000000000004</v>
      </c>
      <c r="AU42">
        <v>14344</v>
      </c>
      <c r="AV42">
        <v>5</v>
      </c>
      <c r="AW42">
        <v>2017</v>
      </c>
    </row>
    <row r="43" spans="1:49" x14ac:dyDescent="0.25">
      <c r="A43" t="s">
        <v>75</v>
      </c>
      <c r="B43" t="s">
        <v>76</v>
      </c>
      <c r="C43">
        <v>4.9000000000000004</v>
      </c>
      <c r="D43">
        <v>14344</v>
      </c>
      <c r="E43">
        <v>5</v>
      </c>
      <c r="F43">
        <v>2019</v>
      </c>
      <c r="G43" t="s">
        <v>10</v>
      </c>
      <c r="AT43">
        <v>4.9000000000000004</v>
      </c>
      <c r="AU43">
        <v>14344</v>
      </c>
      <c r="AV43">
        <v>5</v>
      </c>
      <c r="AW43">
        <v>2019</v>
      </c>
    </row>
    <row r="44" spans="1:49" x14ac:dyDescent="0.25">
      <c r="A44" t="s">
        <v>77</v>
      </c>
      <c r="B44" t="s">
        <v>78</v>
      </c>
      <c r="C44">
        <v>4.8</v>
      </c>
      <c r="D44">
        <v>4505</v>
      </c>
      <c r="E44">
        <v>0</v>
      </c>
      <c r="F44">
        <v>2011</v>
      </c>
      <c r="G44" t="s">
        <v>10</v>
      </c>
      <c r="AT44">
        <v>4.8</v>
      </c>
      <c r="AU44">
        <v>4505</v>
      </c>
      <c r="AV44">
        <v>0</v>
      </c>
      <c r="AW44">
        <v>2011</v>
      </c>
    </row>
    <row r="45" spans="1:49" x14ac:dyDescent="0.25">
      <c r="A45" t="s">
        <v>79</v>
      </c>
      <c r="B45" t="s">
        <v>80</v>
      </c>
      <c r="C45">
        <v>4.5999999999999996</v>
      </c>
      <c r="D45">
        <v>10369</v>
      </c>
      <c r="E45">
        <v>4</v>
      </c>
      <c r="F45">
        <v>2016</v>
      </c>
      <c r="G45" t="s">
        <v>8</v>
      </c>
      <c r="AT45">
        <v>4.5999999999999996</v>
      </c>
      <c r="AU45">
        <v>10369</v>
      </c>
      <c r="AV45">
        <v>4</v>
      </c>
      <c r="AW45">
        <v>2016</v>
      </c>
    </row>
    <row r="46" spans="1:49" x14ac:dyDescent="0.25">
      <c r="A46" t="s">
        <v>81</v>
      </c>
      <c r="B46" t="s">
        <v>82</v>
      </c>
      <c r="C46">
        <v>4.8</v>
      </c>
      <c r="D46">
        <v>16244</v>
      </c>
      <c r="E46">
        <v>18</v>
      </c>
      <c r="F46">
        <v>2019</v>
      </c>
      <c r="G46" t="s">
        <v>8</v>
      </c>
      <c r="AT46">
        <v>4.8</v>
      </c>
      <c r="AU46">
        <v>16244</v>
      </c>
      <c r="AV46">
        <v>18</v>
      </c>
      <c r="AW46">
        <v>2019</v>
      </c>
    </row>
    <row r="47" spans="1:49" x14ac:dyDescent="0.25">
      <c r="A47" t="s">
        <v>83</v>
      </c>
      <c r="B47" t="s">
        <v>84</v>
      </c>
      <c r="C47">
        <v>4.5</v>
      </c>
      <c r="D47">
        <v>2884</v>
      </c>
      <c r="E47">
        <v>28</v>
      </c>
      <c r="F47">
        <v>2014</v>
      </c>
      <c r="G47" t="s">
        <v>8</v>
      </c>
      <c r="AT47">
        <v>4.5</v>
      </c>
      <c r="AU47">
        <v>2884</v>
      </c>
      <c r="AV47">
        <v>28</v>
      </c>
      <c r="AW47">
        <v>2014</v>
      </c>
    </row>
    <row r="48" spans="1:49" x14ac:dyDescent="0.25">
      <c r="A48" t="s">
        <v>85</v>
      </c>
      <c r="B48" t="s">
        <v>86</v>
      </c>
      <c r="C48">
        <v>4.7</v>
      </c>
      <c r="D48">
        <v>22614</v>
      </c>
      <c r="E48">
        <v>11</v>
      </c>
      <c r="F48">
        <v>2010</v>
      </c>
      <c r="G48" t="s">
        <v>10</v>
      </c>
      <c r="AT48">
        <v>4.7</v>
      </c>
      <c r="AU48">
        <v>22614</v>
      </c>
      <c r="AV48">
        <v>11</v>
      </c>
      <c r="AW48">
        <v>2010</v>
      </c>
    </row>
    <row r="49" spans="1:49" x14ac:dyDescent="0.25">
      <c r="A49" t="s">
        <v>85</v>
      </c>
      <c r="B49" t="s">
        <v>86</v>
      </c>
      <c r="C49">
        <v>4.7</v>
      </c>
      <c r="D49">
        <v>22614</v>
      </c>
      <c r="E49">
        <v>11</v>
      </c>
      <c r="F49">
        <v>2011</v>
      </c>
      <c r="G49" t="s">
        <v>10</v>
      </c>
      <c r="AT49">
        <v>4.7</v>
      </c>
      <c r="AU49">
        <v>22614</v>
      </c>
      <c r="AV49">
        <v>11</v>
      </c>
      <c r="AW49">
        <v>2011</v>
      </c>
    </row>
    <row r="50" spans="1:49" x14ac:dyDescent="0.25">
      <c r="A50" t="s">
        <v>85</v>
      </c>
      <c r="B50" t="s">
        <v>86</v>
      </c>
      <c r="C50">
        <v>4.7</v>
      </c>
      <c r="D50">
        <v>22614</v>
      </c>
      <c r="E50">
        <v>11</v>
      </c>
      <c r="F50">
        <v>2012</v>
      </c>
      <c r="G50" t="s">
        <v>10</v>
      </c>
      <c r="AT50">
        <v>4.7</v>
      </c>
      <c r="AU50">
        <v>22614</v>
      </c>
      <c r="AV50">
        <v>11</v>
      </c>
      <c r="AW50">
        <v>2012</v>
      </c>
    </row>
    <row r="51" spans="1:49" x14ac:dyDescent="0.25">
      <c r="A51" t="s">
        <v>87</v>
      </c>
      <c r="B51" t="s">
        <v>88</v>
      </c>
      <c r="C51">
        <v>4.7</v>
      </c>
      <c r="D51">
        <v>4761</v>
      </c>
      <c r="E51">
        <v>16</v>
      </c>
      <c r="F51">
        <v>2016</v>
      </c>
      <c r="G51" t="s">
        <v>8</v>
      </c>
      <c r="AT51">
        <v>4.7</v>
      </c>
      <c r="AU51">
        <v>4761</v>
      </c>
      <c r="AV51">
        <v>16</v>
      </c>
      <c r="AW51">
        <v>2016</v>
      </c>
    </row>
    <row r="52" spans="1:49" x14ac:dyDescent="0.25">
      <c r="A52" t="s">
        <v>89</v>
      </c>
      <c r="B52" t="s">
        <v>90</v>
      </c>
      <c r="C52">
        <v>4.7</v>
      </c>
      <c r="D52">
        <v>1542</v>
      </c>
      <c r="E52">
        <v>14</v>
      </c>
      <c r="F52">
        <v>2009</v>
      </c>
      <c r="G52" t="s">
        <v>8</v>
      </c>
      <c r="AT52">
        <v>4.7</v>
      </c>
      <c r="AU52">
        <v>1542</v>
      </c>
      <c r="AV52">
        <v>14</v>
      </c>
      <c r="AW52">
        <v>2009</v>
      </c>
    </row>
    <row r="53" spans="1:49" x14ac:dyDescent="0.25">
      <c r="A53" t="s">
        <v>89</v>
      </c>
      <c r="B53" t="s">
        <v>90</v>
      </c>
      <c r="C53">
        <v>4.7</v>
      </c>
      <c r="D53">
        <v>1542</v>
      </c>
      <c r="E53">
        <v>14</v>
      </c>
      <c r="F53">
        <v>2010</v>
      </c>
      <c r="G53" t="s">
        <v>8</v>
      </c>
      <c r="AT53">
        <v>4.7</v>
      </c>
      <c r="AU53">
        <v>1542</v>
      </c>
      <c r="AV53">
        <v>14</v>
      </c>
      <c r="AW53">
        <v>2010</v>
      </c>
    </row>
    <row r="54" spans="1:49" x14ac:dyDescent="0.25">
      <c r="A54" t="s">
        <v>89</v>
      </c>
      <c r="B54" t="s">
        <v>90</v>
      </c>
      <c r="C54">
        <v>4.7</v>
      </c>
      <c r="D54">
        <v>1542</v>
      </c>
      <c r="E54">
        <v>14</v>
      </c>
      <c r="F54">
        <v>2011</v>
      </c>
      <c r="G54" t="s">
        <v>8</v>
      </c>
      <c r="AT54">
        <v>4.7</v>
      </c>
      <c r="AU54">
        <v>1542</v>
      </c>
      <c r="AV54">
        <v>14</v>
      </c>
      <c r="AW54">
        <v>2011</v>
      </c>
    </row>
    <row r="55" spans="1:49" x14ac:dyDescent="0.25">
      <c r="A55" t="s">
        <v>91</v>
      </c>
      <c r="B55" t="s">
        <v>92</v>
      </c>
      <c r="C55">
        <v>4.3</v>
      </c>
      <c r="D55">
        <v>6143</v>
      </c>
      <c r="E55">
        <v>8</v>
      </c>
      <c r="F55">
        <v>2018</v>
      </c>
      <c r="G55" t="s">
        <v>10</v>
      </c>
      <c r="AT55">
        <v>4.3</v>
      </c>
      <c r="AU55">
        <v>6143</v>
      </c>
      <c r="AV55">
        <v>8</v>
      </c>
      <c r="AW55">
        <v>2018</v>
      </c>
    </row>
    <row r="56" spans="1:49" x14ac:dyDescent="0.25">
      <c r="A56" t="s">
        <v>93</v>
      </c>
      <c r="B56" t="s">
        <v>94</v>
      </c>
      <c r="C56">
        <v>4.8</v>
      </c>
      <c r="D56">
        <v>4022</v>
      </c>
      <c r="E56">
        <v>4</v>
      </c>
      <c r="F56">
        <v>2015</v>
      </c>
      <c r="G56" t="s">
        <v>8</v>
      </c>
      <c r="AT56">
        <v>4.8</v>
      </c>
      <c r="AU56">
        <v>4022</v>
      </c>
      <c r="AV56">
        <v>4</v>
      </c>
      <c r="AW56">
        <v>2015</v>
      </c>
    </row>
    <row r="57" spans="1:49" x14ac:dyDescent="0.25">
      <c r="A57" t="s">
        <v>95</v>
      </c>
      <c r="B57" t="s">
        <v>94</v>
      </c>
      <c r="C57">
        <v>4.8</v>
      </c>
      <c r="D57">
        <v>3871</v>
      </c>
      <c r="E57">
        <v>5</v>
      </c>
      <c r="F57">
        <v>2015</v>
      </c>
      <c r="G57" t="s">
        <v>8</v>
      </c>
      <c r="AT57">
        <v>4.8</v>
      </c>
      <c r="AU57">
        <v>3871</v>
      </c>
      <c r="AV57">
        <v>5</v>
      </c>
      <c r="AW57">
        <v>2015</v>
      </c>
    </row>
    <row r="58" spans="1:49" x14ac:dyDescent="0.25">
      <c r="A58" t="s">
        <v>96</v>
      </c>
      <c r="B58" t="s">
        <v>97</v>
      </c>
      <c r="C58">
        <v>4.5999999999999996</v>
      </c>
      <c r="D58">
        <v>4866</v>
      </c>
      <c r="E58">
        <v>11</v>
      </c>
      <c r="F58">
        <v>2010</v>
      </c>
      <c r="G58" t="s">
        <v>10</v>
      </c>
      <c r="AT58">
        <v>4.5999999999999996</v>
      </c>
      <c r="AU58">
        <v>4866</v>
      </c>
      <c r="AV58">
        <v>11</v>
      </c>
      <c r="AW58">
        <v>2010</v>
      </c>
    </row>
    <row r="59" spans="1:49" x14ac:dyDescent="0.25">
      <c r="A59" t="s">
        <v>96</v>
      </c>
      <c r="B59" t="s">
        <v>97</v>
      </c>
      <c r="C59">
        <v>4.5999999999999996</v>
      </c>
      <c r="D59">
        <v>4866</v>
      </c>
      <c r="E59">
        <v>11</v>
      </c>
      <c r="F59">
        <v>2011</v>
      </c>
      <c r="G59" t="s">
        <v>10</v>
      </c>
      <c r="AT59">
        <v>4.5999999999999996</v>
      </c>
      <c r="AU59">
        <v>4866</v>
      </c>
      <c r="AV59">
        <v>11</v>
      </c>
      <c r="AW59">
        <v>2011</v>
      </c>
    </row>
    <row r="60" spans="1:49" x14ac:dyDescent="0.25">
      <c r="A60" t="s">
        <v>98</v>
      </c>
      <c r="B60" t="s">
        <v>99</v>
      </c>
      <c r="C60">
        <v>4.8</v>
      </c>
      <c r="D60">
        <v>1329</v>
      </c>
      <c r="E60">
        <v>10</v>
      </c>
      <c r="F60">
        <v>2013</v>
      </c>
      <c r="G60" t="s">
        <v>8</v>
      </c>
      <c r="AT60">
        <v>4.8</v>
      </c>
      <c r="AU60">
        <v>1329</v>
      </c>
      <c r="AV60">
        <v>10</v>
      </c>
      <c r="AW60">
        <v>2013</v>
      </c>
    </row>
    <row r="61" spans="1:49" x14ac:dyDescent="0.25">
      <c r="A61" t="s">
        <v>100</v>
      </c>
      <c r="B61" t="s">
        <v>101</v>
      </c>
      <c r="C61">
        <v>4.4000000000000004</v>
      </c>
      <c r="D61">
        <v>4642</v>
      </c>
      <c r="E61">
        <v>13</v>
      </c>
      <c r="F61">
        <v>2013</v>
      </c>
      <c r="G61" t="s">
        <v>8</v>
      </c>
      <c r="AT61">
        <v>4.4000000000000004</v>
      </c>
      <c r="AU61">
        <v>4642</v>
      </c>
      <c r="AV61">
        <v>13</v>
      </c>
      <c r="AW61">
        <v>2013</v>
      </c>
    </row>
    <row r="62" spans="1:49" x14ac:dyDescent="0.25">
      <c r="A62" t="s">
        <v>102</v>
      </c>
      <c r="B62" t="s">
        <v>103</v>
      </c>
      <c r="C62">
        <v>4.5999999999999996</v>
      </c>
      <c r="D62">
        <v>1541</v>
      </c>
      <c r="E62">
        <v>4</v>
      </c>
      <c r="F62">
        <v>2009</v>
      </c>
      <c r="G62" t="s">
        <v>10</v>
      </c>
      <c r="AT62">
        <v>4.5999999999999996</v>
      </c>
      <c r="AU62">
        <v>1541</v>
      </c>
      <c r="AV62">
        <v>4</v>
      </c>
      <c r="AW62">
        <v>2009</v>
      </c>
    </row>
    <row r="63" spans="1:49" x14ac:dyDescent="0.25">
      <c r="A63" t="s">
        <v>104</v>
      </c>
      <c r="B63" t="s">
        <v>103</v>
      </c>
      <c r="C63">
        <v>4.3</v>
      </c>
      <c r="D63">
        <v>1924</v>
      </c>
      <c r="E63">
        <v>8</v>
      </c>
      <c r="F63">
        <v>2010</v>
      </c>
      <c r="G63" t="s">
        <v>10</v>
      </c>
      <c r="AT63">
        <v>4.3</v>
      </c>
      <c r="AU63">
        <v>1924</v>
      </c>
      <c r="AV63">
        <v>8</v>
      </c>
      <c r="AW63">
        <v>2010</v>
      </c>
    </row>
    <row r="64" spans="1:49" x14ac:dyDescent="0.25">
      <c r="A64" t="s">
        <v>105</v>
      </c>
      <c r="B64" t="s">
        <v>103</v>
      </c>
      <c r="C64">
        <v>4.2</v>
      </c>
      <c r="D64">
        <v>2094</v>
      </c>
      <c r="E64">
        <v>4</v>
      </c>
      <c r="F64">
        <v>2011</v>
      </c>
      <c r="G64" t="s">
        <v>10</v>
      </c>
      <c r="AT64">
        <v>4.2</v>
      </c>
      <c r="AU64">
        <v>2094</v>
      </c>
      <c r="AV64">
        <v>4</v>
      </c>
      <c r="AW64">
        <v>2011</v>
      </c>
    </row>
    <row r="65" spans="1:49" x14ac:dyDescent="0.25">
      <c r="A65" t="s">
        <v>106</v>
      </c>
      <c r="B65" t="s">
        <v>107</v>
      </c>
      <c r="C65">
        <v>4.8</v>
      </c>
      <c r="D65">
        <v>10922</v>
      </c>
      <c r="E65">
        <v>5</v>
      </c>
      <c r="F65">
        <v>2015</v>
      </c>
      <c r="G65" t="s">
        <v>10</v>
      </c>
      <c r="AT65">
        <v>4.8</v>
      </c>
      <c r="AU65">
        <v>10922</v>
      </c>
      <c r="AV65">
        <v>5</v>
      </c>
      <c r="AW65">
        <v>2015</v>
      </c>
    </row>
    <row r="66" spans="1:49" x14ac:dyDescent="0.25">
      <c r="A66" t="s">
        <v>106</v>
      </c>
      <c r="B66" t="s">
        <v>107</v>
      </c>
      <c r="C66">
        <v>4.8</v>
      </c>
      <c r="D66">
        <v>10922</v>
      </c>
      <c r="E66">
        <v>5</v>
      </c>
      <c r="F66">
        <v>2016</v>
      </c>
      <c r="G66" t="s">
        <v>10</v>
      </c>
      <c r="AT66">
        <v>4.8</v>
      </c>
      <c r="AU66">
        <v>10922</v>
      </c>
      <c r="AV66">
        <v>5</v>
      </c>
      <c r="AW66">
        <v>2016</v>
      </c>
    </row>
    <row r="67" spans="1:49" x14ac:dyDescent="0.25">
      <c r="A67" t="s">
        <v>106</v>
      </c>
      <c r="B67" t="s">
        <v>107</v>
      </c>
      <c r="C67">
        <v>4.8</v>
      </c>
      <c r="D67">
        <v>10922</v>
      </c>
      <c r="E67">
        <v>5</v>
      </c>
      <c r="F67">
        <v>2017</v>
      </c>
      <c r="G67" t="s">
        <v>10</v>
      </c>
      <c r="AT67">
        <v>4.8</v>
      </c>
      <c r="AU67">
        <v>10922</v>
      </c>
      <c r="AV67">
        <v>5</v>
      </c>
      <c r="AW67">
        <v>2017</v>
      </c>
    </row>
    <row r="68" spans="1:49" x14ac:dyDescent="0.25">
      <c r="A68" t="s">
        <v>106</v>
      </c>
      <c r="B68" t="s">
        <v>107</v>
      </c>
      <c r="C68">
        <v>4.8</v>
      </c>
      <c r="D68">
        <v>10922</v>
      </c>
      <c r="E68">
        <v>5</v>
      </c>
      <c r="F68">
        <v>2018</v>
      </c>
      <c r="G68" t="s">
        <v>10</v>
      </c>
      <c r="AT68">
        <v>4.8</v>
      </c>
      <c r="AU68">
        <v>10922</v>
      </c>
      <c r="AV68">
        <v>5</v>
      </c>
      <c r="AW68">
        <v>2018</v>
      </c>
    </row>
    <row r="69" spans="1:49" x14ac:dyDescent="0.25">
      <c r="A69" t="s">
        <v>108</v>
      </c>
      <c r="B69" t="s">
        <v>109</v>
      </c>
      <c r="C69">
        <v>4.5999999999999996</v>
      </c>
      <c r="D69">
        <v>2137</v>
      </c>
      <c r="E69">
        <v>17</v>
      </c>
      <c r="F69">
        <v>2010</v>
      </c>
      <c r="G69" t="s">
        <v>8</v>
      </c>
      <c r="AT69">
        <v>4.5999999999999996</v>
      </c>
      <c r="AU69">
        <v>2137</v>
      </c>
      <c r="AV69">
        <v>17</v>
      </c>
      <c r="AW69">
        <v>2010</v>
      </c>
    </row>
    <row r="70" spans="1:49" x14ac:dyDescent="0.25">
      <c r="A70" t="s">
        <v>110</v>
      </c>
      <c r="B70" t="s">
        <v>111</v>
      </c>
      <c r="C70">
        <v>4.5999999999999996</v>
      </c>
      <c r="D70">
        <v>1651</v>
      </c>
      <c r="E70">
        <v>15</v>
      </c>
      <c r="F70">
        <v>2010</v>
      </c>
      <c r="G70" t="s">
        <v>8</v>
      </c>
      <c r="AT70">
        <v>4.5999999999999996</v>
      </c>
      <c r="AU70">
        <v>1651</v>
      </c>
      <c r="AV70">
        <v>15</v>
      </c>
      <c r="AW70">
        <v>2010</v>
      </c>
    </row>
    <row r="71" spans="1:49" x14ac:dyDescent="0.25">
      <c r="A71" t="s">
        <v>112</v>
      </c>
      <c r="B71" t="s">
        <v>113</v>
      </c>
      <c r="C71">
        <v>4.5</v>
      </c>
      <c r="D71">
        <v>6679</v>
      </c>
      <c r="E71">
        <v>105</v>
      </c>
      <c r="F71">
        <v>2013</v>
      </c>
      <c r="G71" t="s">
        <v>8</v>
      </c>
      <c r="AT71">
        <v>4.5</v>
      </c>
      <c r="AU71">
        <v>6679</v>
      </c>
      <c r="AV71">
        <v>105</v>
      </c>
      <c r="AW71">
        <v>2013</v>
      </c>
    </row>
    <row r="72" spans="1:49" x14ac:dyDescent="0.25">
      <c r="A72" t="s">
        <v>112</v>
      </c>
      <c r="B72" t="s">
        <v>113</v>
      </c>
      <c r="C72">
        <v>4.5</v>
      </c>
      <c r="D72">
        <v>6679</v>
      </c>
      <c r="E72">
        <v>105</v>
      </c>
      <c r="F72">
        <v>2014</v>
      </c>
      <c r="G72" t="s">
        <v>8</v>
      </c>
      <c r="AT72">
        <v>4.5</v>
      </c>
      <c r="AU72">
        <v>6679</v>
      </c>
      <c r="AV72">
        <v>105</v>
      </c>
      <c r="AW72">
        <v>2014</v>
      </c>
    </row>
    <row r="73" spans="1:49" x14ac:dyDescent="0.25">
      <c r="A73" t="s">
        <v>114</v>
      </c>
      <c r="B73" t="s">
        <v>78</v>
      </c>
      <c r="C73">
        <v>4.8</v>
      </c>
      <c r="D73">
        <v>6812</v>
      </c>
      <c r="E73">
        <v>0</v>
      </c>
      <c r="F73">
        <v>2013</v>
      </c>
      <c r="G73" t="s">
        <v>10</v>
      </c>
      <c r="AT73">
        <v>4.8</v>
      </c>
      <c r="AU73">
        <v>6812</v>
      </c>
      <c r="AV73">
        <v>0</v>
      </c>
      <c r="AW73">
        <v>2013</v>
      </c>
    </row>
    <row r="74" spans="1:49" x14ac:dyDescent="0.25">
      <c r="A74" t="s">
        <v>115</v>
      </c>
      <c r="B74" t="s">
        <v>78</v>
      </c>
      <c r="C74">
        <v>4.8</v>
      </c>
      <c r="D74">
        <v>3837</v>
      </c>
      <c r="E74">
        <v>15</v>
      </c>
      <c r="F74">
        <v>2009</v>
      </c>
      <c r="G74" t="s">
        <v>10</v>
      </c>
      <c r="AT74">
        <v>4.8</v>
      </c>
      <c r="AU74">
        <v>3837</v>
      </c>
      <c r="AV74">
        <v>15</v>
      </c>
      <c r="AW74">
        <v>2009</v>
      </c>
    </row>
    <row r="75" spans="1:49" x14ac:dyDescent="0.25">
      <c r="A75" t="s">
        <v>116</v>
      </c>
      <c r="B75" t="s">
        <v>78</v>
      </c>
      <c r="C75">
        <v>4.8</v>
      </c>
      <c r="D75">
        <v>6540</v>
      </c>
      <c r="E75">
        <v>22</v>
      </c>
      <c r="F75">
        <v>2014</v>
      </c>
      <c r="G75" t="s">
        <v>10</v>
      </c>
      <c r="AT75">
        <v>4.8</v>
      </c>
      <c r="AU75">
        <v>6540</v>
      </c>
      <c r="AV75">
        <v>22</v>
      </c>
      <c r="AW75">
        <v>2014</v>
      </c>
    </row>
    <row r="76" spans="1:49" x14ac:dyDescent="0.25">
      <c r="A76" t="s">
        <v>117</v>
      </c>
      <c r="B76" t="s">
        <v>118</v>
      </c>
      <c r="C76">
        <v>4.5999999999999996</v>
      </c>
      <c r="D76">
        <v>7955</v>
      </c>
      <c r="E76">
        <v>5</v>
      </c>
      <c r="F76">
        <v>2019</v>
      </c>
      <c r="G76" t="s">
        <v>8</v>
      </c>
      <c r="AT76">
        <v>4.5999999999999996</v>
      </c>
      <c r="AU76">
        <v>7955</v>
      </c>
      <c r="AV76">
        <v>5</v>
      </c>
      <c r="AW76">
        <v>2019</v>
      </c>
    </row>
    <row r="77" spans="1:49" x14ac:dyDescent="0.25">
      <c r="A77" t="s">
        <v>119</v>
      </c>
      <c r="B77" t="s">
        <v>46</v>
      </c>
      <c r="C77">
        <v>4.5999999999999996</v>
      </c>
      <c r="D77">
        <v>27098</v>
      </c>
      <c r="E77">
        <v>15</v>
      </c>
      <c r="F77">
        <v>2013</v>
      </c>
      <c r="G77" t="s">
        <v>10</v>
      </c>
      <c r="AT77">
        <v>4.5999999999999996</v>
      </c>
      <c r="AU77">
        <v>27098</v>
      </c>
      <c r="AV77">
        <v>15</v>
      </c>
      <c r="AW77">
        <v>2013</v>
      </c>
    </row>
    <row r="78" spans="1:49" x14ac:dyDescent="0.25">
      <c r="A78" t="s">
        <v>119</v>
      </c>
      <c r="B78" t="s">
        <v>46</v>
      </c>
      <c r="C78">
        <v>4.5999999999999996</v>
      </c>
      <c r="D78">
        <v>27098</v>
      </c>
      <c r="E78">
        <v>15</v>
      </c>
      <c r="F78">
        <v>2014</v>
      </c>
      <c r="G78" t="s">
        <v>10</v>
      </c>
      <c r="AT78">
        <v>4.5999999999999996</v>
      </c>
      <c r="AU78">
        <v>27098</v>
      </c>
      <c r="AV78">
        <v>15</v>
      </c>
      <c r="AW78">
        <v>2014</v>
      </c>
    </row>
    <row r="79" spans="1:49" x14ac:dyDescent="0.25">
      <c r="A79" t="s">
        <v>120</v>
      </c>
      <c r="B79" t="s">
        <v>46</v>
      </c>
      <c r="C79">
        <v>4.5</v>
      </c>
      <c r="D79">
        <v>17684</v>
      </c>
      <c r="E79">
        <v>6</v>
      </c>
      <c r="F79">
        <v>2014</v>
      </c>
      <c r="G79" t="s">
        <v>10</v>
      </c>
      <c r="AT79">
        <v>4.5</v>
      </c>
      <c r="AU79">
        <v>17684</v>
      </c>
      <c r="AV79">
        <v>6</v>
      </c>
      <c r="AW79">
        <v>2014</v>
      </c>
    </row>
    <row r="80" spans="1:49" x14ac:dyDescent="0.25">
      <c r="A80" t="s">
        <v>121</v>
      </c>
      <c r="B80" t="s">
        <v>122</v>
      </c>
      <c r="C80">
        <v>4.5999999999999996</v>
      </c>
      <c r="D80">
        <v>37</v>
      </c>
      <c r="E80">
        <v>6</v>
      </c>
      <c r="F80">
        <v>2009</v>
      </c>
      <c r="G80" t="s">
        <v>8</v>
      </c>
      <c r="AT80">
        <v>4.5999999999999996</v>
      </c>
      <c r="AU80">
        <v>37</v>
      </c>
      <c r="AV80">
        <v>6</v>
      </c>
      <c r="AW80">
        <v>2009</v>
      </c>
    </row>
    <row r="81" spans="1:49" x14ac:dyDescent="0.25">
      <c r="A81" t="s">
        <v>123</v>
      </c>
      <c r="B81" t="s">
        <v>9</v>
      </c>
      <c r="C81">
        <v>4.7</v>
      </c>
      <c r="D81">
        <v>15845</v>
      </c>
      <c r="E81">
        <v>13</v>
      </c>
      <c r="F81">
        <v>2013</v>
      </c>
      <c r="G81" t="s">
        <v>10</v>
      </c>
      <c r="AT81">
        <v>4.7</v>
      </c>
      <c r="AU81">
        <v>15845</v>
      </c>
      <c r="AV81">
        <v>13</v>
      </c>
      <c r="AW81">
        <v>2013</v>
      </c>
    </row>
    <row r="82" spans="1:49" x14ac:dyDescent="0.25">
      <c r="A82" t="s">
        <v>124</v>
      </c>
      <c r="B82" t="s">
        <v>78</v>
      </c>
      <c r="C82">
        <v>4.8</v>
      </c>
      <c r="D82">
        <v>3181</v>
      </c>
      <c r="E82">
        <v>12</v>
      </c>
      <c r="F82">
        <v>2009</v>
      </c>
      <c r="G82" t="s">
        <v>10</v>
      </c>
      <c r="AT82">
        <v>4.8</v>
      </c>
      <c r="AU82">
        <v>3181</v>
      </c>
      <c r="AV82">
        <v>12</v>
      </c>
      <c r="AW82">
        <v>2009</v>
      </c>
    </row>
    <row r="83" spans="1:49" x14ac:dyDescent="0.25">
      <c r="A83" t="s">
        <v>125</v>
      </c>
      <c r="B83" t="s">
        <v>126</v>
      </c>
      <c r="C83">
        <v>4.9000000000000004</v>
      </c>
      <c r="D83">
        <v>5062</v>
      </c>
      <c r="E83">
        <v>6</v>
      </c>
      <c r="F83">
        <v>2018</v>
      </c>
      <c r="G83" t="s">
        <v>10</v>
      </c>
      <c r="AT83">
        <v>4.9000000000000004</v>
      </c>
      <c r="AU83">
        <v>5062</v>
      </c>
      <c r="AV83">
        <v>6</v>
      </c>
      <c r="AW83">
        <v>2018</v>
      </c>
    </row>
    <row r="84" spans="1:49" x14ac:dyDescent="0.25">
      <c r="A84" t="s">
        <v>127</v>
      </c>
      <c r="B84" t="s">
        <v>126</v>
      </c>
      <c r="C84">
        <v>4.9000000000000004</v>
      </c>
      <c r="D84">
        <v>4786</v>
      </c>
      <c r="E84">
        <v>8</v>
      </c>
      <c r="F84">
        <v>2017</v>
      </c>
      <c r="G84" t="s">
        <v>10</v>
      </c>
      <c r="AT84">
        <v>4.9000000000000004</v>
      </c>
      <c r="AU84">
        <v>4786</v>
      </c>
      <c r="AV84">
        <v>8</v>
      </c>
      <c r="AW84">
        <v>2017</v>
      </c>
    </row>
    <row r="85" spans="1:49" x14ac:dyDescent="0.25">
      <c r="A85" t="s">
        <v>128</v>
      </c>
      <c r="B85" t="s">
        <v>126</v>
      </c>
      <c r="C85">
        <v>4.9000000000000004</v>
      </c>
      <c r="D85">
        <v>7235</v>
      </c>
      <c r="E85">
        <v>4</v>
      </c>
      <c r="F85">
        <v>2018</v>
      </c>
      <c r="G85" t="s">
        <v>10</v>
      </c>
      <c r="AT85">
        <v>4.9000000000000004</v>
      </c>
      <c r="AU85">
        <v>7235</v>
      </c>
      <c r="AV85">
        <v>4</v>
      </c>
      <c r="AW85">
        <v>2018</v>
      </c>
    </row>
    <row r="86" spans="1:49" x14ac:dyDescent="0.25">
      <c r="A86" t="s">
        <v>128</v>
      </c>
      <c r="B86" t="s">
        <v>126</v>
      </c>
      <c r="C86">
        <v>4.9000000000000004</v>
      </c>
      <c r="D86">
        <v>7235</v>
      </c>
      <c r="E86">
        <v>4</v>
      </c>
      <c r="F86">
        <v>2019</v>
      </c>
      <c r="G86" t="s">
        <v>10</v>
      </c>
      <c r="AT86">
        <v>4.9000000000000004</v>
      </c>
      <c r="AU86">
        <v>7235</v>
      </c>
      <c r="AV86">
        <v>4</v>
      </c>
      <c r="AW86">
        <v>2019</v>
      </c>
    </row>
    <row r="87" spans="1:49" x14ac:dyDescent="0.25">
      <c r="A87" t="s">
        <v>129</v>
      </c>
      <c r="B87" t="s">
        <v>126</v>
      </c>
      <c r="C87">
        <v>4.9000000000000004</v>
      </c>
      <c r="D87">
        <v>12619</v>
      </c>
      <c r="E87">
        <v>8</v>
      </c>
      <c r="F87">
        <v>2019</v>
      </c>
      <c r="G87" t="s">
        <v>10</v>
      </c>
      <c r="AT87">
        <v>4.9000000000000004</v>
      </c>
      <c r="AU87">
        <v>12619</v>
      </c>
      <c r="AV87">
        <v>8</v>
      </c>
      <c r="AW87">
        <v>2019</v>
      </c>
    </row>
    <row r="88" spans="1:49" x14ac:dyDescent="0.25">
      <c r="A88" t="s">
        <v>130</v>
      </c>
      <c r="B88" t="s">
        <v>126</v>
      </c>
      <c r="C88">
        <v>4.9000000000000004</v>
      </c>
      <c r="D88">
        <v>9089</v>
      </c>
      <c r="E88">
        <v>8</v>
      </c>
      <c r="F88">
        <v>2019</v>
      </c>
      <c r="G88" t="s">
        <v>10</v>
      </c>
      <c r="AT88">
        <v>4.9000000000000004</v>
      </c>
      <c r="AU88">
        <v>9089</v>
      </c>
      <c r="AV88">
        <v>8</v>
      </c>
      <c r="AW88">
        <v>2019</v>
      </c>
    </row>
    <row r="89" spans="1:49" x14ac:dyDescent="0.25">
      <c r="A89" t="s">
        <v>131</v>
      </c>
      <c r="B89" t="s">
        <v>126</v>
      </c>
      <c r="C89">
        <v>4.9000000000000004</v>
      </c>
      <c r="D89">
        <v>5470</v>
      </c>
      <c r="E89">
        <v>6</v>
      </c>
      <c r="F89">
        <v>2018</v>
      </c>
      <c r="G89" t="s">
        <v>10</v>
      </c>
      <c r="AT89">
        <v>4.9000000000000004</v>
      </c>
      <c r="AU89">
        <v>5470</v>
      </c>
      <c r="AV89">
        <v>6</v>
      </c>
      <c r="AW89">
        <v>2018</v>
      </c>
    </row>
    <row r="90" spans="1:49" x14ac:dyDescent="0.25">
      <c r="A90" t="s">
        <v>132</v>
      </c>
      <c r="B90" t="s">
        <v>78</v>
      </c>
      <c r="C90">
        <v>4.8</v>
      </c>
      <c r="D90">
        <v>5118</v>
      </c>
      <c r="E90">
        <v>20</v>
      </c>
      <c r="F90">
        <v>2016</v>
      </c>
      <c r="G90" t="s">
        <v>10</v>
      </c>
      <c r="AT90">
        <v>4.8</v>
      </c>
      <c r="AU90">
        <v>5118</v>
      </c>
      <c r="AV90">
        <v>20</v>
      </c>
      <c r="AW90">
        <v>2016</v>
      </c>
    </row>
    <row r="91" spans="1:49" x14ac:dyDescent="0.25">
      <c r="A91" t="s">
        <v>133</v>
      </c>
      <c r="B91" t="s">
        <v>134</v>
      </c>
      <c r="C91">
        <v>4.5999999999999996</v>
      </c>
      <c r="D91">
        <v>2134</v>
      </c>
      <c r="E91">
        <v>5</v>
      </c>
      <c r="F91">
        <v>2015</v>
      </c>
      <c r="G91" t="s">
        <v>8</v>
      </c>
      <c r="AT91">
        <v>4.5999999999999996</v>
      </c>
      <c r="AU91">
        <v>2134</v>
      </c>
      <c r="AV91">
        <v>5</v>
      </c>
      <c r="AW91">
        <v>2015</v>
      </c>
    </row>
    <row r="92" spans="1:49" x14ac:dyDescent="0.25">
      <c r="A92" t="s">
        <v>135</v>
      </c>
      <c r="B92" t="s">
        <v>136</v>
      </c>
      <c r="C92">
        <v>4.5</v>
      </c>
      <c r="D92">
        <v>2525</v>
      </c>
      <c r="E92">
        <v>16</v>
      </c>
      <c r="F92">
        <v>2010</v>
      </c>
      <c r="G92" t="s">
        <v>8</v>
      </c>
      <c r="AT92">
        <v>4.5</v>
      </c>
      <c r="AU92">
        <v>2525</v>
      </c>
      <c r="AV92">
        <v>16</v>
      </c>
      <c r="AW92">
        <v>2010</v>
      </c>
    </row>
    <row r="93" spans="1:49" x14ac:dyDescent="0.25">
      <c r="A93" t="s">
        <v>137</v>
      </c>
      <c r="B93" t="s">
        <v>138</v>
      </c>
      <c r="C93">
        <v>4.5</v>
      </c>
      <c r="D93">
        <v>720</v>
      </c>
      <c r="E93">
        <v>1</v>
      </c>
      <c r="F93">
        <v>2009</v>
      </c>
      <c r="G93" t="s">
        <v>8</v>
      </c>
      <c r="AT93">
        <v>4.5</v>
      </c>
      <c r="AU93">
        <v>720</v>
      </c>
      <c r="AV93">
        <v>1</v>
      </c>
      <c r="AW93">
        <v>2009</v>
      </c>
    </row>
    <row r="94" spans="1:49" x14ac:dyDescent="0.25">
      <c r="A94" t="s">
        <v>139</v>
      </c>
      <c r="B94" t="s">
        <v>138</v>
      </c>
      <c r="C94">
        <v>4.3</v>
      </c>
      <c r="D94">
        <v>956</v>
      </c>
      <c r="E94">
        <v>14</v>
      </c>
      <c r="F94">
        <v>2009</v>
      </c>
      <c r="G94" t="s">
        <v>8</v>
      </c>
      <c r="AT94">
        <v>4.3</v>
      </c>
      <c r="AU94">
        <v>956</v>
      </c>
      <c r="AV94">
        <v>14</v>
      </c>
      <c r="AW94">
        <v>2009</v>
      </c>
    </row>
    <row r="95" spans="1:49" x14ac:dyDescent="0.25">
      <c r="A95" t="s">
        <v>140</v>
      </c>
      <c r="B95" t="s">
        <v>141</v>
      </c>
      <c r="C95">
        <v>4.5</v>
      </c>
      <c r="D95">
        <v>6346</v>
      </c>
      <c r="E95">
        <v>9</v>
      </c>
      <c r="F95">
        <v>2011</v>
      </c>
      <c r="G95" t="s">
        <v>8</v>
      </c>
      <c r="AT95">
        <v>4.5</v>
      </c>
      <c r="AU95">
        <v>6346</v>
      </c>
      <c r="AV95">
        <v>9</v>
      </c>
      <c r="AW95">
        <v>2011</v>
      </c>
    </row>
    <row r="96" spans="1:49" x14ac:dyDescent="0.25">
      <c r="A96" t="s">
        <v>140</v>
      </c>
      <c r="B96" t="s">
        <v>141</v>
      </c>
      <c r="C96">
        <v>4.5</v>
      </c>
      <c r="D96">
        <v>6346</v>
      </c>
      <c r="E96">
        <v>9</v>
      </c>
      <c r="F96">
        <v>2012</v>
      </c>
      <c r="G96" t="s">
        <v>8</v>
      </c>
      <c r="AT96">
        <v>4.5</v>
      </c>
      <c r="AU96">
        <v>6346</v>
      </c>
      <c r="AV96">
        <v>9</v>
      </c>
      <c r="AW96">
        <v>2012</v>
      </c>
    </row>
    <row r="97" spans="1:49" x14ac:dyDescent="0.25">
      <c r="A97" t="s">
        <v>142</v>
      </c>
      <c r="B97" t="s">
        <v>73</v>
      </c>
      <c r="C97">
        <v>4.7</v>
      </c>
      <c r="D97">
        <v>5505</v>
      </c>
      <c r="E97">
        <v>7</v>
      </c>
      <c r="F97">
        <v>2009</v>
      </c>
      <c r="G97" t="s">
        <v>10</v>
      </c>
      <c r="AT97">
        <v>4.7</v>
      </c>
      <c r="AU97">
        <v>5505</v>
      </c>
      <c r="AV97">
        <v>7</v>
      </c>
      <c r="AW97">
        <v>2009</v>
      </c>
    </row>
    <row r="98" spans="1:49" x14ac:dyDescent="0.25">
      <c r="A98" t="s">
        <v>143</v>
      </c>
      <c r="B98" t="s">
        <v>73</v>
      </c>
      <c r="C98">
        <v>4.7</v>
      </c>
      <c r="D98">
        <v>5505</v>
      </c>
      <c r="E98">
        <v>18</v>
      </c>
      <c r="F98">
        <v>2009</v>
      </c>
      <c r="G98" t="s">
        <v>10</v>
      </c>
      <c r="AT98">
        <v>4.7</v>
      </c>
      <c r="AU98">
        <v>5505</v>
      </c>
      <c r="AV98">
        <v>18</v>
      </c>
      <c r="AW98">
        <v>2009</v>
      </c>
    </row>
    <row r="99" spans="1:49" x14ac:dyDescent="0.25">
      <c r="A99" t="s">
        <v>144</v>
      </c>
      <c r="B99" t="s">
        <v>145</v>
      </c>
      <c r="C99">
        <v>4.7</v>
      </c>
      <c r="D99">
        <v>28729</v>
      </c>
      <c r="E99">
        <v>15</v>
      </c>
      <c r="F99">
        <v>2018</v>
      </c>
      <c r="G99" t="s">
        <v>8</v>
      </c>
      <c r="AT99">
        <v>4.7</v>
      </c>
      <c r="AU99">
        <v>28729</v>
      </c>
      <c r="AV99">
        <v>15</v>
      </c>
      <c r="AW99">
        <v>2018</v>
      </c>
    </row>
    <row r="100" spans="1:49" x14ac:dyDescent="0.25">
      <c r="A100" t="s">
        <v>144</v>
      </c>
      <c r="B100" t="s">
        <v>145</v>
      </c>
      <c r="C100">
        <v>4.7</v>
      </c>
      <c r="D100">
        <v>28729</v>
      </c>
      <c r="E100">
        <v>15</v>
      </c>
      <c r="F100">
        <v>2019</v>
      </c>
      <c r="G100" t="s">
        <v>8</v>
      </c>
      <c r="AT100">
        <v>4.7</v>
      </c>
      <c r="AU100">
        <v>28729</v>
      </c>
      <c r="AV100">
        <v>15</v>
      </c>
      <c r="AW100">
        <v>2019</v>
      </c>
    </row>
    <row r="101" spans="1:49" x14ac:dyDescent="0.25">
      <c r="A101" t="s">
        <v>146</v>
      </c>
      <c r="B101" t="s">
        <v>147</v>
      </c>
      <c r="C101">
        <v>4.7</v>
      </c>
      <c r="D101">
        <v>5413</v>
      </c>
      <c r="E101">
        <v>9</v>
      </c>
      <c r="F101">
        <v>2015</v>
      </c>
      <c r="G101" t="s">
        <v>8</v>
      </c>
      <c r="AT101">
        <v>4.7</v>
      </c>
      <c r="AU101">
        <v>5413</v>
      </c>
      <c r="AV101">
        <v>9</v>
      </c>
      <c r="AW101">
        <v>2015</v>
      </c>
    </row>
    <row r="102" spans="1:49" x14ac:dyDescent="0.25">
      <c r="A102" t="s">
        <v>148</v>
      </c>
      <c r="B102" t="s">
        <v>149</v>
      </c>
      <c r="C102">
        <v>4.5999999999999996</v>
      </c>
      <c r="D102">
        <v>10721</v>
      </c>
      <c r="E102">
        <v>8</v>
      </c>
      <c r="F102">
        <v>2016</v>
      </c>
      <c r="G102" t="s">
        <v>10</v>
      </c>
      <c r="AT102">
        <v>4.5999999999999996</v>
      </c>
      <c r="AU102">
        <v>10721</v>
      </c>
      <c r="AV102">
        <v>8</v>
      </c>
      <c r="AW102">
        <v>2016</v>
      </c>
    </row>
    <row r="103" spans="1:49" x14ac:dyDescent="0.25">
      <c r="A103" t="s">
        <v>148</v>
      </c>
      <c r="B103" t="s">
        <v>149</v>
      </c>
      <c r="C103">
        <v>4.5999999999999996</v>
      </c>
      <c r="D103">
        <v>10721</v>
      </c>
      <c r="E103">
        <v>8</v>
      </c>
      <c r="F103">
        <v>2018</v>
      </c>
      <c r="G103" t="s">
        <v>10</v>
      </c>
      <c r="AT103">
        <v>4.5999999999999996</v>
      </c>
      <c r="AU103">
        <v>10721</v>
      </c>
      <c r="AV103">
        <v>8</v>
      </c>
      <c r="AW103">
        <v>2018</v>
      </c>
    </row>
    <row r="104" spans="1:49" x14ac:dyDescent="0.25">
      <c r="A104" t="s">
        <v>150</v>
      </c>
      <c r="B104" t="s">
        <v>151</v>
      </c>
      <c r="C104">
        <v>4.7</v>
      </c>
      <c r="D104">
        <v>4370</v>
      </c>
      <c r="E104">
        <v>15</v>
      </c>
      <c r="F104">
        <v>2016</v>
      </c>
      <c r="G104" t="s">
        <v>10</v>
      </c>
      <c r="AT104">
        <v>4.7</v>
      </c>
      <c r="AU104">
        <v>4370</v>
      </c>
      <c r="AV104">
        <v>15</v>
      </c>
      <c r="AW104">
        <v>2016</v>
      </c>
    </row>
    <row r="105" spans="1:49" x14ac:dyDescent="0.25">
      <c r="A105" t="s">
        <v>152</v>
      </c>
      <c r="B105" t="s">
        <v>153</v>
      </c>
      <c r="C105">
        <v>4.4000000000000004</v>
      </c>
      <c r="D105">
        <v>6042</v>
      </c>
      <c r="E105">
        <v>2</v>
      </c>
      <c r="F105">
        <v>2018</v>
      </c>
      <c r="G105" t="s">
        <v>8</v>
      </c>
      <c r="AT105">
        <v>4.4000000000000004</v>
      </c>
      <c r="AU105">
        <v>6042</v>
      </c>
      <c r="AV105">
        <v>2</v>
      </c>
      <c r="AW105">
        <v>2018</v>
      </c>
    </row>
    <row r="106" spans="1:49" x14ac:dyDescent="0.25">
      <c r="A106" t="s">
        <v>154</v>
      </c>
      <c r="B106" t="s">
        <v>155</v>
      </c>
      <c r="C106">
        <v>4.4000000000000004</v>
      </c>
      <c r="D106">
        <v>23631</v>
      </c>
      <c r="E106">
        <v>7</v>
      </c>
      <c r="F106">
        <v>2012</v>
      </c>
      <c r="G106" t="s">
        <v>10</v>
      </c>
      <c r="AT106">
        <v>4.4000000000000004</v>
      </c>
      <c r="AU106">
        <v>23631</v>
      </c>
      <c r="AV106">
        <v>7</v>
      </c>
      <c r="AW106">
        <v>2012</v>
      </c>
    </row>
    <row r="107" spans="1:49" x14ac:dyDescent="0.25">
      <c r="A107" t="s">
        <v>156</v>
      </c>
      <c r="B107" t="s">
        <v>155</v>
      </c>
      <c r="C107">
        <v>4.5</v>
      </c>
      <c r="D107">
        <v>20262</v>
      </c>
      <c r="E107">
        <v>11</v>
      </c>
      <c r="F107">
        <v>2012</v>
      </c>
      <c r="G107" t="s">
        <v>10</v>
      </c>
      <c r="AT107">
        <v>4.5</v>
      </c>
      <c r="AU107">
        <v>20262</v>
      </c>
      <c r="AV107">
        <v>11</v>
      </c>
      <c r="AW107">
        <v>2012</v>
      </c>
    </row>
    <row r="108" spans="1:49" x14ac:dyDescent="0.25">
      <c r="A108" t="s">
        <v>157</v>
      </c>
      <c r="B108" t="s">
        <v>155</v>
      </c>
      <c r="C108">
        <v>3.8</v>
      </c>
      <c r="D108">
        <v>47265</v>
      </c>
      <c r="E108">
        <v>14</v>
      </c>
      <c r="F108">
        <v>2012</v>
      </c>
      <c r="G108" t="s">
        <v>10</v>
      </c>
      <c r="AT108">
        <v>3.8</v>
      </c>
      <c r="AU108">
        <v>47265</v>
      </c>
      <c r="AV108">
        <v>14</v>
      </c>
      <c r="AW108">
        <v>2012</v>
      </c>
    </row>
    <row r="109" spans="1:49" x14ac:dyDescent="0.25">
      <c r="A109" t="s">
        <v>157</v>
      </c>
      <c r="B109" t="s">
        <v>155</v>
      </c>
      <c r="C109">
        <v>3.8</v>
      </c>
      <c r="D109">
        <v>47265</v>
      </c>
      <c r="E109">
        <v>14</v>
      </c>
      <c r="F109">
        <v>2013</v>
      </c>
      <c r="G109" t="s">
        <v>10</v>
      </c>
      <c r="AT109">
        <v>3.8</v>
      </c>
      <c r="AU109">
        <v>47265</v>
      </c>
      <c r="AV109">
        <v>14</v>
      </c>
      <c r="AW109">
        <v>2013</v>
      </c>
    </row>
    <row r="110" spans="1:49" x14ac:dyDescent="0.25">
      <c r="A110" t="s">
        <v>158</v>
      </c>
      <c r="B110" t="s">
        <v>155</v>
      </c>
      <c r="C110">
        <v>4.5</v>
      </c>
      <c r="D110">
        <v>13964</v>
      </c>
      <c r="E110">
        <v>32</v>
      </c>
      <c r="F110">
        <v>2012</v>
      </c>
      <c r="G110" t="s">
        <v>10</v>
      </c>
      <c r="AT110">
        <v>4.5</v>
      </c>
      <c r="AU110">
        <v>13964</v>
      </c>
      <c r="AV110">
        <v>32</v>
      </c>
      <c r="AW110">
        <v>2012</v>
      </c>
    </row>
    <row r="111" spans="1:49" x14ac:dyDescent="0.25">
      <c r="A111" t="s">
        <v>159</v>
      </c>
      <c r="B111" t="s">
        <v>160</v>
      </c>
      <c r="C111">
        <v>4.2</v>
      </c>
      <c r="D111">
        <v>13677</v>
      </c>
      <c r="E111">
        <v>6</v>
      </c>
      <c r="F111">
        <v>2018</v>
      </c>
      <c r="G111" t="s">
        <v>8</v>
      </c>
      <c r="AT111">
        <v>4.2</v>
      </c>
      <c r="AU111">
        <v>13677</v>
      </c>
      <c r="AV111">
        <v>6</v>
      </c>
      <c r="AW111">
        <v>2018</v>
      </c>
    </row>
    <row r="112" spans="1:49" x14ac:dyDescent="0.25">
      <c r="A112" t="s">
        <v>161</v>
      </c>
      <c r="B112" t="s">
        <v>162</v>
      </c>
      <c r="C112">
        <v>4.7</v>
      </c>
      <c r="D112">
        <v>17323</v>
      </c>
      <c r="E112">
        <v>4</v>
      </c>
      <c r="F112">
        <v>2014</v>
      </c>
      <c r="G112" t="s">
        <v>8</v>
      </c>
      <c r="AT112">
        <v>4.7</v>
      </c>
      <c r="AU112">
        <v>17323</v>
      </c>
      <c r="AV112">
        <v>4</v>
      </c>
      <c r="AW112">
        <v>2014</v>
      </c>
    </row>
    <row r="113" spans="1:49" x14ac:dyDescent="0.25">
      <c r="A113" t="s">
        <v>161</v>
      </c>
      <c r="B113" t="s">
        <v>162</v>
      </c>
      <c r="C113">
        <v>4.7</v>
      </c>
      <c r="D113">
        <v>17323</v>
      </c>
      <c r="E113">
        <v>4</v>
      </c>
      <c r="F113">
        <v>2015</v>
      </c>
      <c r="G113" t="s">
        <v>8</v>
      </c>
      <c r="AT113">
        <v>4.7</v>
      </c>
      <c r="AU113">
        <v>17323</v>
      </c>
      <c r="AV113">
        <v>4</v>
      </c>
      <c r="AW113">
        <v>2015</v>
      </c>
    </row>
    <row r="114" spans="1:49" x14ac:dyDescent="0.25">
      <c r="A114" t="s">
        <v>161</v>
      </c>
      <c r="B114" t="s">
        <v>162</v>
      </c>
      <c r="C114">
        <v>4.7</v>
      </c>
      <c r="D114">
        <v>17323</v>
      </c>
      <c r="E114">
        <v>4</v>
      </c>
      <c r="F114">
        <v>2016</v>
      </c>
      <c r="G114" t="s">
        <v>8</v>
      </c>
      <c r="AT114">
        <v>4.7</v>
      </c>
      <c r="AU114">
        <v>17323</v>
      </c>
      <c r="AV114">
        <v>4</v>
      </c>
      <c r="AW114">
        <v>2016</v>
      </c>
    </row>
    <row r="115" spans="1:49" x14ac:dyDescent="0.25">
      <c r="A115" t="s">
        <v>161</v>
      </c>
      <c r="B115" t="s">
        <v>162</v>
      </c>
      <c r="C115">
        <v>4.7</v>
      </c>
      <c r="D115">
        <v>17323</v>
      </c>
      <c r="E115">
        <v>4</v>
      </c>
      <c r="F115">
        <v>2017</v>
      </c>
      <c r="G115" t="s">
        <v>8</v>
      </c>
      <c r="AT115">
        <v>4.7</v>
      </c>
      <c r="AU115">
        <v>17323</v>
      </c>
      <c r="AV115">
        <v>4</v>
      </c>
      <c r="AW115">
        <v>2017</v>
      </c>
    </row>
    <row r="116" spans="1:49" x14ac:dyDescent="0.25">
      <c r="A116" t="s">
        <v>161</v>
      </c>
      <c r="B116" t="s">
        <v>162</v>
      </c>
      <c r="C116">
        <v>4.7</v>
      </c>
      <c r="D116">
        <v>17323</v>
      </c>
      <c r="E116">
        <v>4</v>
      </c>
      <c r="F116">
        <v>2018</v>
      </c>
      <c r="G116" t="s">
        <v>8</v>
      </c>
      <c r="AT116">
        <v>4.7</v>
      </c>
      <c r="AU116">
        <v>17323</v>
      </c>
      <c r="AV116">
        <v>4</v>
      </c>
      <c r="AW116">
        <v>2018</v>
      </c>
    </row>
    <row r="117" spans="1:49" x14ac:dyDescent="0.25">
      <c r="A117" t="s">
        <v>163</v>
      </c>
      <c r="B117" t="s">
        <v>164</v>
      </c>
      <c r="C117">
        <v>4.4000000000000004</v>
      </c>
      <c r="D117">
        <v>1555</v>
      </c>
      <c r="E117">
        <v>9</v>
      </c>
      <c r="F117">
        <v>2010</v>
      </c>
      <c r="G117" t="s">
        <v>8</v>
      </c>
      <c r="AT117">
        <v>4.4000000000000004</v>
      </c>
      <c r="AU117">
        <v>1555</v>
      </c>
      <c r="AV117">
        <v>9</v>
      </c>
      <c r="AW117">
        <v>2010</v>
      </c>
    </row>
    <row r="118" spans="1:49" x14ac:dyDescent="0.25">
      <c r="A118" t="s">
        <v>165</v>
      </c>
      <c r="B118" t="s">
        <v>166</v>
      </c>
      <c r="C118">
        <v>4.7</v>
      </c>
      <c r="D118">
        <v>3642</v>
      </c>
      <c r="E118">
        <v>0</v>
      </c>
      <c r="F118">
        <v>2014</v>
      </c>
      <c r="G118" t="s">
        <v>10</v>
      </c>
      <c r="AT118">
        <v>4.7</v>
      </c>
      <c r="AU118">
        <v>3642</v>
      </c>
      <c r="AV118">
        <v>0</v>
      </c>
      <c r="AW118">
        <v>2014</v>
      </c>
    </row>
    <row r="119" spans="1:49" x14ac:dyDescent="0.25">
      <c r="A119" t="s">
        <v>167</v>
      </c>
      <c r="B119" t="s">
        <v>168</v>
      </c>
      <c r="C119">
        <v>4.4000000000000004</v>
      </c>
      <c r="D119">
        <v>1215</v>
      </c>
      <c r="E119">
        <v>9</v>
      </c>
      <c r="F119">
        <v>2010</v>
      </c>
      <c r="G119" t="s">
        <v>8</v>
      </c>
      <c r="AT119">
        <v>4.4000000000000004</v>
      </c>
      <c r="AU119">
        <v>1215</v>
      </c>
      <c r="AV119">
        <v>9</v>
      </c>
      <c r="AW119">
        <v>2010</v>
      </c>
    </row>
    <row r="120" spans="1:49" x14ac:dyDescent="0.25">
      <c r="A120" t="s">
        <v>169</v>
      </c>
      <c r="B120" t="s">
        <v>170</v>
      </c>
      <c r="C120">
        <v>4.5999999999999996</v>
      </c>
      <c r="D120">
        <v>5594</v>
      </c>
      <c r="E120">
        <v>5</v>
      </c>
      <c r="F120">
        <v>2011</v>
      </c>
      <c r="G120" t="s">
        <v>10</v>
      </c>
      <c r="AT120">
        <v>4.5999999999999996</v>
      </c>
      <c r="AU120">
        <v>5594</v>
      </c>
      <c r="AV120">
        <v>5</v>
      </c>
      <c r="AW120">
        <v>2011</v>
      </c>
    </row>
    <row r="121" spans="1:49" x14ac:dyDescent="0.25">
      <c r="A121" t="s">
        <v>169</v>
      </c>
      <c r="B121" t="s">
        <v>170</v>
      </c>
      <c r="C121">
        <v>4.5999999999999996</v>
      </c>
      <c r="D121">
        <v>5594</v>
      </c>
      <c r="E121">
        <v>5</v>
      </c>
      <c r="F121">
        <v>2012</v>
      </c>
      <c r="G121" t="s">
        <v>10</v>
      </c>
      <c r="AT121">
        <v>4.5999999999999996</v>
      </c>
      <c r="AU121">
        <v>5594</v>
      </c>
      <c r="AV121">
        <v>5</v>
      </c>
      <c r="AW121">
        <v>2012</v>
      </c>
    </row>
    <row r="122" spans="1:49" x14ac:dyDescent="0.25">
      <c r="A122" t="s">
        <v>169</v>
      </c>
      <c r="B122" t="s">
        <v>170</v>
      </c>
      <c r="C122">
        <v>4.5999999999999996</v>
      </c>
      <c r="D122">
        <v>5594</v>
      </c>
      <c r="E122">
        <v>5</v>
      </c>
      <c r="F122">
        <v>2013</v>
      </c>
      <c r="G122" t="s">
        <v>10</v>
      </c>
      <c r="AT122">
        <v>4.5999999999999996</v>
      </c>
      <c r="AU122">
        <v>5594</v>
      </c>
      <c r="AV122">
        <v>5</v>
      </c>
      <c r="AW122">
        <v>2013</v>
      </c>
    </row>
    <row r="123" spans="1:49" x14ac:dyDescent="0.25">
      <c r="A123" t="s">
        <v>171</v>
      </c>
      <c r="B123" t="s">
        <v>172</v>
      </c>
      <c r="C123">
        <v>4.5</v>
      </c>
      <c r="D123">
        <v>408</v>
      </c>
      <c r="E123">
        <v>20</v>
      </c>
      <c r="F123">
        <v>2010</v>
      </c>
      <c r="G123" t="s">
        <v>8</v>
      </c>
      <c r="AT123">
        <v>4.5</v>
      </c>
      <c r="AU123">
        <v>408</v>
      </c>
      <c r="AV123">
        <v>20</v>
      </c>
      <c r="AW123">
        <v>2010</v>
      </c>
    </row>
    <row r="124" spans="1:49" x14ac:dyDescent="0.25">
      <c r="A124" t="s">
        <v>173</v>
      </c>
      <c r="B124" t="s">
        <v>174</v>
      </c>
      <c r="C124">
        <v>4.5999999999999996</v>
      </c>
      <c r="D124">
        <v>4799</v>
      </c>
      <c r="E124">
        <v>16</v>
      </c>
      <c r="F124">
        <v>2013</v>
      </c>
      <c r="G124" t="s">
        <v>8</v>
      </c>
      <c r="AT124">
        <v>4.5999999999999996</v>
      </c>
      <c r="AU124">
        <v>4799</v>
      </c>
      <c r="AV124">
        <v>16</v>
      </c>
      <c r="AW124">
        <v>2013</v>
      </c>
    </row>
    <row r="125" spans="1:49" x14ac:dyDescent="0.25">
      <c r="A125" t="s">
        <v>175</v>
      </c>
      <c r="B125" t="s">
        <v>176</v>
      </c>
      <c r="C125">
        <v>4.8</v>
      </c>
      <c r="D125">
        <v>14038</v>
      </c>
      <c r="E125">
        <v>4</v>
      </c>
      <c r="F125">
        <v>2015</v>
      </c>
      <c r="G125" t="s">
        <v>10</v>
      </c>
      <c r="AT125">
        <v>4.8</v>
      </c>
      <c r="AU125">
        <v>14038</v>
      </c>
      <c r="AV125">
        <v>4</v>
      </c>
      <c r="AW125">
        <v>2015</v>
      </c>
    </row>
    <row r="126" spans="1:49" x14ac:dyDescent="0.25">
      <c r="A126" t="s">
        <v>175</v>
      </c>
      <c r="B126" t="s">
        <v>176</v>
      </c>
      <c r="C126">
        <v>4.8</v>
      </c>
      <c r="D126">
        <v>14038</v>
      </c>
      <c r="E126">
        <v>4</v>
      </c>
      <c r="F126">
        <v>2016</v>
      </c>
      <c r="G126" t="s">
        <v>10</v>
      </c>
      <c r="AT126">
        <v>4.8</v>
      </c>
      <c r="AU126">
        <v>14038</v>
      </c>
      <c r="AV126">
        <v>4</v>
      </c>
      <c r="AW126">
        <v>2016</v>
      </c>
    </row>
    <row r="127" spans="1:49" x14ac:dyDescent="0.25">
      <c r="A127" t="s">
        <v>175</v>
      </c>
      <c r="B127" t="s">
        <v>176</v>
      </c>
      <c r="C127">
        <v>4.8</v>
      </c>
      <c r="D127">
        <v>14038</v>
      </c>
      <c r="E127">
        <v>4</v>
      </c>
      <c r="F127">
        <v>2017</v>
      </c>
      <c r="G127" t="s">
        <v>10</v>
      </c>
      <c r="AT127">
        <v>4.8</v>
      </c>
      <c r="AU127">
        <v>14038</v>
      </c>
      <c r="AV127">
        <v>4</v>
      </c>
      <c r="AW127">
        <v>2017</v>
      </c>
    </row>
    <row r="128" spans="1:49" x14ac:dyDescent="0.25">
      <c r="A128" t="s">
        <v>175</v>
      </c>
      <c r="B128" t="s">
        <v>176</v>
      </c>
      <c r="C128">
        <v>4.8</v>
      </c>
      <c r="D128">
        <v>14038</v>
      </c>
      <c r="E128">
        <v>4</v>
      </c>
      <c r="F128">
        <v>2018</v>
      </c>
      <c r="G128" t="s">
        <v>10</v>
      </c>
      <c r="AT128">
        <v>4.8</v>
      </c>
      <c r="AU128">
        <v>14038</v>
      </c>
      <c r="AV128">
        <v>4</v>
      </c>
      <c r="AW128">
        <v>2018</v>
      </c>
    </row>
    <row r="129" spans="1:49" x14ac:dyDescent="0.25">
      <c r="A129" t="s">
        <v>175</v>
      </c>
      <c r="B129" t="s">
        <v>176</v>
      </c>
      <c r="C129">
        <v>4.8</v>
      </c>
      <c r="D129">
        <v>14038</v>
      </c>
      <c r="E129">
        <v>4</v>
      </c>
      <c r="F129">
        <v>2019</v>
      </c>
      <c r="G129" t="s">
        <v>10</v>
      </c>
      <c r="AT129">
        <v>4.8</v>
      </c>
      <c r="AU129">
        <v>14038</v>
      </c>
      <c r="AV129">
        <v>4</v>
      </c>
      <c r="AW129">
        <v>2019</v>
      </c>
    </row>
    <row r="130" spans="1:49" x14ac:dyDescent="0.25">
      <c r="A130" t="s">
        <v>177</v>
      </c>
      <c r="B130" t="s">
        <v>178</v>
      </c>
      <c r="C130">
        <v>4.5999999999999996</v>
      </c>
      <c r="D130">
        <v>7660</v>
      </c>
      <c r="E130">
        <v>12</v>
      </c>
      <c r="F130">
        <v>2019</v>
      </c>
      <c r="G130" t="s">
        <v>8</v>
      </c>
      <c r="AT130">
        <v>4.5999999999999996</v>
      </c>
      <c r="AU130">
        <v>7660</v>
      </c>
      <c r="AV130">
        <v>12</v>
      </c>
      <c r="AW130">
        <v>2019</v>
      </c>
    </row>
    <row r="131" spans="1:49" x14ac:dyDescent="0.25">
      <c r="A131" t="s">
        <v>179</v>
      </c>
      <c r="B131" t="s">
        <v>178</v>
      </c>
      <c r="C131">
        <v>4.5999999999999996</v>
      </c>
      <c r="D131">
        <v>22288</v>
      </c>
      <c r="E131">
        <v>12</v>
      </c>
      <c r="F131">
        <v>2018</v>
      </c>
      <c r="G131" t="s">
        <v>8</v>
      </c>
      <c r="AT131">
        <v>4.5999999999999996</v>
      </c>
      <c r="AU131">
        <v>22288</v>
      </c>
      <c r="AV131">
        <v>12</v>
      </c>
      <c r="AW131">
        <v>2018</v>
      </c>
    </row>
    <row r="132" spans="1:49" x14ac:dyDescent="0.25">
      <c r="A132" t="s">
        <v>179</v>
      </c>
      <c r="B132" t="s">
        <v>178</v>
      </c>
      <c r="C132">
        <v>4.5999999999999996</v>
      </c>
      <c r="D132">
        <v>22288</v>
      </c>
      <c r="E132">
        <v>12</v>
      </c>
      <c r="F132">
        <v>2019</v>
      </c>
      <c r="G132" t="s">
        <v>8</v>
      </c>
      <c r="AT132">
        <v>4.5999999999999996</v>
      </c>
      <c r="AU132">
        <v>22288</v>
      </c>
      <c r="AV132">
        <v>12</v>
      </c>
      <c r="AW132">
        <v>2019</v>
      </c>
    </row>
    <row r="133" spans="1:49" x14ac:dyDescent="0.25">
      <c r="A133" t="s">
        <v>180</v>
      </c>
      <c r="B133" t="s">
        <v>52</v>
      </c>
      <c r="C133">
        <v>4.5999999999999996</v>
      </c>
      <c r="D133">
        <v>1365</v>
      </c>
      <c r="E133">
        <v>11</v>
      </c>
      <c r="F133">
        <v>2009</v>
      </c>
      <c r="G133" t="s">
        <v>8</v>
      </c>
      <c r="AT133">
        <v>4.5999999999999996</v>
      </c>
      <c r="AU133">
        <v>1365</v>
      </c>
      <c r="AV133">
        <v>11</v>
      </c>
      <c r="AW133">
        <v>2009</v>
      </c>
    </row>
    <row r="134" spans="1:49" x14ac:dyDescent="0.25">
      <c r="A134" t="s">
        <v>181</v>
      </c>
      <c r="B134" t="s">
        <v>182</v>
      </c>
      <c r="C134">
        <v>3.6</v>
      </c>
      <c r="D134">
        <v>14982</v>
      </c>
      <c r="E134">
        <v>19</v>
      </c>
      <c r="F134">
        <v>2015</v>
      </c>
      <c r="G134" t="s">
        <v>10</v>
      </c>
      <c r="AT134">
        <v>3.6</v>
      </c>
      <c r="AU134">
        <v>14982</v>
      </c>
      <c r="AV134">
        <v>19</v>
      </c>
      <c r="AW134">
        <v>2015</v>
      </c>
    </row>
    <row r="135" spans="1:49" x14ac:dyDescent="0.25">
      <c r="A135" t="s">
        <v>183</v>
      </c>
      <c r="B135" t="s">
        <v>184</v>
      </c>
      <c r="C135">
        <v>4.8</v>
      </c>
      <c r="D135">
        <v>9568</v>
      </c>
      <c r="E135">
        <v>9</v>
      </c>
      <c r="F135">
        <v>2011</v>
      </c>
      <c r="G135" t="s">
        <v>10</v>
      </c>
      <c r="AT135">
        <v>4.8</v>
      </c>
      <c r="AU135">
        <v>9568</v>
      </c>
      <c r="AV135">
        <v>9</v>
      </c>
      <c r="AW135">
        <v>2011</v>
      </c>
    </row>
    <row r="136" spans="1:49" x14ac:dyDescent="0.25">
      <c r="A136" t="s">
        <v>185</v>
      </c>
      <c r="B136" t="s">
        <v>186</v>
      </c>
      <c r="C136">
        <v>4.5999999999999996</v>
      </c>
      <c r="D136">
        <v>1636</v>
      </c>
      <c r="E136">
        <v>6</v>
      </c>
      <c r="F136">
        <v>2009</v>
      </c>
      <c r="G136" t="s">
        <v>8</v>
      </c>
      <c r="AT136">
        <v>4.5999999999999996</v>
      </c>
      <c r="AU136">
        <v>1636</v>
      </c>
      <c r="AV136">
        <v>6</v>
      </c>
      <c r="AW136">
        <v>2009</v>
      </c>
    </row>
    <row r="137" spans="1:49" x14ac:dyDescent="0.25">
      <c r="A137" t="s">
        <v>187</v>
      </c>
      <c r="B137" t="s">
        <v>188</v>
      </c>
      <c r="C137">
        <v>4</v>
      </c>
      <c r="D137">
        <v>57271</v>
      </c>
      <c r="E137">
        <v>10</v>
      </c>
      <c r="F137">
        <v>2012</v>
      </c>
      <c r="G137" t="s">
        <v>10</v>
      </c>
      <c r="AT137">
        <v>4</v>
      </c>
      <c r="AU137">
        <v>57271</v>
      </c>
      <c r="AV137">
        <v>10</v>
      </c>
      <c r="AW137">
        <v>2012</v>
      </c>
    </row>
    <row r="138" spans="1:49" x14ac:dyDescent="0.25">
      <c r="A138" t="s">
        <v>187</v>
      </c>
      <c r="B138" t="s">
        <v>188</v>
      </c>
      <c r="C138">
        <v>4</v>
      </c>
      <c r="D138">
        <v>57271</v>
      </c>
      <c r="E138">
        <v>10</v>
      </c>
      <c r="F138">
        <v>2013</v>
      </c>
      <c r="G138" t="s">
        <v>10</v>
      </c>
      <c r="AT138">
        <v>4</v>
      </c>
      <c r="AU138">
        <v>57271</v>
      </c>
      <c r="AV138">
        <v>10</v>
      </c>
      <c r="AW138">
        <v>2013</v>
      </c>
    </row>
    <row r="139" spans="1:49" x14ac:dyDescent="0.25">
      <c r="A139" t="s">
        <v>187</v>
      </c>
      <c r="B139" t="s">
        <v>188</v>
      </c>
      <c r="C139">
        <v>4</v>
      </c>
      <c r="D139">
        <v>57271</v>
      </c>
      <c r="E139">
        <v>9</v>
      </c>
      <c r="F139">
        <v>2014</v>
      </c>
      <c r="G139" t="s">
        <v>10</v>
      </c>
      <c r="AT139">
        <v>4</v>
      </c>
      <c r="AU139">
        <v>57271</v>
      </c>
      <c r="AV139">
        <v>9</v>
      </c>
      <c r="AW139">
        <v>2014</v>
      </c>
    </row>
    <row r="140" spans="1:49" x14ac:dyDescent="0.25">
      <c r="A140" t="s">
        <v>189</v>
      </c>
      <c r="B140" t="s">
        <v>190</v>
      </c>
      <c r="C140">
        <v>4.5999999999999996</v>
      </c>
      <c r="D140">
        <v>10141</v>
      </c>
      <c r="E140">
        <v>6</v>
      </c>
      <c r="F140">
        <v>2019</v>
      </c>
      <c r="G140" t="s">
        <v>8</v>
      </c>
      <c r="AT140">
        <v>4.5999999999999996</v>
      </c>
      <c r="AU140">
        <v>10141</v>
      </c>
      <c r="AV140">
        <v>6</v>
      </c>
      <c r="AW140">
        <v>2019</v>
      </c>
    </row>
    <row r="141" spans="1:49" x14ac:dyDescent="0.25">
      <c r="A141" t="s">
        <v>191</v>
      </c>
      <c r="B141" t="s">
        <v>192</v>
      </c>
      <c r="C141">
        <v>4.5</v>
      </c>
      <c r="D141">
        <v>3457</v>
      </c>
      <c r="E141">
        <v>14</v>
      </c>
      <c r="F141">
        <v>2009</v>
      </c>
      <c r="G141" t="s">
        <v>8</v>
      </c>
      <c r="AT141">
        <v>4.5</v>
      </c>
      <c r="AU141">
        <v>3457</v>
      </c>
      <c r="AV141">
        <v>14</v>
      </c>
      <c r="AW141">
        <v>2009</v>
      </c>
    </row>
    <row r="142" spans="1:49" x14ac:dyDescent="0.25">
      <c r="A142" t="s">
        <v>191</v>
      </c>
      <c r="B142" t="s">
        <v>192</v>
      </c>
      <c r="C142">
        <v>4.5</v>
      </c>
      <c r="D142">
        <v>3457</v>
      </c>
      <c r="E142">
        <v>14</v>
      </c>
      <c r="F142">
        <v>2010</v>
      </c>
      <c r="G142" t="s">
        <v>8</v>
      </c>
      <c r="AT142">
        <v>4.5</v>
      </c>
      <c r="AU142">
        <v>3457</v>
      </c>
      <c r="AV142">
        <v>14</v>
      </c>
      <c r="AW142">
        <v>2010</v>
      </c>
    </row>
    <row r="143" spans="1:49" x14ac:dyDescent="0.25">
      <c r="A143" t="s">
        <v>191</v>
      </c>
      <c r="B143" t="s">
        <v>192</v>
      </c>
      <c r="C143">
        <v>4.5</v>
      </c>
      <c r="D143">
        <v>3457</v>
      </c>
      <c r="E143">
        <v>14</v>
      </c>
      <c r="F143">
        <v>2011</v>
      </c>
      <c r="G143" t="s">
        <v>8</v>
      </c>
      <c r="AT143">
        <v>4.5</v>
      </c>
      <c r="AU143">
        <v>3457</v>
      </c>
      <c r="AV143">
        <v>14</v>
      </c>
      <c r="AW143">
        <v>2011</v>
      </c>
    </row>
    <row r="144" spans="1:49" x14ac:dyDescent="0.25">
      <c r="A144" t="s">
        <v>191</v>
      </c>
      <c r="B144" t="s">
        <v>192</v>
      </c>
      <c r="C144">
        <v>4.5</v>
      </c>
      <c r="D144">
        <v>3457</v>
      </c>
      <c r="E144">
        <v>14</v>
      </c>
      <c r="F144">
        <v>2012</v>
      </c>
      <c r="G144" t="s">
        <v>8</v>
      </c>
      <c r="AT144">
        <v>4.5</v>
      </c>
      <c r="AU144">
        <v>3457</v>
      </c>
      <c r="AV144">
        <v>14</v>
      </c>
      <c r="AW144">
        <v>2012</v>
      </c>
    </row>
    <row r="145" spans="1:49" x14ac:dyDescent="0.25">
      <c r="A145" t="s">
        <v>193</v>
      </c>
      <c r="B145" t="s">
        <v>194</v>
      </c>
      <c r="C145">
        <v>4.8</v>
      </c>
      <c r="D145">
        <v>8837</v>
      </c>
      <c r="E145">
        <v>5</v>
      </c>
      <c r="F145">
        <v>2017</v>
      </c>
      <c r="G145" t="s">
        <v>10</v>
      </c>
      <c r="AT145">
        <v>4.8</v>
      </c>
      <c r="AU145">
        <v>8837</v>
      </c>
      <c r="AV145">
        <v>5</v>
      </c>
      <c r="AW145">
        <v>2017</v>
      </c>
    </row>
    <row r="146" spans="1:49" x14ac:dyDescent="0.25">
      <c r="A146" t="s">
        <v>193</v>
      </c>
      <c r="B146" t="s">
        <v>194</v>
      </c>
      <c r="C146">
        <v>4.8</v>
      </c>
      <c r="D146">
        <v>8837</v>
      </c>
      <c r="E146">
        <v>5</v>
      </c>
      <c r="F146">
        <v>2018</v>
      </c>
      <c r="G146" t="s">
        <v>10</v>
      </c>
      <c r="AT146">
        <v>4.8</v>
      </c>
      <c r="AU146">
        <v>8837</v>
      </c>
      <c r="AV146">
        <v>5</v>
      </c>
      <c r="AW146">
        <v>2018</v>
      </c>
    </row>
    <row r="147" spans="1:49" x14ac:dyDescent="0.25">
      <c r="A147" t="s">
        <v>193</v>
      </c>
      <c r="B147" t="s">
        <v>194</v>
      </c>
      <c r="C147">
        <v>4.8</v>
      </c>
      <c r="D147">
        <v>8837</v>
      </c>
      <c r="E147">
        <v>5</v>
      </c>
      <c r="F147">
        <v>2019</v>
      </c>
      <c r="G147" t="s">
        <v>10</v>
      </c>
      <c r="AT147">
        <v>4.8</v>
      </c>
      <c r="AU147">
        <v>8837</v>
      </c>
      <c r="AV147">
        <v>5</v>
      </c>
      <c r="AW147">
        <v>2019</v>
      </c>
    </row>
    <row r="148" spans="1:49" x14ac:dyDescent="0.25">
      <c r="A148" t="s">
        <v>195</v>
      </c>
      <c r="B148" t="s">
        <v>196</v>
      </c>
      <c r="C148">
        <v>4.9000000000000004</v>
      </c>
      <c r="D148">
        <v>7038</v>
      </c>
      <c r="E148">
        <v>7</v>
      </c>
      <c r="F148">
        <v>2012</v>
      </c>
      <c r="G148" t="s">
        <v>10</v>
      </c>
      <c r="AT148">
        <v>4.9000000000000004</v>
      </c>
      <c r="AU148">
        <v>7038</v>
      </c>
      <c r="AV148">
        <v>7</v>
      </c>
      <c r="AW148">
        <v>2012</v>
      </c>
    </row>
    <row r="149" spans="1:49" x14ac:dyDescent="0.25">
      <c r="A149" t="s">
        <v>195</v>
      </c>
      <c r="B149" t="s">
        <v>196</v>
      </c>
      <c r="C149">
        <v>4.9000000000000004</v>
      </c>
      <c r="D149">
        <v>7038</v>
      </c>
      <c r="E149">
        <v>7</v>
      </c>
      <c r="F149">
        <v>2013</v>
      </c>
      <c r="G149" t="s">
        <v>10</v>
      </c>
      <c r="AT149">
        <v>4.9000000000000004</v>
      </c>
      <c r="AU149">
        <v>7038</v>
      </c>
      <c r="AV149">
        <v>7</v>
      </c>
      <c r="AW149">
        <v>2013</v>
      </c>
    </row>
    <row r="150" spans="1:49" x14ac:dyDescent="0.25">
      <c r="A150" t="s">
        <v>197</v>
      </c>
      <c r="B150" t="s">
        <v>198</v>
      </c>
      <c r="C150">
        <v>4.5999999999999996</v>
      </c>
      <c r="D150">
        <v>5972</v>
      </c>
      <c r="E150">
        <v>10</v>
      </c>
      <c r="F150">
        <v>2014</v>
      </c>
      <c r="G150" t="s">
        <v>8</v>
      </c>
      <c r="AT150">
        <v>4.5999999999999996</v>
      </c>
      <c r="AU150">
        <v>5972</v>
      </c>
      <c r="AV150">
        <v>10</v>
      </c>
      <c r="AW150">
        <v>2014</v>
      </c>
    </row>
    <row r="151" spans="1:49" x14ac:dyDescent="0.25">
      <c r="A151" t="s">
        <v>199</v>
      </c>
      <c r="B151" t="s">
        <v>155</v>
      </c>
      <c r="C151">
        <v>4.4000000000000004</v>
      </c>
      <c r="D151">
        <v>25624</v>
      </c>
      <c r="E151">
        <v>14</v>
      </c>
      <c r="F151">
        <v>2015</v>
      </c>
      <c r="G151" t="s">
        <v>10</v>
      </c>
      <c r="AT151">
        <v>4.4000000000000004</v>
      </c>
      <c r="AU151">
        <v>25624</v>
      </c>
      <c r="AV151">
        <v>14</v>
      </c>
      <c r="AW151">
        <v>2015</v>
      </c>
    </row>
    <row r="152" spans="1:49" x14ac:dyDescent="0.25">
      <c r="A152" t="s">
        <v>200</v>
      </c>
      <c r="B152" t="s">
        <v>201</v>
      </c>
      <c r="C152">
        <v>4.8</v>
      </c>
      <c r="D152">
        <v>5476</v>
      </c>
      <c r="E152">
        <v>7</v>
      </c>
      <c r="F152">
        <v>2019</v>
      </c>
      <c r="G152" t="s">
        <v>8</v>
      </c>
      <c r="AT152">
        <v>4.8</v>
      </c>
      <c r="AU152">
        <v>5476</v>
      </c>
      <c r="AV152">
        <v>7</v>
      </c>
      <c r="AW152">
        <v>2019</v>
      </c>
    </row>
    <row r="153" spans="1:49" x14ac:dyDescent="0.25">
      <c r="A153" t="s">
        <v>202</v>
      </c>
      <c r="B153" t="s">
        <v>203</v>
      </c>
      <c r="C153">
        <v>4.9000000000000004</v>
      </c>
      <c r="D153">
        <v>5867</v>
      </c>
      <c r="E153">
        <v>54</v>
      </c>
      <c r="F153">
        <v>2016</v>
      </c>
      <c r="G153" t="s">
        <v>8</v>
      </c>
      <c r="AT153">
        <v>4.9000000000000004</v>
      </c>
      <c r="AU153">
        <v>5867</v>
      </c>
      <c r="AV153">
        <v>54</v>
      </c>
      <c r="AW153">
        <v>2016</v>
      </c>
    </row>
    <row r="154" spans="1:49" x14ac:dyDescent="0.25">
      <c r="A154" t="s">
        <v>204</v>
      </c>
      <c r="B154" t="s">
        <v>205</v>
      </c>
      <c r="C154">
        <v>4.8</v>
      </c>
      <c r="D154">
        <v>4148</v>
      </c>
      <c r="E154">
        <v>11</v>
      </c>
      <c r="F154">
        <v>2013</v>
      </c>
      <c r="G154" t="s">
        <v>8</v>
      </c>
      <c r="AT154">
        <v>4.8</v>
      </c>
      <c r="AU154">
        <v>4148</v>
      </c>
      <c r="AV154">
        <v>11</v>
      </c>
      <c r="AW154">
        <v>2013</v>
      </c>
    </row>
    <row r="155" spans="1:49" x14ac:dyDescent="0.25">
      <c r="A155" t="s">
        <v>206</v>
      </c>
      <c r="B155" t="s">
        <v>151</v>
      </c>
      <c r="C155">
        <v>4.9000000000000004</v>
      </c>
      <c r="D155">
        <v>19622</v>
      </c>
      <c r="E155">
        <v>30</v>
      </c>
      <c r="F155">
        <v>2016</v>
      </c>
      <c r="G155" t="s">
        <v>10</v>
      </c>
      <c r="AT155">
        <v>4.9000000000000004</v>
      </c>
      <c r="AU155">
        <v>19622</v>
      </c>
      <c r="AV155">
        <v>30</v>
      </c>
      <c r="AW155">
        <v>2016</v>
      </c>
    </row>
    <row r="156" spans="1:49" x14ac:dyDescent="0.25">
      <c r="A156" t="s">
        <v>207</v>
      </c>
      <c r="B156" t="s">
        <v>151</v>
      </c>
      <c r="C156">
        <v>4</v>
      </c>
      <c r="D156">
        <v>23973</v>
      </c>
      <c r="E156">
        <v>12</v>
      </c>
      <c r="F156">
        <v>2016</v>
      </c>
      <c r="G156" t="s">
        <v>10</v>
      </c>
      <c r="AT156">
        <v>4</v>
      </c>
      <c r="AU156">
        <v>23973</v>
      </c>
      <c r="AV156">
        <v>12</v>
      </c>
      <c r="AW156">
        <v>2016</v>
      </c>
    </row>
    <row r="157" spans="1:49" x14ac:dyDescent="0.25">
      <c r="A157" t="s">
        <v>208</v>
      </c>
      <c r="B157" t="s">
        <v>209</v>
      </c>
      <c r="C157">
        <v>4.9000000000000004</v>
      </c>
      <c r="D157">
        <v>7758</v>
      </c>
      <c r="E157">
        <v>18</v>
      </c>
      <c r="F157">
        <v>2019</v>
      </c>
      <c r="G157" t="s">
        <v>10</v>
      </c>
      <c r="AT157">
        <v>4.9000000000000004</v>
      </c>
      <c r="AU157">
        <v>7758</v>
      </c>
      <c r="AV157">
        <v>18</v>
      </c>
      <c r="AW157">
        <v>2019</v>
      </c>
    </row>
    <row r="158" spans="1:49" x14ac:dyDescent="0.25">
      <c r="A158" t="s">
        <v>210</v>
      </c>
      <c r="B158" t="s">
        <v>151</v>
      </c>
      <c r="C158">
        <v>4.9000000000000004</v>
      </c>
      <c r="D158">
        <v>3146</v>
      </c>
      <c r="E158">
        <v>30</v>
      </c>
      <c r="F158">
        <v>2017</v>
      </c>
      <c r="G158" t="s">
        <v>10</v>
      </c>
      <c r="AT158">
        <v>4.9000000000000004</v>
      </c>
      <c r="AU158">
        <v>3146</v>
      </c>
      <c r="AV158">
        <v>30</v>
      </c>
      <c r="AW158">
        <v>2017</v>
      </c>
    </row>
    <row r="159" spans="1:49" x14ac:dyDescent="0.25">
      <c r="A159" t="s">
        <v>211</v>
      </c>
      <c r="B159" t="s">
        <v>151</v>
      </c>
      <c r="C159">
        <v>4.9000000000000004</v>
      </c>
      <c r="D159">
        <v>10052</v>
      </c>
      <c r="E159">
        <v>22</v>
      </c>
      <c r="F159">
        <v>2016</v>
      </c>
      <c r="G159" t="s">
        <v>10</v>
      </c>
      <c r="AT159">
        <v>4.9000000000000004</v>
      </c>
      <c r="AU159">
        <v>10052</v>
      </c>
      <c r="AV159">
        <v>22</v>
      </c>
      <c r="AW159">
        <v>2016</v>
      </c>
    </row>
    <row r="160" spans="1:49" x14ac:dyDescent="0.25">
      <c r="A160" t="s">
        <v>212</v>
      </c>
      <c r="B160" t="s">
        <v>213</v>
      </c>
      <c r="C160">
        <v>4.7</v>
      </c>
      <c r="D160">
        <v>3564</v>
      </c>
      <c r="E160">
        <v>9</v>
      </c>
      <c r="F160">
        <v>2015</v>
      </c>
      <c r="G160" t="s">
        <v>8</v>
      </c>
      <c r="AT160">
        <v>4.7</v>
      </c>
      <c r="AU160">
        <v>3564</v>
      </c>
      <c r="AV160">
        <v>9</v>
      </c>
      <c r="AW160">
        <v>2015</v>
      </c>
    </row>
    <row r="161" spans="1:49" x14ac:dyDescent="0.25">
      <c r="A161" t="s">
        <v>214</v>
      </c>
      <c r="B161" t="s">
        <v>209</v>
      </c>
      <c r="C161">
        <v>4.8</v>
      </c>
      <c r="D161">
        <v>13471</v>
      </c>
      <c r="E161">
        <v>52</v>
      </c>
      <c r="F161">
        <v>2016</v>
      </c>
      <c r="G161" t="s">
        <v>10</v>
      </c>
      <c r="AT161">
        <v>4.8</v>
      </c>
      <c r="AU161">
        <v>13471</v>
      </c>
      <c r="AV161">
        <v>52</v>
      </c>
      <c r="AW161">
        <v>2016</v>
      </c>
    </row>
    <row r="162" spans="1:49" x14ac:dyDescent="0.25">
      <c r="A162" t="s">
        <v>215</v>
      </c>
      <c r="B162" t="s">
        <v>216</v>
      </c>
      <c r="C162">
        <v>4.8</v>
      </c>
      <c r="D162">
        <v>1930</v>
      </c>
      <c r="E162">
        <v>4</v>
      </c>
      <c r="F162">
        <v>2009</v>
      </c>
      <c r="G162" t="s">
        <v>8</v>
      </c>
      <c r="AT162">
        <v>4.8</v>
      </c>
      <c r="AU162">
        <v>1930</v>
      </c>
      <c r="AV162">
        <v>4</v>
      </c>
      <c r="AW162">
        <v>2009</v>
      </c>
    </row>
    <row r="163" spans="1:49" x14ac:dyDescent="0.25">
      <c r="A163" t="s">
        <v>217</v>
      </c>
      <c r="B163" t="s">
        <v>218</v>
      </c>
      <c r="C163">
        <v>4.7</v>
      </c>
      <c r="D163">
        <v>15779</v>
      </c>
      <c r="E163">
        <v>10</v>
      </c>
      <c r="F163">
        <v>2011</v>
      </c>
      <c r="G163" t="s">
        <v>8</v>
      </c>
      <c r="AT163">
        <v>4.7</v>
      </c>
      <c r="AU163">
        <v>15779</v>
      </c>
      <c r="AV163">
        <v>10</v>
      </c>
      <c r="AW163">
        <v>2011</v>
      </c>
    </row>
    <row r="164" spans="1:49" x14ac:dyDescent="0.25">
      <c r="A164" t="s">
        <v>217</v>
      </c>
      <c r="B164" t="s">
        <v>218</v>
      </c>
      <c r="C164">
        <v>4.7</v>
      </c>
      <c r="D164">
        <v>15779</v>
      </c>
      <c r="E164">
        <v>10</v>
      </c>
      <c r="F164">
        <v>2012</v>
      </c>
      <c r="G164" t="s">
        <v>8</v>
      </c>
      <c r="AT164">
        <v>4.7</v>
      </c>
      <c r="AU164">
        <v>15779</v>
      </c>
      <c r="AV164">
        <v>10</v>
      </c>
      <c r="AW164">
        <v>2012</v>
      </c>
    </row>
    <row r="165" spans="1:49" x14ac:dyDescent="0.25">
      <c r="A165" t="s">
        <v>219</v>
      </c>
      <c r="B165" t="s">
        <v>220</v>
      </c>
      <c r="C165">
        <v>4.4000000000000004</v>
      </c>
      <c r="D165">
        <v>15526</v>
      </c>
      <c r="E165">
        <v>14</v>
      </c>
      <c r="F165">
        <v>2016</v>
      </c>
      <c r="G165" t="s">
        <v>8</v>
      </c>
      <c r="AT165">
        <v>4.4000000000000004</v>
      </c>
      <c r="AU165">
        <v>15526</v>
      </c>
      <c r="AV165">
        <v>14</v>
      </c>
      <c r="AW165">
        <v>2016</v>
      </c>
    </row>
    <row r="166" spans="1:49" x14ac:dyDescent="0.25">
      <c r="A166" t="s">
        <v>219</v>
      </c>
      <c r="B166" t="s">
        <v>220</v>
      </c>
      <c r="C166">
        <v>4.4000000000000004</v>
      </c>
      <c r="D166">
        <v>15526</v>
      </c>
      <c r="E166">
        <v>14</v>
      </c>
      <c r="F166">
        <v>2017</v>
      </c>
      <c r="G166" t="s">
        <v>8</v>
      </c>
      <c r="AT166">
        <v>4.4000000000000004</v>
      </c>
      <c r="AU166">
        <v>15526</v>
      </c>
      <c r="AV166">
        <v>14</v>
      </c>
      <c r="AW166">
        <v>2017</v>
      </c>
    </row>
    <row r="167" spans="1:49" x14ac:dyDescent="0.25">
      <c r="A167" t="s">
        <v>221</v>
      </c>
      <c r="B167" t="s">
        <v>222</v>
      </c>
      <c r="C167">
        <v>4.8</v>
      </c>
      <c r="D167">
        <v>3776</v>
      </c>
      <c r="E167">
        <v>22</v>
      </c>
      <c r="F167">
        <v>2018</v>
      </c>
      <c r="G167" t="s">
        <v>8</v>
      </c>
      <c r="AT167">
        <v>4.8</v>
      </c>
      <c r="AU167">
        <v>3776</v>
      </c>
      <c r="AV167">
        <v>22</v>
      </c>
      <c r="AW167">
        <v>2018</v>
      </c>
    </row>
    <row r="168" spans="1:49" x14ac:dyDescent="0.25">
      <c r="A168" t="s">
        <v>223</v>
      </c>
      <c r="B168" t="s">
        <v>224</v>
      </c>
      <c r="C168">
        <v>4.7</v>
      </c>
      <c r="D168">
        <v>25001</v>
      </c>
      <c r="E168">
        <v>11</v>
      </c>
      <c r="F168">
        <v>2014</v>
      </c>
      <c r="G168" t="s">
        <v>8</v>
      </c>
      <c r="AT168">
        <v>4.7</v>
      </c>
      <c r="AU168">
        <v>25001</v>
      </c>
      <c r="AV168">
        <v>11</v>
      </c>
      <c r="AW168">
        <v>2014</v>
      </c>
    </row>
    <row r="169" spans="1:49" x14ac:dyDescent="0.25">
      <c r="A169" t="s">
        <v>223</v>
      </c>
      <c r="B169" t="s">
        <v>224</v>
      </c>
      <c r="C169">
        <v>4.7</v>
      </c>
      <c r="D169">
        <v>25001</v>
      </c>
      <c r="E169">
        <v>11</v>
      </c>
      <c r="F169">
        <v>2015</v>
      </c>
      <c r="G169" t="s">
        <v>8</v>
      </c>
      <c r="AT169">
        <v>4.7</v>
      </c>
      <c r="AU169">
        <v>25001</v>
      </c>
      <c r="AV169">
        <v>11</v>
      </c>
      <c r="AW169">
        <v>2015</v>
      </c>
    </row>
    <row r="170" spans="1:49" x14ac:dyDescent="0.25">
      <c r="A170" t="s">
        <v>223</v>
      </c>
      <c r="B170" t="s">
        <v>224</v>
      </c>
      <c r="C170">
        <v>4.7</v>
      </c>
      <c r="D170">
        <v>25001</v>
      </c>
      <c r="E170">
        <v>11</v>
      </c>
      <c r="F170">
        <v>2016</v>
      </c>
      <c r="G170" t="s">
        <v>8</v>
      </c>
      <c r="AT170">
        <v>4.7</v>
      </c>
      <c r="AU170">
        <v>25001</v>
      </c>
      <c r="AV170">
        <v>11</v>
      </c>
      <c r="AW170">
        <v>2016</v>
      </c>
    </row>
    <row r="171" spans="1:49" x14ac:dyDescent="0.25">
      <c r="A171" t="s">
        <v>223</v>
      </c>
      <c r="B171" t="s">
        <v>224</v>
      </c>
      <c r="C171">
        <v>4.7</v>
      </c>
      <c r="D171">
        <v>25001</v>
      </c>
      <c r="E171">
        <v>11</v>
      </c>
      <c r="F171">
        <v>2017</v>
      </c>
      <c r="G171" t="s">
        <v>8</v>
      </c>
      <c r="AT171">
        <v>4.7</v>
      </c>
      <c r="AU171">
        <v>25001</v>
      </c>
      <c r="AV171">
        <v>11</v>
      </c>
      <c r="AW171">
        <v>2017</v>
      </c>
    </row>
    <row r="172" spans="1:49" x14ac:dyDescent="0.25">
      <c r="A172" t="s">
        <v>223</v>
      </c>
      <c r="B172" t="s">
        <v>224</v>
      </c>
      <c r="C172">
        <v>4.7</v>
      </c>
      <c r="D172">
        <v>25001</v>
      </c>
      <c r="E172">
        <v>11</v>
      </c>
      <c r="F172">
        <v>2018</v>
      </c>
      <c r="G172" t="s">
        <v>8</v>
      </c>
      <c r="AT172">
        <v>4.7</v>
      </c>
      <c r="AU172">
        <v>25001</v>
      </c>
      <c r="AV172">
        <v>11</v>
      </c>
      <c r="AW172">
        <v>2018</v>
      </c>
    </row>
    <row r="173" spans="1:49" x14ac:dyDescent="0.25">
      <c r="A173" t="s">
        <v>225</v>
      </c>
      <c r="B173" t="s">
        <v>226</v>
      </c>
      <c r="C173">
        <v>4.3</v>
      </c>
      <c r="D173">
        <v>5272</v>
      </c>
      <c r="E173">
        <v>16</v>
      </c>
      <c r="F173">
        <v>2019</v>
      </c>
      <c r="G173" t="s">
        <v>8</v>
      </c>
      <c r="AT173">
        <v>4.3</v>
      </c>
      <c r="AU173">
        <v>5272</v>
      </c>
      <c r="AV173">
        <v>16</v>
      </c>
      <c r="AW173">
        <v>2019</v>
      </c>
    </row>
    <row r="174" spans="1:49" x14ac:dyDescent="0.25">
      <c r="A174" t="s">
        <v>227</v>
      </c>
      <c r="B174" t="s">
        <v>228</v>
      </c>
      <c r="C174">
        <v>4.8</v>
      </c>
      <c r="D174">
        <v>3490</v>
      </c>
      <c r="E174">
        <v>15</v>
      </c>
      <c r="F174">
        <v>2013</v>
      </c>
      <c r="G174" t="s">
        <v>8</v>
      </c>
      <c r="AT174">
        <v>4.8</v>
      </c>
      <c r="AU174">
        <v>3490</v>
      </c>
      <c r="AV174">
        <v>15</v>
      </c>
      <c r="AW174">
        <v>2013</v>
      </c>
    </row>
    <row r="175" spans="1:49" x14ac:dyDescent="0.25">
      <c r="A175" t="s">
        <v>227</v>
      </c>
      <c r="B175" t="s">
        <v>228</v>
      </c>
      <c r="C175">
        <v>4.8</v>
      </c>
      <c r="D175">
        <v>3490</v>
      </c>
      <c r="E175">
        <v>15</v>
      </c>
      <c r="F175">
        <v>2014</v>
      </c>
      <c r="G175" t="s">
        <v>8</v>
      </c>
      <c r="AT175">
        <v>4.8</v>
      </c>
      <c r="AU175">
        <v>3490</v>
      </c>
      <c r="AV175">
        <v>15</v>
      </c>
      <c r="AW175">
        <v>2014</v>
      </c>
    </row>
    <row r="176" spans="1:49" x14ac:dyDescent="0.25">
      <c r="A176" t="s">
        <v>229</v>
      </c>
      <c r="B176" t="s">
        <v>228</v>
      </c>
      <c r="C176">
        <v>4.9000000000000004</v>
      </c>
      <c r="D176">
        <v>2812</v>
      </c>
      <c r="E176">
        <v>17</v>
      </c>
      <c r="F176">
        <v>2015</v>
      </c>
      <c r="G176" t="s">
        <v>8</v>
      </c>
      <c r="AT176">
        <v>4.9000000000000004</v>
      </c>
      <c r="AU176">
        <v>2812</v>
      </c>
      <c r="AV176">
        <v>17</v>
      </c>
      <c r="AW176">
        <v>2015</v>
      </c>
    </row>
    <row r="177" spans="1:49" x14ac:dyDescent="0.25">
      <c r="A177" t="s">
        <v>230</v>
      </c>
      <c r="B177" t="s">
        <v>231</v>
      </c>
      <c r="C177">
        <v>4.7</v>
      </c>
      <c r="D177">
        <v>4896</v>
      </c>
      <c r="E177">
        <v>17</v>
      </c>
      <c r="F177">
        <v>2013</v>
      </c>
      <c r="G177" t="s">
        <v>8</v>
      </c>
      <c r="AT177">
        <v>4.7</v>
      </c>
      <c r="AU177">
        <v>4896</v>
      </c>
      <c r="AV177">
        <v>17</v>
      </c>
      <c r="AW177">
        <v>2013</v>
      </c>
    </row>
    <row r="178" spans="1:49" x14ac:dyDescent="0.25">
      <c r="A178" t="s">
        <v>232</v>
      </c>
      <c r="B178" t="s">
        <v>233</v>
      </c>
      <c r="C178">
        <v>4.8</v>
      </c>
      <c r="D178">
        <v>9737</v>
      </c>
      <c r="E178">
        <v>7</v>
      </c>
      <c r="F178">
        <v>2019</v>
      </c>
      <c r="G178" t="s">
        <v>8</v>
      </c>
      <c r="AT178">
        <v>4.8</v>
      </c>
      <c r="AU178">
        <v>9737</v>
      </c>
      <c r="AV178">
        <v>7</v>
      </c>
      <c r="AW178">
        <v>2019</v>
      </c>
    </row>
    <row r="179" spans="1:49" x14ac:dyDescent="0.25">
      <c r="A179" t="s">
        <v>234</v>
      </c>
      <c r="B179" t="s">
        <v>235</v>
      </c>
      <c r="C179">
        <v>4.5999999999999996</v>
      </c>
      <c r="D179">
        <v>1320</v>
      </c>
      <c r="E179">
        <v>7</v>
      </c>
      <c r="F179">
        <v>2009</v>
      </c>
      <c r="G179" t="s">
        <v>10</v>
      </c>
      <c r="AT179">
        <v>4.5999999999999996</v>
      </c>
      <c r="AU179">
        <v>1320</v>
      </c>
      <c r="AV179">
        <v>7</v>
      </c>
      <c r="AW179">
        <v>2009</v>
      </c>
    </row>
    <row r="180" spans="1:49" x14ac:dyDescent="0.25">
      <c r="A180" t="s">
        <v>236</v>
      </c>
      <c r="B180" t="s">
        <v>237</v>
      </c>
      <c r="C180">
        <v>4.8</v>
      </c>
      <c r="D180">
        <v>16643</v>
      </c>
      <c r="E180">
        <v>4</v>
      </c>
      <c r="F180">
        <v>2017</v>
      </c>
      <c r="G180" t="s">
        <v>10</v>
      </c>
      <c r="AT180">
        <v>4.8</v>
      </c>
      <c r="AU180">
        <v>16643</v>
      </c>
      <c r="AV180">
        <v>4</v>
      </c>
      <c r="AW180">
        <v>2017</v>
      </c>
    </row>
    <row r="181" spans="1:49" x14ac:dyDescent="0.25">
      <c r="A181" t="s">
        <v>236</v>
      </c>
      <c r="B181" t="s">
        <v>237</v>
      </c>
      <c r="C181">
        <v>4.8</v>
      </c>
      <c r="D181">
        <v>16643</v>
      </c>
      <c r="E181">
        <v>4</v>
      </c>
      <c r="F181">
        <v>2019</v>
      </c>
      <c r="G181" t="s">
        <v>10</v>
      </c>
      <c r="AT181">
        <v>4.8</v>
      </c>
      <c r="AU181">
        <v>16643</v>
      </c>
      <c r="AV181">
        <v>4</v>
      </c>
      <c r="AW181">
        <v>2019</v>
      </c>
    </row>
    <row r="182" spans="1:49" x14ac:dyDescent="0.25">
      <c r="A182" t="s">
        <v>238</v>
      </c>
      <c r="B182" t="s">
        <v>239</v>
      </c>
      <c r="C182">
        <v>4.3</v>
      </c>
      <c r="D182">
        <v>7153</v>
      </c>
      <c r="E182">
        <v>9</v>
      </c>
      <c r="F182">
        <v>2014</v>
      </c>
      <c r="G182" t="s">
        <v>10</v>
      </c>
      <c r="AT182">
        <v>4.3</v>
      </c>
      <c r="AU182">
        <v>7153</v>
      </c>
      <c r="AV182">
        <v>9</v>
      </c>
      <c r="AW182">
        <v>2014</v>
      </c>
    </row>
    <row r="183" spans="1:49" x14ac:dyDescent="0.25">
      <c r="A183" t="s">
        <v>240</v>
      </c>
      <c r="B183" t="s">
        <v>241</v>
      </c>
      <c r="C183">
        <v>4.4000000000000004</v>
      </c>
      <c r="D183">
        <v>4571</v>
      </c>
      <c r="E183">
        <v>21</v>
      </c>
      <c r="F183">
        <v>2011</v>
      </c>
      <c r="G183" t="s">
        <v>8</v>
      </c>
      <c r="AT183">
        <v>4.4000000000000004</v>
      </c>
      <c r="AU183">
        <v>4571</v>
      </c>
      <c r="AV183">
        <v>21</v>
      </c>
      <c r="AW183">
        <v>2011</v>
      </c>
    </row>
    <row r="184" spans="1:49" x14ac:dyDescent="0.25">
      <c r="A184" t="s">
        <v>242</v>
      </c>
      <c r="B184" t="s">
        <v>243</v>
      </c>
      <c r="C184">
        <v>4.0999999999999996</v>
      </c>
      <c r="D184">
        <v>29651</v>
      </c>
      <c r="E184">
        <v>14</v>
      </c>
      <c r="F184">
        <v>2013</v>
      </c>
      <c r="G184" t="s">
        <v>10</v>
      </c>
      <c r="AT184">
        <v>4.0999999999999996</v>
      </c>
      <c r="AU184">
        <v>29651</v>
      </c>
      <c r="AV184">
        <v>14</v>
      </c>
      <c r="AW184">
        <v>2013</v>
      </c>
    </row>
    <row r="185" spans="1:49" x14ac:dyDescent="0.25">
      <c r="A185" t="s">
        <v>244</v>
      </c>
      <c r="B185" t="s">
        <v>245</v>
      </c>
      <c r="C185">
        <v>4.5999999999999996</v>
      </c>
      <c r="D185">
        <v>5299</v>
      </c>
      <c r="E185">
        <v>20</v>
      </c>
      <c r="F185">
        <v>2011</v>
      </c>
      <c r="G185" t="s">
        <v>10</v>
      </c>
      <c r="AT185">
        <v>4.5999999999999996</v>
      </c>
      <c r="AU185">
        <v>5299</v>
      </c>
      <c r="AV185">
        <v>20</v>
      </c>
      <c r="AW185">
        <v>2011</v>
      </c>
    </row>
    <row r="186" spans="1:49" x14ac:dyDescent="0.25">
      <c r="A186" t="s">
        <v>246</v>
      </c>
      <c r="B186" t="s">
        <v>247</v>
      </c>
      <c r="C186">
        <v>4.4000000000000004</v>
      </c>
      <c r="D186">
        <v>7396</v>
      </c>
      <c r="E186">
        <v>13</v>
      </c>
      <c r="F186">
        <v>2019</v>
      </c>
      <c r="G186" t="s">
        <v>8</v>
      </c>
      <c r="AT186">
        <v>4.4000000000000004</v>
      </c>
      <c r="AU186">
        <v>7396</v>
      </c>
      <c r="AV186">
        <v>13</v>
      </c>
      <c r="AW186">
        <v>2019</v>
      </c>
    </row>
    <row r="187" spans="1:49" x14ac:dyDescent="0.25">
      <c r="A187" t="s">
        <v>246</v>
      </c>
      <c r="B187" t="s">
        <v>247</v>
      </c>
      <c r="C187">
        <v>4.4000000000000004</v>
      </c>
      <c r="D187">
        <v>7396</v>
      </c>
      <c r="E187">
        <v>13</v>
      </c>
      <c r="F187">
        <v>2018</v>
      </c>
      <c r="G187" t="s">
        <v>8</v>
      </c>
      <c r="AT187">
        <v>4.4000000000000004</v>
      </c>
      <c r="AU187">
        <v>7396</v>
      </c>
      <c r="AV187">
        <v>13</v>
      </c>
      <c r="AW187">
        <v>2018</v>
      </c>
    </row>
    <row r="188" spans="1:49" x14ac:dyDescent="0.25">
      <c r="A188" t="s">
        <v>248</v>
      </c>
      <c r="B188" t="s">
        <v>249</v>
      </c>
      <c r="C188">
        <v>4.8</v>
      </c>
      <c r="D188">
        <v>7062</v>
      </c>
      <c r="E188">
        <v>12</v>
      </c>
      <c r="F188">
        <v>2019</v>
      </c>
      <c r="G188" t="s">
        <v>8</v>
      </c>
      <c r="AT188">
        <v>4.8</v>
      </c>
      <c r="AU188">
        <v>7062</v>
      </c>
      <c r="AV188">
        <v>12</v>
      </c>
      <c r="AW188">
        <v>2019</v>
      </c>
    </row>
    <row r="189" spans="1:49" x14ac:dyDescent="0.25">
      <c r="A189" t="s">
        <v>250</v>
      </c>
      <c r="B189" t="s">
        <v>251</v>
      </c>
      <c r="C189">
        <v>4.9000000000000004</v>
      </c>
      <c r="D189">
        <v>19576</v>
      </c>
      <c r="E189">
        <v>8</v>
      </c>
      <c r="F189">
        <v>2011</v>
      </c>
      <c r="G189" t="s">
        <v>8</v>
      </c>
      <c r="AT189">
        <v>4.9000000000000004</v>
      </c>
      <c r="AU189">
        <v>19576</v>
      </c>
      <c r="AV189">
        <v>8</v>
      </c>
      <c r="AW189">
        <v>2011</v>
      </c>
    </row>
    <row r="190" spans="1:49" x14ac:dyDescent="0.25">
      <c r="A190" t="s">
        <v>250</v>
      </c>
      <c r="B190" t="s">
        <v>251</v>
      </c>
      <c r="C190">
        <v>4.9000000000000004</v>
      </c>
      <c r="D190">
        <v>19576</v>
      </c>
      <c r="E190">
        <v>8</v>
      </c>
      <c r="F190">
        <v>2012</v>
      </c>
      <c r="G190" t="s">
        <v>8</v>
      </c>
      <c r="AT190">
        <v>4.9000000000000004</v>
      </c>
      <c r="AU190">
        <v>19576</v>
      </c>
      <c r="AV190">
        <v>8</v>
      </c>
      <c r="AW190">
        <v>2012</v>
      </c>
    </row>
    <row r="191" spans="1:49" x14ac:dyDescent="0.25">
      <c r="A191" t="s">
        <v>250</v>
      </c>
      <c r="B191" t="s">
        <v>251</v>
      </c>
      <c r="C191">
        <v>4.9000000000000004</v>
      </c>
      <c r="D191">
        <v>19576</v>
      </c>
      <c r="E191">
        <v>8</v>
      </c>
      <c r="F191">
        <v>2013</v>
      </c>
      <c r="G191" t="s">
        <v>8</v>
      </c>
      <c r="AT191">
        <v>4.9000000000000004</v>
      </c>
      <c r="AU191">
        <v>19576</v>
      </c>
      <c r="AV191">
        <v>8</v>
      </c>
      <c r="AW191">
        <v>2013</v>
      </c>
    </row>
    <row r="192" spans="1:49" x14ac:dyDescent="0.25">
      <c r="A192" t="s">
        <v>250</v>
      </c>
      <c r="B192" t="s">
        <v>251</v>
      </c>
      <c r="C192">
        <v>4.9000000000000004</v>
      </c>
      <c r="D192">
        <v>19576</v>
      </c>
      <c r="E192">
        <v>8</v>
      </c>
      <c r="F192">
        <v>2014</v>
      </c>
      <c r="G192" t="s">
        <v>8</v>
      </c>
      <c r="AT192">
        <v>4.9000000000000004</v>
      </c>
      <c r="AU192">
        <v>19576</v>
      </c>
      <c r="AV192">
        <v>8</v>
      </c>
      <c r="AW192">
        <v>2014</v>
      </c>
    </row>
    <row r="193" spans="1:49" x14ac:dyDescent="0.25">
      <c r="A193" t="s">
        <v>250</v>
      </c>
      <c r="B193" t="s">
        <v>251</v>
      </c>
      <c r="C193">
        <v>4.9000000000000004</v>
      </c>
      <c r="D193">
        <v>19576</v>
      </c>
      <c r="E193">
        <v>8</v>
      </c>
      <c r="F193">
        <v>2015</v>
      </c>
      <c r="G193" t="s">
        <v>8</v>
      </c>
      <c r="AT193">
        <v>4.9000000000000004</v>
      </c>
      <c r="AU193">
        <v>19576</v>
      </c>
      <c r="AV193">
        <v>8</v>
      </c>
      <c r="AW193">
        <v>2015</v>
      </c>
    </row>
    <row r="194" spans="1:49" x14ac:dyDescent="0.25">
      <c r="A194" t="s">
        <v>250</v>
      </c>
      <c r="B194" t="s">
        <v>251</v>
      </c>
      <c r="C194">
        <v>4.9000000000000004</v>
      </c>
      <c r="D194">
        <v>19576</v>
      </c>
      <c r="E194">
        <v>8</v>
      </c>
      <c r="F194">
        <v>2016</v>
      </c>
      <c r="G194" t="s">
        <v>8</v>
      </c>
      <c r="AT194">
        <v>4.9000000000000004</v>
      </c>
      <c r="AU194">
        <v>19576</v>
      </c>
      <c r="AV194">
        <v>8</v>
      </c>
      <c r="AW194">
        <v>2016</v>
      </c>
    </row>
    <row r="195" spans="1:49" x14ac:dyDescent="0.25">
      <c r="A195" t="s">
        <v>252</v>
      </c>
      <c r="B195" t="s">
        <v>166</v>
      </c>
      <c r="C195">
        <v>4.5999999999999996</v>
      </c>
      <c r="D195">
        <v>978</v>
      </c>
      <c r="E195">
        <v>0</v>
      </c>
      <c r="F195">
        <v>2014</v>
      </c>
      <c r="G195" t="s">
        <v>10</v>
      </c>
      <c r="AT195">
        <v>4.5999999999999996</v>
      </c>
      <c r="AU195">
        <v>978</v>
      </c>
      <c r="AV195">
        <v>0</v>
      </c>
      <c r="AW195">
        <v>2014</v>
      </c>
    </row>
    <row r="196" spans="1:49" x14ac:dyDescent="0.25">
      <c r="A196" t="s">
        <v>253</v>
      </c>
      <c r="B196" t="s">
        <v>9</v>
      </c>
      <c r="C196">
        <v>4.5</v>
      </c>
      <c r="D196">
        <v>4748</v>
      </c>
      <c r="E196">
        <v>12</v>
      </c>
      <c r="F196">
        <v>2013</v>
      </c>
      <c r="G196" t="s">
        <v>10</v>
      </c>
      <c r="AT196">
        <v>4.5</v>
      </c>
      <c r="AU196">
        <v>4748</v>
      </c>
      <c r="AV196">
        <v>12</v>
      </c>
      <c r="AW196">
        <v>2013</v>
      </c>
    </row>
    <row r="197" spans="1:49" x14ac:dyDescent="0.25">
      <c r="A197" t="s">
        <v>254</v>
      </c>
      <c r="B197" t="s">
        <v>255</v>
      </c>
      <c r="C197">
        <v>4.5999999999999996</v>
      </c>
      <c r="D197">
        <v>8393</v>
      </c>
      <c r="E197">
        <v>17</v>
      </c>
      <c r="F197">
        <v>2017</v>
      </c>
      <c r="G197" t="s">
        <v>8</v>
      </c>
      <c r="AT197">
        <v>4.5999999999999996</v>
      </c>
      <c r="AU197">
        <v>8393</v>
      </c>
      <c r="AV197">
        <v>17</v>
      </c>
      <c r="AW197">
        <v>2017</v>
      </c>
    </row>
    <row r="198" spans="1:49" x14ac:dyDescent="0.25">
      <c r="A198" t="s">
        <v>256</v>
      </c>
      <c r="B198" t="s">
        <v>257</v>
      </c>
      <c r="C198">
        <v>4.5</v>
      </c>
      <c r="D198">
        <v>11391</v>
      </c>
      <c r="E198">
        <v>12</v>
      </c>
      <c r="F198">
        <v>2013</v>
      </c>
      <c r="G198" t="s">
        <v>8</v>
      </c>
      <c r="AT198">
        <v>4.5</v>
      </c>
      <c r="AU198">
        <v>11391</v>
      </c>
      <c r="AV198">
        <v>12</v>
      </c>
      <c r="AW198">
        <v>2013</v>
      </c>
    </row>
    <row r="199" spans="1:49" x14ac:dyDescent="0.25">
      <c r="A199" t="s">
        <v>258</v>
      </c>
      <c r="B199" t="s">
        <v>257</v>
      </c>
      <c r="C199">
        <v>4.5999999999999996</v>
      </c>
      <c r="D199">
        <v>8634</v>
      </c>
      <c r="E199">
        <v>25</v>
      </c>
      <c r="F199">
        <v>2012</v>
      </c>
      <c r="G199" t="s">
        <v>8</v>
      </c>
      <c r="AT199">
        <v>4.5999999999999996</v>
      </c>
      <c r="AU199">
        <v>8634</v>
      </c>
      <c r="AV199">
        <v>25</v>
      </c>
      <c r="AW199">
        <v>2012</v>
      </c>
    </row>
    <row r="200" spans="1:49" x14ac:dyDescent="0.25">
      <c r="A200" t="s">
        <v>259</v>
      </c>
      <c r="B200" t="s">
        <v>257</v>
      </c>
      <c r="C200">
        <v>4.7</v>
      </c>
      <c r="D200">
        <v>9342</v>
      </c>
      <c r="E200">
        <v>10</v>
      </c>
      <c r="F200">
        <v>2011</v>
      </c>
      <c r="G200" t="s">
        <v>8</v>
      </c>
      <c r="AT200">
        <v>4.7</v>
      </c>
      <c r="AU200">
        <v>9342</v>
      </c>
      <c r="AV200">
        <v>10</v>
      </c>
      <c r="AW200">
        <v>2011</v>
      </c>
    </row>
    <row r="201" spans="1:49" x14ac:dyDescent="0.25">
      <c r="A201" t="s">
        <v>259</v>
      </c>
      <c r="B201" t="s">
        <v>257</v>
      </c>
      <c r="C201">
        <v>4.7</v>
      </c>
      <c r="D201">
        <v>9342</v>
      </c>
      <c r="E201">
        <v>10</v>
      </c>
      <c r="F201">
        <v>2012</v>
      </c>
      <c r="G201" t="s">
        <v>8</v>
      </c>
      <c r="AT201">
        <v>4.7</v>
      </c>
      <c r="AU201">
        <v>9342</v>
      </c>
      <c r="AV201">
        <v>10</v>
      </c>
      <c r="AW201">
        <v>2012</v>
      </c>
    </row>
    <row r="202" spans="1:49" x14ac:dyDescent="0.25">
      <c r="A202" t="s">
        <v>260</v>
      </c>
      <c r="B202" t="s">
        <v>257</v>
      </c>
      <c r="C202">
        <v>4.5999999999999996</v>
      </c>
      <c r="D202">
        <v>10927</v>
      </c>
      <c r="E202">
        <v>6</v>
      </c>
      <c r="F202">
        <v>2014</v>
      </c>
      <c r="G202" t="s">
        <v>8</v>
      </c>
      <c r="AT202">
        <v>4.5999999999999996</v>
      </c>
      <c r="AU202">
        <v>10927</v>
      </c>
      <c r="AV202">
        <v>6</v>
      </c>
      <c r="AW202">
        <v>2014</v>
      </c>
    </row>
    <row r="203" spans="1:49" x14ac:dyDescent="0.25">
      <c r="A203" t="s">
        <v>261</v>
      </c>
      <c r="B203" t="s">
        <v>257</v>
      </c>
      <c r="C203">
        <v>4.5999999999999996</v>
      </c>
      <c r="D203">
        <v>5235</v>
      </c>
      <c r="E203">
        <v>5</v>
      </c>
      <c r="F203">
        <v>2015</v>
      </c>
      <c r="G203" t="s">
        <v>8</v>
      </c>
      <c r="AT203">
        <v>4.5999999999999996</v>
      </c>
      <c r="AU203">
        <v>5235</v>
      </c>
      <c r="AV203">
        <v>5</v>
      </c>
      <c r="AW203">
        <v>2015</v>
      </c>
    </row>
    <row r="204" spans="1:49" x14ac:dyDescent="0.25">
      <c r="A204" t="s">
        <v>262</v>
      </c>
      <c r="B204" t="s">
        <v>257</v>
      </c>
      <c r="C204">
        <v>4.8</v>
      </c>
      <c r="D204">
        <v>8916</v>
      </c>
      <c r="E204">
        <v>6</v>
      </c>
      <c r="F204">
        <v>2016</v>
      </c>
      <c r="G204" t="s">
        <v>8</v>
      </c>
      <c r="AT204">
        <v>4.8</v>
      </c>
      <c r="AU204">
        <v>8916</v>
      </c>
      <c r="AV204">
        <v>6</v>
      </c>
      <c r="AW204">
        <v>2016</v>
      </c>
    </row>
    <row r="205" spans="1:49" x14ac:dyDescent="0.25">
      <c r="A205" t="s">
        <v>263</v>
      </c>
      <c r="B205" t="s">
        <v>264</v>
      </c>
      <c r="C205">
        <v>4.8</v>
      </c>
      <c r="D205">
        <v>2507</v>
      </c>
      <c r="E205">
        <v>8</v>
      </c>
      <c r="F205">
        <v>2018</v>
      </c>
      <c r="G205" t="s">
        <v>8</v>
      </c>
      <c r="AT205">
        <v>4.8</v>
      </c>
      <c r="AU205">
        <v>2507</v>
      </c>
      <c r="AV205">
        <v>8</v>
      </c>
      <c r="AW205">
        <v>2018</v>
      </c>
    </row>
    <row r="206" spans="1:49" x14ac:dyDescent="0.25">
      <c r="A206" t="s">
        <v>265</v>
      </c>
      <c r="B206" t="s">
        <v>266</v>
      </c>
      <c r="C206">
        <v>4.5</v>
      </c>
      <c r="D206">
        <v>3673</v>
      </c>
      <c r="E206">
        <v>4</v>
      </c>
      <c r="F206">
        <v>2013</v>
      </c>
      <c r="G206" t="s">
        <v>8</v>
      </c>
      <c r="AT206">
        <v>4.5</v>
      </c>
      <c r="AU206">
        <v>3673</v>
      </c>
      <c r="AV206">
        <v>4</v>
      </c>
      <c r="AW206">
        <v>2013</v>
      </c>
    </row>
    <row r="207" spans="1:49" x14ac:dyDescent="0.25">
      <c r="A207" t="s">
        <v>265</v>
      </c>
      <c r="B207" t="s">
        <v>266</v>
      </c>
      <c r="C207">
        <v>4.5</v>
      </c>
      <c r="D207">
        <v>3673</v>
      </c>
      <c r="E207">
        <v>4</v>
      </c>
      <c r="F207">
        <v>2014</v>
      </c>
      <c r="G207" t="s">
        <v>8</v>
      </c>
      <c r="AT207">
        <v>4.5</v>
      </c>
      <c r="AU207">
        <v>3673</v>
      </c>
      <c r="AV207">
        <v>4</v>
      </c>
      <c r="AW207">
        <v>2014</v>
      </c>
    </row>
    <row r="208" spans="1:49" x14ac:dyDescent="0.25">
      <c r="A208" t="s">
        <v>265</v>
      </c>
      <c r="B208" t="s">
        <v>266</v>
      </c>
      <c r="C208">
        <v>4.5</v>
      </c>
      <c r="D208">
        <v>3673</v>
      </c>
      <c r="E208">
        <v>4</v>
      </c>
      <c r="F208">
        <v>2015</v>
      </c>
      <c r="G208" t="s">
        <v>8</v>
      </c>
      <c r="AT208">
        <v>4.5</v>
      </c>
      <c r="AU208">
        <v>3673</v>
      </c>
      <c r="AV208">
        <v>4</v>
      </c>
      <c r="AW208">
        <v>2015</v>
      </c>
    </row>
    <row r="209" spans="1:49" x14ac:dyDescent="0.25">
      <c r="A209" t="s">
        <v>267</v>
      </c>
      <c r="B209" t="s">
        <v>268</v>
      </c>
      <c r="C209">
        <v>4.9000000000000004</v>
      </c>
      <c r="D209">
        <v>11881</v>
      </c>
      <c r="E209">
        <v>13</v>
      </c>
      <c r="F209">
        <v>2018</v>
      </c>
      <c r="G209" t="s">
        <v>10</v>
      </c>
      <c r="AT209">
        <v>4.9000000000000004</v>
      </c>
      <c r="AU209">
        <v>11881</v>
      </c>
      <c r="AV209">
        <v>13</v>
      </c>
      <c r="AW209">
        <v>2018</v>
      </c>
    </row>
    <row r="210" spans="1:49" x14ac:dyDescent="0.25">
      <c r="A210" t="s">
        <v>269</v>
      </c>
      <c r="B210" t="s">
        <v>266</v>
      </c>
      <c r="C210">
        <v>4.5999999999999996</v>
      </c>
      <c r="D210">
        <v>6990</v>
      </c>
      <c r="E210">
        <v>4</v>
      </c>
      <c r="F210">
        <v>2013</v>
      </c>
      <c r="G210" t="s">
        <v>8</v>
      </c>
      <c r="AT210">
        <v>4.5999999999999996</v>
      </c>
      <c r="AU210">
        <v>6990</v>
      </c>
      <c r="AV210">
        <v>4</v>
      </c>
      <c r="AW210">
        <v>2013</v>
      </c>
    </row>
    <row r="211" spans="1:49" x14ac:dyDescent="0.25">
      <c r="A211" t="s">
        <v>269</v>
      </c>
      <c r="B211" t="s">
        <v>266</v>
      </c>
      <c r="C211">
        <v>4.5999999999999996</v>
      </c>
      <c r="D211">
        <v>6990</v>
      </c>
      <c r="E211">
        <v>4</v>
      </c>
      <c r="F211">
        <v>2014</v>
      </c>
      <c r="G211" t="s">
        <v>8</v>
      </c>
      <c r="AT211">
        <v>4.5999999999999996</v>
      </c>
      <c r="AU211">
        <v>6990</v>
      </c>
      <c r="AV211">
        <v>4</v>
      </c>
      <c r="AW211">
        <v>2014</v>
      </c>
    </row>
    <row r="212" spans="1:49" x14ac:dyDescent="0.25">
      <c r="A212" t="s">
        <v>269</v>
      </c>
      <c r="B212" t="s">
        <v>266</v>
      </c>
      <c r="C212">
        <v>4.5999999999999996</v>
      </c>
      <c r="D212">
        <v>6990</v>
      </c>
      <c r="E212">
        <v>4</v>
      </c>
      <c r="F212">
        <v>2015</v>
      </c>
      <c r="G212" t="s">
        <v>8</v>
      </c>
      <c r="AT212">
        <v>4.5999999999999996</v>
      </c>
      <c r="AU212">
        <v>6990</v>
      </c>
      <c r="AV212">
        <v>4</v>
      </c>
      <c r="AW212">
        <v>2015</v>
      </c>
    </row>
    <row r="213" spans="1:49" x14ac:dyDescent="0.25">
      <c r="A213" t="s">
        <v>269</v>
      </c>
      <c r="B213" t="s">
        <v>266</v>
      </c>
      <c r="C213">
        <v>4.5999999999999996</v>
      </c>
      <c r="D213">
        <v>6990</v>
      </c>
      <c r="E213">
        <v>4</v>
      </c>
      <c r="F213">
        <v>2016</v>
      </c>
      <c r="G213" t="s">
        <v>8</v>
      </c>
      <c r="AT213">
        <v>4.5999999999999996</v>
      </c>
      <c r="AU213">
        <v>6990</v>
      </c>
      <c r="AV213">
        <v>4</v>
      </c>
      <c r="AW213">
        <v>2016</v>
      </c>
    </row>
    <row r="214" spans="1:49" x14ac:dyDescent="0.25">
      <c r="A214" t="s">
        <v>269</v>
      </c>
      <c r="B214" t="s">
        <v>266</v>
      </c>
      <c r="C214">
        <v>4.5999999999999996</v>
      </c>
      <c r="D214">
        <v>6990</v>
      </c>
      <c r="E214">
        <v>4</v>
      </c>
      <c r="F214">
        <v>2017</v>
      </c>
      <c r="G214" t="s">
        <v>8</v>
      </c>
      <c r="AT214">
        <v>4.5999999999999996</v>
      </c>
      <c r="AU214">
        <v>6990</v>
      </c>
      <c r="AV214">
        <v>4</v>
      </c>
      <c r="AW214">
        <v>2017</v>
      </c>
    </row>
    <row r="215" spans="1:49" x14ac:dyDescent="0.25">
      <c r="A215" t="s">
        <v>270</v>
      </c>
      <c r="B215" t="s">
        <v>271</v>
      </c>
      <c r="C215">
        <v>4.5</v>
      </c>
      <c r="D215">
        <v>6132</v>
      </c>
      <c r="E215">
        <v>13</v>
      </c>
      <c r="F215">
        <v>2013</v>
      </c>
      <c r="G215" t="s">
        <v>8</v>
      </c>
      <c r="AT215">
        <v>4.5</v>
      </c>
      <c r="AU215">
        <v>6132</v>
      </c>
      <c r="AV215">
        <v>13</v>
      </c>
      <c r="AW215">
        <v>2013</v>
      </c>
    </row>
    <row r="216" spans="1:49" x14ac:dyDescent="0.25">
      <c r="A216" t="s">
        <v>272</v>
      </c>
      <c r="B216" t="s">
        <v>273</v>
      </c>
      <c r="C216">
        <v>4.5</v>
      </c>
      <c r="D216">
        <v>3014</v>
      </c>
      <c r="E216">
        <v>21</v>
      </c>
      <c r="F216">
        <v>2017</v>
      </c>
      <c r="G216" t="s">
        <v>8</v>
      </c>
      <c r="AT216">
        <v>4.5</v>
      </c>
      <c r="AU216">
        <v>3014</v>
      </c>
      <c r="AV216">
        <v>21</v>
      </c>
      <c r="AW216">
        <v>2017</v>
      </c>
    </row>
    <row r="217" spans="1:49" x14ac:dyDescent="0.25">
      <c r="A217" t="s">
        <v>274</v>
      </c>
      <c r="B217" t="s">
        <v>275</v>
      </c>
      <c r="C217">
        <v>4.4000000000000004</v>
      </c>
      <c r="D217">
        <v>7550</v>
      </c>
      <c r="E217">
        <v>6</v>
      </c>
      <c r="F217">
        <v>2018</v>
      </c>
      <c r="G217" t="s">
        <v>8</v>
      </c>
      <c r="AT217">
        <v>4.4000000000000004</v>
      </c>
      <c r="AU217">
        <v>7550</v>
      </c>
      <c r="AV217">
        <v>6</v>
      </c>
      <c r="AW217">
        <v>2018</v>
      </c>
    </row>
    <row r="218" spans="1:49" x14ac:dyDescent="0.25">
      <c r="A218" t="s">
        <v>276</v>
      </c>
      <c r="B218" t="s">
        <v>277</v>
      </c>
      <c r="C218">
        <v>4.8</v>
      </c>
      <c r="D218">
        <v>3828</v>
      </c>
      <c r="E218">
        <v>15</v>
      </c>
      <c r="F218">
        <v>2009</v>
      </c>
      <c r="G218" t="s">
        <v>8</v>
      </c>
      <c r="AT218">
        <v>4.8</v>
      </c>
      <c r="AU218">
        <v>3828</v>
      </c>
      <c r="AV218">
        <v>15</v>
      </c>
      <c r="AW218">
        <v>2009</v>
      </c>
    </row>
    <row r="219" spans="1:49" x14ac:dyDescent="0.25">
      <c r="A219" t="s">
        <v>278</v>
      </c>
      <c r="B219" t="s">
        <v>279</v>
      </c>
      <c r="C219">
        <v>4.5</v>
      </c>
      <c r="D219">
        <v>2752</v>
      </c>
      <c r="E219">
        <v>18</v>
      </c>
      <c r="F219">
        <v>2010</v>
      </c>
      <c r="G219" t="s">
        <v>8</v>
      </c>
      <c r="AT219">
        <v>4.5</v>
      </c>
      <c r="AU219">
        <v>2752</v>
      </c>
      <c r="AV219">
        <v>18</v>
      </c>
      <c r="AW219">
        <v>2010</v>
      </c>
    </row>
    <row r="220" spans="1:49" x14ac:dyDescent="0.25">
      <c r="A220" t="s">
        <v>280</v>
      </c>
      <c r="B220" t="s">
        <v>281</v>
      </c>
      <c r="C220">
        <v>4.0999999999999996</v>
      </c>
      <c r="D220">
        <v>1467</v>
      </c>
      <c r="E220">
        <v>10</v>
      </c>
      <c r="F220">
        <v>2010</v>
      </c>
      <c r="G220" t="s">
        <v>10</v>
      </c>
      <c r="AT220">
        <v>4.0999999999999996</v>
      </c>
      <c r="AU220">
        <v>1467</v>
      </c>
      <c r="AV220">
        <v>10</v>
      </c>
      <c r="AW220">
        <v>2010</v>
      </c>
    </row>
    <row r="221" spans="1:49" x14ac:dyDescent="0.25">
      <c r="A221" t="s">
        <v>282</v>
      </c>
      <c r="B221" t="s">
        <v>283</v>
      </c>
      <c r="C221">
        <v>4.9000000000000004</v>
      </c>
      <c r="D221">
        <v>1884</v>
      </c>
      <c r="E221">
        <v>0</v>
      </c>
      <c r="F221">
        <v>2014</v>
      </c>
      <c r="G221" t="s">
        <v>10</v>
      </c>
      <c r="AT221">
        <v>4.9000000000000004</v>
      </c>
      <c r="AU221">
        <v>1884</v>
      </c>
      <c r="AV221">
        <v>0</v>
      </c>
      <c r="AW221">
        <v>2014</v>
      </c>
    </row>
    <row r="222" spans="1:49" x14ac:dyDescent="0.25">
      <c r="A222" t="s">
        <v>284</v>
      </c>
      <c r="B222" t="s">
        <v>285</v>
      </c>
      <c r="C222">
        <v>4.5</v>
      </c>
      <c r="D222">
        <v>25706</v>
      </c>
      <c r="E222">
        <v>12</v>
      </c>
      <c r="F222">
        <v>2018</v>
      </c>
      <c r="G222" t="s">
        <v>10</v>
      </c>
      <c r="AT222">
        <v>4.5</v>
      </c>
      <c r="AU222">
        <v>25706</v>
      </c>
      <c r="AV222">
        <v>12</v>
      </c>
      <c r="AW222">
        <v>2018</v>
      </c>
    </row>
    <row r="223" spans="1:49" x14ac:dyDescent="0.25">
      <c r="A223" t="s">
        <v>286</v>
      </c>
      <c r="B223" t="s">
        <v>287</v>
      </c>
      <c r="C223">
        <v>4.5</v>
      </c>
      <c r="D223">
        <v>8491</v>
      </c>
      <c r="E223">
        <v>7</v>
      </c>
      <c r="F223">
        <v>2014</v>
      </c>
      <c r="G223" t="s">
        <v>10</v>
      </c>
      <c r="AT223">
        <v>4.5</v>
      </c>
      <c r="AU223">
        <v>8491</v>
      </c>
      <c r="AV223">
        <v>7</v>
      </c>
      <c r="AW223">
        <v>2014</v>
      </c>
    </row>
    <row r="224" spans="1:49" x14ac:dyDescent="0.25">
      <c r="A224" t="s">
        <v>288</v>
      </c>
      <c r="B224" t="s">
        <v>289</v>
      </c>
      <c r="C224">
        <v>4.2</v>
      </c>
      <c r="D224">
        <v>1649</v>
      </c>
      <c r="E224">
        <v>13</v>
      </c>
      <c r="F224">
        <v>2011</v>
      </c>
      <c r="G224" t="s">
        <v>8</v>
      </c>
      <c r="AT224">
        <v>4.2</v>
      </c>
      <c r="AU224">
        <v>1649</v>
      </c>
      <c r="AV224">
        <v>13</v>
      </c>
      <c r="AW224">
        <v>2011</v>
      </c>
    </row>
    <row r="225" spans="1:49" x14ac:dyDescent="0.25">
      <c r="A225" t="s">
        <v>290</v>
      </c>
      <c r="B225" t="s">
        <v>291</v>
      </c>
      <c r="C225">
        <v>4.8</v>
      </c>
      <c r="D225">
        <v>18613</v>
      </c>
      <c r="E225">
        <v>5</v>
      </c>
      <c r="F225">
        <v>2014</v>
      </c>
      <c r="G225" t="s">
        <v>10</v>
      </c>
      <c r="AT225">
        <v>4.8</v>
      </c>
      <c r="AU225">
        <v>18613</v>
      </c>
      <c r="AV225">
        <v>5</v>
      </c>
      <c r="AW225">
        <v>2014</v>
      </c>
    </row>
    <row r="226" spans="1:49" x14ac:dyDescent="0.25">
      <c r="A226" t="s">
        <v>290</v>
      </c>
      <c r="B226" t="s">
        <v>291</v>
      </c>
      <c r="C226">
        <v>4.8</v>
      </c>
      <c r="D226">
        <v>18613</v>
      </c>
      <c r="E226">
        <v>5</v>
      </c>
      <c r="F226">
        <v>2015</v>
      </c>
      <c r="G226" t="s">
        <v>10</v>
      </c>
      <c r="AT226">
        <v>4.8</v>
      </c>
      <c r="AU226">
        <v>18613</v>
      </c>
      <c r="AV226">
        <v>5</v>
      </c>
      <c r="AW226">
        <v>2015</v>
      </c>
    </row>
    <row r="227" spans="1:49" x14ac:dyDescent="0.25">
      <c r="A227" t="s">
        <v>292</v>
      </c>
      <c r="B227" t="s">
        <v>222</v>
      </c>
      <c r="C227">
        <v>4.8</v>
      </c>
      <c r="D227">
        <v>9867</v>
      </c>
      <c r="E227">
        <v>16</v>
      </c>
      <c r="F227">
        <v>2018</v>
      </c>
      <c r="G227" t="s">
        <v>8</v>
      </c>
      <c r="AT227">
        <v>4.8</v>
      </c>
      <c r="AU227">
        <v>9867</v>
      </c>
      <c r="AV227">
        <v>16</v>
      </c>
      <c r="AW227">
        <v>2018</v>
      </c>
    </row>
    <row r="228" spans="1:49" x14ac:dyDescent="0.25">
      <c r="A228" t="s">
        <v>293</v>
      </c>
      <c r="B228" t="s">
        <v>62</v>
      </c>
      <c r="C228">
        <v>4.5</v>
      </c>
      <c r="D228">
        <v>1386</v>
      </c>
      <c r="E228">
        <v>20</v>
      </c>
      <c r="F228">
        <v>2014</v>
      </c>
      <c r="G228" t="s">
        <v>8</v>
      </c>
      <c r="AT228">
        <v>4.5</v>
      </c>
      <c r="AU228">
        <v>1386</v>
      </c>
      <c r="AV228">
        <v>20</v>
      </c>
      <c r="AW228">
        <v>2014</v>
      </c>
    </row>
    <row r="229" spans="1:49" x14ac:dyDescent="0.25">
      <c r="A229" t="s">
        <v>294</v>
      </c>
      <c r="B229" t="s">
        <v>295</v>
      </c>
      <c r="C229">
        <v>4.7</v>
      </c>
      <c r="D229">
        <v>10199</v>
      </c>
      <c r="E229">
        <v>11</v>
      </c>
      <c r="F229">
        <v>2017</v>
      </c>
      <c r="G229" t="s">
        <v>8</v>
      </c>
      <c r="AT229">
        <v>4.7</v>
      </c>
      <c r="AU229">
        <v>10199</v>
      </c>
      <c r="AV229">
        <v>11</v>
      </c>
      <c r="AW229">
        <v>2017</v>
      </c>
    </row>
    <row r="230" spans="1:49" x14ac:dyDescent="0.25">
      <c r="A230" t="s">
        <v>296</v>
      </c>
      <c r="B230" t="s">
        <v>297</v>
      </c>
      <c r="C230">
        <v>4.8</v>
      </c>
      <c r="D230">
        <v>2926</v>
      </c>
      <c r="E230">
        <v>27</v>
      </c>
      <c r="F230">
        <v>2009</v>
      </c>
      <c r="G230" t="s">
        <v>8</v>
      </c>
      <c r="AT230">
        <v>4.8</v>
      </c>
      <c r="AU230">
        <v>2926</v>
      </c>
      <c r="AV230">
        <v>27</v>
      </c>
      <c r="AW230">
        <v>2009</v>
      </c>
    </row>
    <row r="231" spans="1:49" x14ac:dyDescent="0.25">
      <c r="A231" t="s">
        <v>298</v>
      </c>
      <c r="B231" t="s">
        <v>299</v>
      </c>
      <c r="C231">
        <v>4.7</v>
      </c>
      <c r="D231">
        <v>17739</v>
      </c>
      <c r="E231">
        <v>8</v>
      </c>
      <c r="F231">
        <v>2016</v>
      </c>
      <c r="G231" t="s">
        <v>8</v>
      </c>
      <c r="AT231">
        <v>4.7</v>
      </c>
      <c r="AU231">
        <v>17739</v>
      </c>
      <c r="AV231">
        <v>8</v>
      </c>
      <c r="AW231">
        <v>2016</v>
      </c>
    </row>
    <row r="232" spans="1:49" x14ac:dyDescent="0.25">
      <c r="A232" t="s">
        <v>298</v>
      </c>
      <c r="B232" t="s">
        <v>299</v>
      </c>
      <c r="C232">
        <v>4.7</v>
      </c>
      <c r="D232">
        <v>17739</v>
      </c>
      <c r="E232">
        <v>8</v>
      </c>
      <c r="F232">
        <v>2017</v>
      </c>
      <c r="G232" t="s">
        <v>8</v>
      </c>
      <c r="AT232">
        <v>4.7</v>
      </c>
      <c r="AU232">
        <v>17739</v>
      </c>
      <c r="AV232">
        <v>8</v>
      </c>
      <c r="AW232">
        <v>2017</v>
      </c>
    </row>
    <row r="233" spans="1:49" x14ac:dyDescent="0.25">
      <c r="A233" t="s">
        <v>298</v>
      </c>
      <c r="B233" t="s">
        <v>299</v>
      </c>
      <c r="C233">
        <v>4.7</v>
      </c>
      <c r="D233">
        <v>17739</v>
      </c>
      <c r="E233">
        <v>8</v>
      </c>
      <c r="F233">
        <v>2018</v>
      </c>
      <c r="G233" t="s">
        <v>8</v>
      </c>
      <c r="AT233">
        <v>4.7</v>
      </c>
      <c r="AU233">
        <v>17739</v>
      </c>
      <c r="AV233">
        <v>8</v>
      </c>
      <c r="AW233">
        <v>2018</v>
      </c>
    </row>
    <row r="234" spans="1:49" x14ac:dyDescent="0.25">
      <c r="A234" t="s">
        <v>300</v>
      </c>
      <c r="B234" t="s">
        <v>301</v>
      </c>
      <c r="C234">
        <v>4.4000000000000004</v>
      </c>
      <c r="D234">
        <v>3113</v>
      </c>
      <c r="E234">
        <v>6</v>
      </c>
      <c r="F234">
        <v>2017</v>
      </c>
      <c r="G234" t="s">
        <v>8</v>
      </c>
      <c r="AT234">
        <v>4.4000000000000004</v>
      </c>
      <c r="AU234">
        <v>3113</v>
      </c>
      <c r="AV234">
        <v>6</v>
      </c>
      <c r="AW234">
        <v>2017</v>
      </c>
    </row>
    <row r="235" spans="1:49" x14ac:dyDescent="0.25">
      <c r="A235" t="s">
        <v>302</v>
      </c>
      <c r="B235" t="s">
        <v>303</v>
      </c>
      <c r="C235">
        <v>4.5999999999999996</v>
      </c>
      <c r="D235">
        <v>5542</v>
      </c>
      <c r="E235">
        <v>10</v>
      </c>
      <c r="F235">
        <v>2014</v>
      </c>
      <c r="G235" t="s">
        <v>8</v>
      </c>
      <c r="AT235">
        <v>4.5999999999999996</v>
      </c>
      <c r="AU235">
        <v>5542</v>
      </c>
      <c r="AV235">
        <v>10</v>
      </c>
      <c r="AW235">
        <v>2014</v>
      </c>
    </row>
    <row r="236" spans="1:49" x14ac:dyDescent="0.25">
      <c r="A236" t="s">
        <v>302</v>
      </c>
      <c r="B236" t="s">
        <v>303</v>
      </c>
      <c r="C236">
        <v>4.5999999999999996</v>
      </c>
      <c r="D236">
        <v>5542</v>
      </c>
      <c r="E236">
        <v>10</v>
      </c>
      <c r="F236">
        <v>2015</v>
      </c>
      <c r="G236" t="s">
        <v>8</v>
      </c>
      <c r="AT236">
        <v>4.5999999999999996</v>
      </c>
      <c r="AU236">
        <v>5542</v>
      </c>
      <c r="AV236">
        <v>10</v>
      </c>
      <c r="AW236">
        <v>2015</v>
      </c>
    </row>
    <row r="237" spans="1:49" x14ac:dyDescent="0.25">
      <c r="A237" t="s">
        <v>302</v>
      </c>
      <c r="B237" t="s">
        <v>303</v>
      </c>
      <c r="C237">
        <v>4.5999999999999996</v>
      </c>
      <c r="D237">
        <v>5542</v>
      </c>
      <c r="E237">
        <v>10</v>
      </c>
      <c r="F237">
        <v>2016</v>
      </c>
      <c r="G237" t="s">
        <v>8</v>
      </c>
      <c r="AT237">
        <v>4.5999999999999996</v>
      </c>
      <c r="AU237">
        <v>5542</v>
      </c>
      <c r="AV237">
        <v>10</v>
      </c>
      <c r="AW237">
        <v>2016</v>
      </c>
    </row>
    <row r="238" spans="1:49" x14ac:dyDescent="0.25">
      <c r="A238" t="s">
        <v>304</v>
      </c>
      <c r="B238" t="s">
        <v>86</v>
      </c>
      <c r="C238">
        <v>4.5</v>
      </c>
      <c r="D238">
        <v>26741</v>
      </c>
      <c r="E238">
        <v>8</v>
      </c>
      <c r="F238">
        <v>2010</v>
      </c>
      <c r="G238" t="s">
        <v>10</v>
      </c>
      <c r="AT238">
        <v>4.5</v>
      </c>
      <c r="AU238">
        <v>26741</v>
      </c>
      <c r="AV238">
        <v>8</v>
      </c>
      <c r="AW238">
        <v>2010</v>
      </c>
    </row>
    <row r="239" spans="1:49" x14ac:dyDescent="0.25">
      <c r="A239" t="s">
        <v>304</v>
      </c>
      <c r="B239" t="s">
        <v>86</v>
      </c>
      <c r="C239">
        <v>4.5</v>
      </c>
      <c r="D239">
        <v>26741</v>
      </c>
      <c r="E239">
        <v>8</v>
      </c>
      <c r="F239">
        <v>2011</v>
      </c>
      <c r="G239" t="s">
        <v>10</v>
      </c>
      <c r="AT239">
        <v>4.5</v>
      </c>
      <c r="AU239">
        <v>26741</v>
      </c>
      <c r="AV239">
        <v>8</v>
      </c>
      <c r="AW239">
        <v>2011</v>
      </c>
    </row>
    <row r="240" spans="1:49" x14ac:dyDescent="0.25">
      <c r="A240" t="s">
        <v>304</v>
      </c>
      <c r="B240" t="s">
        <v>86</v>
      </c>
      <c r="C240">
        <v>4.5</v>
      </c>
      <c r="D240">
        <v>26741</v>
      </c>
      <c r="E240">
        <v>8</v>
      </c>
      <c r="F240">
        <v>2012</v>
      </c>
      <c r="G240" t="s">
        <v>10</v>
      </c>
      <c r="AT240">
        <v>4.5</v>
      </c>
      <c r="AU240">
        <v>26741</v>
      </c>
      <c r="AV240">
        <v>8</v>
      </c>
      <c r="AW240">
        <v>2012</v>
      </c>
    </row>
    <row r="241" spans="1:49" x14ac:dyDescent="0.25">
      <c r="A241" t="s">
        <v>305</v>
      </c>
      <c r="B241" t="s">
        <v>306</v>
      </c>
      <c r="C241">
        <v>4.8</v>
      </c>
      <c r="D241">
        <v>5347</v>
      </c>
      <c r="E241">
        <v>16</v>
      </c>
      <c r="F241">
        <v>2019</v>
      </c>
      <c r="G241" t="s">
        <v>8</v>
      </c>
      <c r="AT241">
        <v>4.8</v>
      </c>
      <c r="AU241">
        <v>5347</v>
      </c>
      <c r="AV241">
        <v>16</v>
      </c>
      <c r="AW241">
        <v>2019</v>
      </c>
    </row>
    <row r="242" spans="1:49" x14ac:dyDescent="0.25">
      <c r="A242" t="s">
        <v>307</v>
      </c>
      <c r="B242" t="s">
        <v>308</v>
      </c>
      <c r="C242">
        <v>4.8</v>
      </c>
      <c r="D242">
        <v>7866</v>
      </c>
      <c r="E242">
        <v>11</v>
      </c>
      <c r="F242">
        <v>2019</v>
      </c>
      <c r="G242" t="s">
        <v>8</v>
      </c>
      <c r="AT242">
        <v>4.8</v>
      </c>
      <c r="AU242">
        <v>7866</v>
      </c>
      <c r="AV242">
        <v>11</v>
      </c>
      <c r="AW242">
        <v>2019</v>
      </c>
    </row>
    <row r="243" spans="1:49" x14ac:dyDescent="0.25">
      <c r="A243" t="s">
        <v>309</v>
      </c>
      <c r="B243" t="s">
        <v>73</v>
      </c>
      <c r="C243">
        <v>4.5999999999999996</v>
      </c>
      <c r="D243">
        <v>5680</v>
      </c>
      <c r="E243">
        <v>10</v>
      </c>
      <c r="F243">
        <v>2009</v>
      </c>
      <c r="G243" t="s">
        <v>10</v>
      </c>
      <c r="AT243">
        <v>4.5999999999999996</v>
      </c>
      <c r="AU243">
        <v>5680</v>
      </c>
      <c r="AV243">
        <v>10</v>
      </c>
      <c r="AW243">
        <v>2009</v>
      </c>
    </row>
    <row r="244" spans="1:49" x14ac:dyDescent="0.25">
      <c r="A244" t="s">
        <v>310</v>
      </c>
      <c r="B244" t="s">
        <v>311</v>
      </c>
      <c r="C244">
        <v>4.7</v>
      </c>
      <c r="D244">
        <v>5178</v>
      </c>
      <c r="E244">
        <v>9</v>
      </c>
      <c r="F244">
        <v>2016</v>
      </c>
      <c r="G244" t="s">
        <v>8</v>
      </c>
      <c r="AT244">
        <v>4.7</v>
      </c>
      <c r="AU244">
        <v>5178</v>
      </c>
      <c r="AV244">
        <v>9</v>
      </c>
      <c r="AW244">
        <v>2016</v>
      </c>
    </row>
    <row r="245" spans="1:49" x14ac:dyDescent="0.25">
      <c r="A245" t="s">
        <v>312</v>
      </c>
      <c r="B245" t="s">
        <v>313</v>
      </c>
      <c r="C245">
        <v>4.5999999999999996</v>
      </c>
      <c r="D245">
        <v>8093</v>
      </c>
      <c r="E245">
        <v>14</v>
      </c>
      <c r="F245">
        <v>2012</v>
      </c>
      <c r="G245" t="s">
        <v>8</v>
      </c>
      <c r="AT245">
        <v>4.5999999999999996</v>
      </c>
      <c r="AU245">
        <v>8093</v>
      </c>
      <c r="AV245">
        <v>14</v>
      </c>
      <c r="AW245">
        <v>2012</v>
      </c>
    </row>
    <row r="246" spans="1:49" x14ac:dyDescent="0.25">
      <c r="A246" t="s">
        <v>314</v>
      </c>
      <c r="B246" t="s">
        <v>315</v>
      </c>
      <c r="C246">
        <v>4.9000000000000004</v>
      </c>
      <c r="D246">
        <v>3192</v>
      </c>
      <c r="E246">
        <v>22</v>
      </c>
      <c r="F246">
        <v>2017</v>
      </c>
      <c r="G246" t="s">
        <v>8</v>
      </c>
      <c r="AT246">
        <v>4.9000000000000004</v>
      </c>
      <c r="AU246">
        <v>3192</v>
      </c>
      <c r="AV246">
        <v>22</v>
      </c>
      <c r="AW246">
        <v>2017</v>
      </c>
    </row>
    <row r="247" spans="1:49" x14ac:dyDescent="0.25">
      <c r="A247" t="s">
        <v>316</v>
      </c>
      <c r="B247" t="s">
        <v>317</v>
      </c>
      <c r="C247">
        <v>4.9000000000000004</v>
      </c>
      <c r="D247">
        <v>21834</v>
      </c>
      <c r="E247">
        <v>8</v>
      </c>
      <c r="F247">
        <v>2012</v>
      </c>
      <c r="G247" t="s">
        <v>10</v>
      </c>
      <c r="AT247">
        <v>4.9000000000000004</v>
      </c>
      <c r="AU247">
        <v>21834</v>
      </c>
      <c r="AV247">
        <v>8</v>
      </c>
      <c r="AW247">
        <v>2012</v>
      </c>
    </row>
    <row r="248" spans="1:49" x14ac:dyDescent="0.25">
      <c r="A248" t="s">
        <v>316</v>
      </c>
      <c r="B248" t="s">
        <v>317</v>
      </c>
      <c r="C248">
        <v>4.9000000000000004</v>
      </c>
      <c r="D248">
        <v>21834</v>
      </c>
      <c r="E248">
        <v>8</v>
      </c>
      <c r="F248">
        <v>2013</v>
      </c>
      <c r="G248" t="s">
        <v>10</v>
      </c>
      <c r="AT248">
        <v>4.9000000000000004</v>
      </c>
      <c r="AU248">
        <v>21834</v>
      </c>
      <c r="AV248">
        <v>8</v>
      </c>
      <c r="AW248">
        <v>2013</v>
      </c>
    </row>
    <row r="249" spans="1:49" x14ac:dyDescent="0.25">
      <c r="A249" t="s">
        <v>316</v>
      </c>
      <c r="B249" t="s">
        <v>317</v>
      </c>
      <c r="C249">
        <v>4.9000000000000004</v>
      </c>
      <c r="D249">
        <v>21834</v>
      </c>
      <c r="E249">
        <v>8</v>
      </c>
      <c r="F249">
        <v>2014</v>
      </c>
      <c r="G249" t="s">
        <v>10</v>
      </c>
      <c r="AT249">
        <v>4.9000000000000004</v>
      </c>
      <c r="AU249">
        <v>21834</v>
      </c>
      <c r="AV249">
        <v>8</v>
      </c>
      <c r="AW249">
        <v>2014</v>
      </c>
    </row>
    <row r="250" spans="1:49" x14ac:dyDescent="0.25">
      <c r="A250" t="s">
        <v>316</v>
      </c>
      <c r="B250" t="s">
        <v>317</v>
      </c>
      <c r="C250">
        <v>4.9000000000000004</v>
      </c>
      <c r="D250">
        <v>21834</v>
      </c>
      <c r="E250">
        <v>8</v>
      </c>
      <c r="F250">
        <v>2015</v>
      </c>
      <c r="G250" t="s">
        <v>10</v>
      </c>
      <c r="AT250">
        <v>4.9000000000000004</v>
      </c>
      <c r="AU250">
        <v>21834</v>
      </c>
      <c r="AV250">
        <v>8</v>
      </c>
      <c r="AW250">
        <v>2015</v>
      </c>
    </row>
    <row r="251" spans="1:49" x14ac:dyDescent="0.25">
      <c r="A251" t="s">
        <v>316</v>
      </c>
      <c r="B251" t="s">
        <v>317</v>
      </c>
      <c r="C251">
        <v>4.9000000000000004</v>
      </c>
      <c r="D251">
        <v>21834</v>
      </c>
      <c r="E251">
        <v>8</v>
      </c>
      <c r="F251">
        <v>2016</v>
      </c>
      <c r="G251" t="s">
        <v>10</v>
      </c>
      <c r="AT251">
        <v>4.9000000000000004</v>
      </c>
      <c r="AU251">
        <v>21834</v>
      </c>
      <c r="AV251">
        <v>8</v>
      </c>
      <c r="AW251">
        <v>2016</v>
      </c>
    </row>
    <row r="252" spans="1:49" x14ac:dyDescent="0.25">
      <c r="A252" t="s">
        <v>316</v>
      </c>
      <c r="B252" t="s">
        <v>317</v>
      </c>
      <c r="C252">
        <v>4.9000000000000004</v>
      </c>
      <c r="D252">
        <v>21834</v>
      </c>
      <c r="E252">
        <v>8</v>
      </c>
      <c r="F252">
        <v>2017</v>
      </c>
      <c r="G252" t="s">
        <v>10</v>
      </c>
      <c r="AT252">
        <v>4.9000000000000004</v>
      </c>
      <c r="AU252">
        <v>21834</v>
      </c>
      <c r="AV252">
        <v>8</v>
      </c>
      <c r="AW252">
        <v>2017</v>
      </c>
    </row>
    <row r="253" spans="1:49" x14ac:dyDescent="0.25">
      <c r="A253" t="s">
        <v>316</v>
      </c>
      <c r="B253" t="s">
        <v>317</v>
      </c>
      <c r="C253">
        <v>4.9000000000000004</v>
      </c>
      <c r="D253">
        <v>21834</v>
      </c>
      <c r="E253">
        <v>8</v>
      </c>
      <c r="F253">
        <v>2018</v>
      </c>
      <c r="G253" t="s">
        <v>10</v>
      </c>
      <c r="AT253">
        <v>4.9000000000000004</v>
      </c>
      <c r="AU253">
        <v>21834</v>
      </c>
      <c r="AV253">
        <v>8</v>
      </c>
      <c r="AW253">
        <v>2018</v>
      </c>
    </row>
    <row r="254" spans="1:49" x14ac:dyDescent="0.25">
      <c r="A254" t="s">
        <v>316</v>
      </c>
      <c r="B254" t="s">
        <v>317</v>
      </c>
      <c r="C254">
        <v>4.9000000000000004</v>
      </c>
      <c r="D254">
        <v>21834</v>
      </c>
      <c r="E254">
        <v>8</v>
      </c>
      <c r="F254">
        <v>2019</v>
      </c>
      <c r="G254" t="s">
        <v>10</v>
      </c>
      <c r="AT254">
        <v>4.9000000000000004</v>
      </c>
      <c r="AU254">
        <v>21834</v>
      </c>
      <c r="AV254">
        <v>8</v>
      </c>
      <c r="AW254">
        <v>2019</v>
      </c>
    </row>
    <row r="255" spans="1:49" x14ac:dyDescent="0.25">
      <c r="A255" t="s">
        <v>318</v>
      </c>
      <c r="B255" t="s">
        <v>78</v>
      </c>
      <c r="C255">
        <v>4.8</v>
      </c>
      <c r="D255">
        <v>6169</v>
      </c>
      <c r="E255">
        <v>7</v>
      </c>
      <c r="F255">
        <v>2015</v>
      </c>
      <c r="G255" t="s">
        <v>10</v>
      </c>
      <c r="AT255">
        <v>4.8</v>
      </c>
      <c r="AU255">
        <v>6169</v>
      </c>
      <c r="AV255">
        <v>7</v>
      </c>
      <c r="AW255">
        <v>2015</v>
      </c>
    </row>
    <row r="256" spans="1:49" x14ac:dyDescent="0.25">
      <c r="A256" t="s">
        <v>319</v>
      </c>
      <c r="B256" t="s">
        <v>320</v>
      </c>
      <c r="C256">
        <v>4.2</v>
      </c>
      <c r="D256">
        <v>4519</v>
      </c>
      <c r="E256">
        <v>12</v>
      </c>
      <c r="F256">
        <v>2009</v>
      </c>
      <c r="G256" t="s">
        <v>10</v>
      </c>
      <c r="AT256">
        <v>4.2</v>
      </c>
      <c r="AU256">
        <v>4519</v>
      </c>
      <c r="AV256">
        <v>12</v>
      </c>
      <c r="AW256">
        <v>2009</v>
      </c>
    </row>
    <row r="257" spans="1:49" x14ac:dyDescent="0.25">
      <c r="A257" t="s">
        <v>321</v>
      </c>
      <c r="B257" t="s">
        <v>322</v>
      </c>
      <c r="C257">
        <v>4.5999999999999996</v>
      </c>
      <c r="D257">
        <v>3163</v>
      </c>
      <c r="E257">
        <v>13</v>
      </c>
      <c r="F257">
        <v>2011</v>
      </c>
      <c r="G257" t="s">
        <v>8</v>
      </c>
      <c r="AT257">
        <v>4.5999999999999996</v>
      </c>
      <c r="AU257">
        <v>3163</v>
      </c>
      <c r="AV257">
        <v>13</v>
      </c>
      <c r="AW257">
        <v>2011</v>
      </c>
    </row>
    <row r="258" spans="1:49" x14ac:dyDescent="0.25">
      <c r="A258" t="s">
        <v>321</v>
      </c>
      <c r="B258" t="s">
        <v>322</v>
      </c>
      <c r="C258">
        <v>4.5999999999999996</v>
      </c>
      <c r="D258">
        <v>3163</v>
      </c>
      <c r="E258">
        <v>13</v>
      </c>
      <c r="F258">
        <v>2012</v>
      </c>
      <c r="G258" t="s">
        <v>8</v>
      </c>
      <c r="AT258">
        <v>4.5999999999999996</v>
      </c>
      <c r="AU258">
        <v>3163</v>
      </c>
      <c r="AV258">
        <v>13</v>
      </c>
      <c r="AW258">
        <v>2012</v>
      </c>
    </row>
    <row r="259" spans="1:49" x14ac:dyDescent="0.25">
      <c r="A259" t="s">
        <v>323</v>
      </c>
      <c r="B259" t="s">
        <v>271</v>
      </c>
      <c r="C259">
        <v>4.5</v>
      </c>
      <c r="D259">
        <v>1831</v>
      </c>
      <c r="E259">
        <v>9</v>
      </c>
      <c r="F259">
        <v>2017</v>
      </c>
      <c r="G259" t="s">
        <v>8</v>
      </c>
      <c r="AT259">
        <v>4.5</v>
      </c>
      <c r="AU259">
        <v>1831</v>
      </c>
      <c r="AV259">
        <v>9</v>
      </c>
      <c r="AW259">
        <v>2017</v>
      </c>
    </row>
    <row r="260" spans="1:49" x14ac:dyDescent="0.25">
      <c r="A260" t="s">
        <v>324</v>
      </c>
      <c r="B260" t="s">
        <v>243</v>
      </c>
      <c r="C260">
        <v>4.3</v>
      </c>
      <c r="D260">
        <v>18904</v>
      </c>
      <c r="E260">
        <v>13</v>
      </c>
      <c r="F260">
        <v>2017</v>
      </c>
      <c r="G260" t="s">
        <v>10</v>
      </c>
      <c r="AT260">
        <v>4.3</v>
      </c>
      <c r="AU260">
        <v>18904</v>
      </c>
      <c r="AV260">
        <v>13</v>
      </c>
      <c r="AW260">
        <v>2017</v>
      </c>
    </row>
    <row r="261" spans="1:49" x14ac:dyDescent="0.25">
      <c r="A261" t="s">
        <v>325</v>
      </c>
      <c r="B261" t="s">
        <v>326</v>
      </c>
      <c r="C261">
        <v>4.5999999999999996</v>
      </c>
      <c r="D261">
        <v>21930</v>
      </c>
      <c r="E261">
        <v>11</v>
      </c>
      <c r="F261">
        <v>2014</v>
      </c>
      <c r="G261" t="s">
        <v>10</v>
      </c>
      <c r="AT261">
        <v>4.5999999999999996</v>
      </c>
      <c r="AU261">
        <v>21930</v>
      </c>
      <c r="AV261">
        <v>11</v>
      </c>
      <c r="AW261">
        <v>2014</v>
      </c>
    </row>
    <row r="262" spans="1:49" x14ac:dyDescent="0.25">
      <c r="A262" t="s">
        <v>327</v>
      </c>
      <c r="B262" t="s">
        <v>101</v>
      </c>
      <c r="C262">
        <v>4.5999999999999996</v>
      </c>
      <c r="D262">
        <v>10426</v>
      </c>
      <c r="E262">
        <v>20</v>
      </c>
      <c r="F262">
        <v>2009</v>
      </c>
      <c r="G262" t="s">
        <v>8</v>
      </c>
      <c r="AT262">
        <v>4.5999999999999996</v>
      </c>
      <c r="AU262">
        <v>10426</v>
      </c>
      <c r="AV262">
        <v>20</v>
      </c>
      <c r="AW262">
        <v>2009</v>
      </c>
    </row>
    <row r="263" spans="1:49" x14ac:dyDescent="0.25">
      <c r="A263" t="s">
        <v>327</v>
      </c>
      <c r="B263" t="s">
        <v>101</v>
      </c>
      <c r="C263">
        <v>4.5999999999999996</v>
      </c>
      <c r="D263">
        <v>10426</v>
      </c>
      <c r="E263">
        <v>20</v>
      </c>
      <c r="F263">
        <v>2010</v>
      </c>
      <c r="G263" t="s">
        <v>8</v>
      </c>
      <c r="AT263">
        <v>4.5999999999999996</v>
      </c>
      <c r="AU263">
        <v>10426</v>
      </c>
      <c r="AV263">
        <v>20</v>
      </c>
      <c r="AW263">
        <v>2010</v>
      </c>
    </row>
    <row r="264" spans="1:49" x14ac:dyDescent="0.25">
      <c r="A264" t="s">
        <v>328</v>
      </c>
      <c r="B264" t="s">
        <v>329</v>
      </c>
      <c r="C264">
        <v>4.7</v>
      </c>
      <c r="D264">
        <v>10820</v>
      </c>
      <c r="E264">
        <v>5</v>
      </c>
      <c r="F264">
        <v>2018</v>
      </c>
      <c r="G264" t="s">
        <v>8</v>
      </c>
      <c r="AT264">
        <v>4.7</v>
      </c>
      <c r="AU264">
        <v>10820</v>
      </c>
      <c r="AV264">
        <v>5</v>
      </c>
      <c r="AW264">
        <v>2018</v>
      </c>
    </row>
    <row r="265" spans="1:49" x14ac:dyDescent="0.25">
      <c r="A265" t="s">
        <v>328</v>
      </c>
      <c r="B265" t="s">
        <v>329</v>
      </c>
      <c r="C265">
        <v>4.7</v>
      </c>
      <c r="D265">
        <v>10820</v>
      </c>
      <c r="E265">
        <v>5</v>
      </c>
      <c r="F265">
        <v>2019</v>
      </c>
      <c r="G265" t="s">
        <v>8</v>
      </c>
      <c r="AT265">
        <v>4.7</v>
      </c>
      <c r="AU265">
        <v>10820</v>
      </c>
      <c r="AV265">
        <v>5</v>
      </c>
      <c r="AW265">
        <v>2019</v>
      </c>
    </row>
    <row r="266" spans="1:49" x14ac:dyDescent="0.25">
      <c r="A266" t="s">
        <v>330</v>
      </c>
      <c r="B266" t="s">
        <v>331</v>
      </c>
      <c r="C266">
        <v>4.8</v>
      </c>
      <c r="D266">
        <v>548</v>
      </c>
      <c r="E266">
        <v>2</v>
      </c>
      <c r="F266">
        <v>2010</v>
      </c>
      <c r="G266" t="s">
        <v>10</v>
      </c>
      <c r="AT266">
        <v>4.8</v>
      </c>
      <c r="AU266">
        <v>548</v>
      </c>
      <c r="AV266">
        <v>2</v>
      </c>
      <c r="AW266">
        <v>2010</v>
      </c>
    </row>
    <row r="267" spans="1:49" x14ac:dyDescent="0.25">
      <c r="A267" t="s">
        <v>332</v>
      </c>
      <c r="B267" t="s">
        <v>333</v>
      </c>
      <c r="C267">
        <v>4.8</v>
      </c>
      <c r="D267">
        <v>16990</v>
      </c>
      <c r="E267">
        <v>27</v>
      </c>
      <c r="F267">
        <v>2017</v>
      </c>
      <c r="G267" t="s">
        <v>10</v>
      </c>
      <c r="AT267">
        <v>4.8</v>
      </c>
      <c r="AU267">
        <v>16990</v>
      </c>
      <c r="AV267">
        <v>27</v>
      </c>
      <c r="AW267">
        <v>2017</v>
      </c>
    </row>
    <row r="268" spans="1:49" x14ac:dyDescent="0.25">
      <c r="A268" t="s">
        <v>332</v>
      </c>
      <c r="B268" t="s">
        <v>333</v>
      </c>
      <c r="C268">
        <v>4.8</v>
      </c>
      <c r="D268">
        <v>16990</v>
      </c>
      <c r="E268">
        <v>27</v>
      </c>
      <c r="F268">
        <v>2018</v>
      </c>
      <c r="G268" t="s">
        <v>10</v>
      </c>
      <c r="AT268">
        <v>4.8</v>
      </c>
      <c r="AU268">
        <v>16990</v>
      </c>
      <c r="AV268">
        <v>27</v>
      </c>
      <c r="AW268">
        <v>2018</v>
      </c>
    </row>
    <row r="269" spans="1:49" x14ac:dyDescent="0.25">
      <c r="A269" t="s">
        <v>332</v>
      </c>
      <c r="B269" t="s">
        <v>333</v>
      </c>
      <c r="C269">
        <v>4.8</v>
      </c>
      <c r="D269">
        <v>16990</v>
      </c>
      <c r="E269">
        <v>27</v>
      </c>
      <c r="F269">
        <v>2019</v>
      </c>
      <c r="G269" t="s">
        <v>10</v>
      </c>
      <c r="AT269">
        <v>4.8</v>
      </c>
      <c r="AU269">
        <v>16990</v>
      </c>
      <c r="AV269">
        <v>27</v>
      </c>
      <c r="AW269">
        <v>2019</v>
      </c>
    </row>
    <row r="270" spans="1:49" x14ac:dyDescent="0.25">
      <c r="A270" t="s">
        <v>334</v>
      </c>
      <c r="B270" t="s">
        <v>213</v>
      </c>
      <c r="C270">
        <v>4.7</v>
      </c>
      <c r="D270">
        <v>3503</v>
      </c>
      <c r="E270">
        <v>9</v>
      </c>
      <c r="F270">
        <v>2016</v>
      </c>
      <c r="G270" t="s">
        <v>10</v>
      </c>
      <c r="AT270">
        <v>4.7</v>
      </c>
      <c r="AU270">
        <v>3503</v>
      </c>
      <c r="AV270">
        <v>9</v>
      </c>
      <c r="AW270">
        <v>2016</v>
      </c>
    </row>
    <row r="271" spans="1:49" x14ac:dyDescent="0.25">
      <c r="A271" t="s">
        <v>335</v>
      </c>
      <c r="B271" t="s">
        <v>336</v>
      </c>
      <c r="C271">
        <v>4.3</v>
      </c>
      <c r="D271">
        <v>13616</v>
      </c>
      <c r="E271">
        <v>10</v>
      </c>
      <c r="F271">
        <v>2012</v>
      </c>
      <c r="G271" t="s">
        <v>8</v>
      </c>
      <c r="AT271">
        <v>4.3</v>
      </c>
      <c r="AU271">
        <v>13616</v>
      </c>
      <c r="AV271">
        <v>10</v>
      </c>
      <c r="AW271">
        <v>2012</v>
      </c>
    </row>
    <row r="272" spans="1:49" x14ac:dyDescent="0.25">
      <c r="A272" t="s">
        <v>335</v>
      </c>
      <c r="B272" t="s">
        <v>336</v>
      </c>
      <c r="C272">
        <v>4.3</v>
      </c>
      <c r="D272">
        <v>13616</v>
      </c>
      <c r="E272">
        <v>10</v>
      </c>
      <c r="F272">
        <v>2013</v>
      </c>
      <c r="G272" t="s">
        <v>8</v>
      </c>
      <c r="AT272">
        <v>4.3</v>
      </c>
      <c r="AU272">
        <v>13616</v>
      </c>
      <c r="AV272">
        <v>10</v>
      </c>
      <c r="AW272">
        <v>2013</v>
      </c>
    </row>
    <row r="273" spans="1:49" x14ac:dyDescent="0.25">
      <c r="A273" t="s">
        <v>337</v>
      </c>
      <c r="B273" t="s">
        <v>338</v>
      </c>
      <c r="C273">
        <v>4.5</v>
      </c>
      <c r="D273">
        <v>8580</v>
      </c>
      <c r="E273">
        <v>46</v>
      </c>
      <c r="F273">
        <v>2009</v>
      </c>
      <c r="G273" t="s">
        <v>8</v>
      </c>
      <c r="AT273">
        <v>4.5</v>
      </c>
      <c r="AU273">
        <v>8580</v>
      </c>
      <c r="AV273">
        <v>46</v>
      </c>
      <c r="AW273">
        <v>2009</v>
      </c>
    </row>
    <row r="274" spans="1:49" x14ac:dyDescent="0.25">
      <c r="A274" t="s">
        <v>337</v>
      </c>
      <c r="B274" t="s">
        <v>338</v>
      </c>
      <c r="C274">
        <v>4.5</v>
      </c>
      <c r="D274">
        <v>8580</v>
      </c>
      <c r="E274">
        <v>46</v>
      </c>
      <c r="F274">
        <v>2010</v>
      </c>
      <c r="G274" t="s">
        <v>8</v>
      </c>
      <c r="AT274">
        <v>4.5</v>
      </c>
      <c r="AU274">
        <v>8580</v>
      </c>
      <c r="AV274">
        <v>46</v>
      </c>
      <c r="AW274">
        <v>2010</v>
      </c>
    </row>
    <row r="275" spans="1:49" x14ac:dyDescent="0.25">
      <c r="A275" t="s">
        <v>337</v>
      </c>
      <c r="B275" t="s">
        <v>338</v>
      </c>
      <c r="C275">
        <v>4.5</v>
      </c>
      <c r="D275">
        <v>8580</v>
      </c>
      <c r="E275">
        <v>46</v>
      </c>
      <c r="F275">
        <v>2011</v>
      </c>
      <c r="G275" t="s">
        <v>8</v>
      </c>
      <c r="AT275">
        <v>4.5</v>
      </c>
      <c r="AU275">
        <v>8580</v>
      </c>
      <c r="AV275">
        <v>46</v>
      </c>
      <c r="AW275">
        <v>2011</v>
      </c>
    </row>
    <row r="276" spans="1:49" x14ac:dyDescent="0.25">
      <c r="A276" t="s">
        <v>337</v>
      </c>
      <c r="B276" t="s">
        <v>338</v>
      </c>
      <c r="C276">
        <v>4.5</v>
      </c>
      <c r="D276">
        <v>8580</v>
      </c>
      <c r="E276">
        <v>46</v>
      </c>
      <c r="F276">
        <v>2012</v>
      </c>
      <c r="G276" t="s">
        <v>8</v>
      </c>
      <c r="AT276">
        <v>4.5</v>
      </c>
      <c r="AU276">
        <v>8580</v>
      </c>
      <c r="AV276">
        <v>46</v>
      </c>
      <c r="AW276">
        <v>2012</v>
      </c>
    </row>
    <row r="277" spans="1:49" x14ac:dyDescent="0.25">
      <c r="A277" t="s">
        <v>337</v>
      </c>
      <c r="B277" t="s">
        <v>338</v>
      </c>
      <c r="C277">
        <v>4.5</v>
      </c>
      <c r="D277">
        <v>8580</v>
      </c>
      <c r="E277">
        <v>46</v>
      </c>
      <c r="F277">
        <v>2013</v>
      </c>
      <c r="G277" t="s">
        <v>8</v>
      </c>
      <c r="AT277">
        <v>4.5</v>
      </c>
      <c r="AU277">
        <v>8580</v>
      </c>
      <c r="AV277">
        <v>46</v>
      </c>
      <c r="AW277">
        <v>2013</v>
      </c>
    </row>
    <row r="278" spans="1:49" x14ac:dyDescent="0.25">
      <c r="A278" t="s">
        <v>337</v>
      </c>
      <c r="B278" t="s">
        <v>338</v>
      </c>
      <c r="C278">
        <v>4.5</v>
      </c>
      <c r="D278">
        <v>8580</v>
      </c>
      <c r="E278">
        <v>46</v>
      </c>
      <c r="F278">
        <v>2014</v>
      </c>
      <c r="G278" t="s">
        <v>8</v>
      </c>
      <c r="AT278">
        <v>4.5</v>
      </c>
      <c r="AU278">
        <v>8580</v>
      </c>
      <c r="AV278">
        <v>46</v>
      </c>
      <c r="AW278">
        <v>2014</v>
      </c>
    </row>
    <row r="279" spans="1:49" x14ac:dyDescent="0.25">
      <c r="A279" t="s">
        <v>337</v>
      </c>
      <c r="B279" t="s">
        <v>338</v>
      </c>
      <c r="C279">
        <v>4.5</v>
      </c>
      <c r="D279">
        <v>8580</v>
      </c>
      <c r="E279">
        <v>46</v>
      </c>
      <c r="F279">
        <v>2015</v>
      </c>
      <c r="G279" t="s">
        <v>8</v>
      </c>
      <c r="AT279">
        <v>4.5</v>
      </c>
      <c r="AU279">
        <v>8580</v>
      </c>
      <c r="AV279">
        <v>46</v>
      </c>
      <c r="AW279">
        <v>2015</v>
      </c>
    </row>
    <row r="280" spans="1:49" x14ac:dyDescent="0.25">
      <c r="A280" t="s">
        <v>337</v>
      </c>
      <c r="B280" t="s">
        <v>338</v>
      </c>
      <c r="C280">
        <v>4.5</v>
      </c>
      <c r="D280">
        <v>8580</v>
      </c>
      <c r="E280">
        <v>46</v>
      </c>
      <c r="F280">
        <v>2016</v>
      </c>
      <c r="G280" t="s">
        <v>8</v>
      </c>
      <c r="AT280">
        <v>4.5</v>
      </c>
      <c r="AU280">
        <v>8580</v>
      </c>
      <c r="AV280">
        <v>46</v>
      </c>
      <c r="AW280">
        <v>2016</v>
      </c>
    </row>
    <row r="281" spans="1:49" x14ac:dyDescent="0.25">
      <c r="A281" t="s">
        <v>337</v>
      </c>
      <c r="B281" t="s">
        <v>338</v>
      </c>
      <c r="C281">
        <v>4.5</v>
      </c>
      <c r="D281">
        <v>8580</v>
      </c>
      <c r="E281">
        <v>46</v>
      </c>
      <c r="F281">
        <v>2017</v>
      </c>
      <c r="G281" t="s">
        <v>8</v>
      </c>
      <c r="AT281">
        <v>4.5</v>
      </c>
      <c r="AU281">
        <v>8580</v>
      </c>
      <c r="AV281">
        <v>46</v>
      </c>
      <c r="AW281">
        <v>2017</v>
      </c>
    </row>
    <row r="282" spans="1:49" x14ac:dyDescent="0.25">
      <c r="A282" t="s">
        <v>337</v>
      </c>
      <c r="B282" t="s">
        <v>338</v>
      </c>
      <c r="C282">
        <v>4.5</v>
      </c>
      <c r="D282">
        <v>8580</v>
      </c>
      <c r="E282">
        <v>46</v>
      </c>
      <c r="F282">
        <v>2018</v>
      </c>
      <c r="G282" t="s">
        <v>8</v>
      </c>
      <c r="AT282">
        <v>4.5</v>
      </c>
      <c r="AU282">
        <v>8580</v>
      </c>
      <c r="AV282">
        <v>46</v>
      </c>
      <c r="AW282">
        <v>2018</v>
      </c>
    </row>
    <row r="283" spans="1:49" x14ac:dyDescent="0.25">
      <c r="A283" t="s">
        <v>339</v>
      </c>
      <c r="B283" t="s">
        <v>340</v>
      </c>
      <c r="C283">
        <v>4.8</v>
      </c>
      <c r="D283">
        <v>4757</v>
      </c>
      <c r="E283">
        <v>4</v>
      </c>
      <c r="F283">
        <v>2017</v>
      </c>
      <c r="G283" t="s">
        <v>10</v>
      </c>
      <c r="AT283">
        <v>4.8</v>
      </c>
      <c r="AU283">
        <v>4757</v>
      </c>
      <c r="AV283">
        <v>4</v>
      </c>
      <c r="AW283">
        <v>2017</v>
      </c>
    </row>
    <row r="284" spans="1:49" x14ac:dyDescent="0.25">
      <c r="A284" t="s">
        <v>341</v>
      </c>
      <c r="B284" t="s">
        <v>342</v>
      </c>
      <c r="C284">
        <v>4.5999999999999996</v>
      </c>
      <c r="D284">
        <v>10009</v>
      </c>
      <c r="E284">
        <v>20</v>
      </c>
      <c r="F284">
        <v>2012</v>
      </c>
      <c r="G284" t="s">
        <v>8</v>
      </c>
      <c r="AT284">
        <v>4.5999999999999996</v>
      </c>
      <c r="AU284">
        <v>10009</v>
      </c>
      <c r="AV284">
        <v>20</v>
      </c>
      <c r="AW284">
        <v>2012</v>
      </c>
    </row>
    <row r="285" spans="1:49" x14ac:dyDescent="0.25">
      <c r="A285" t="s">
        <v>341</v>
      </c>
      <c r="B285" t="s">
        <v>342</v>
      </c>
      <c r="C285">
        <v>4.5999999999999996</v>
      </c>
      <c r="D285">
        <v>10009</v>
      </c>
      <c r="E285">
        <v>7</v>
      </c>
      <c r="F285">
        <v>2013</v>
      </c>
      <c r="G285" t="s">
        <v>8</v>
      </c>
      <c r="AT285">
        <v>4.5999999999999996</v>
      </c>
      <c r="AU285">
        <v>10009</v>
      </c>
      <c r="AV285">
        <v>7</v>
      </c>
      <c r="AW285">
        <v>2013</v>
      </c>
    </row>
    <row r="286" spans="1:49" x14ac:dyDescent="0.25">
      <c r="A286" t="s">
        <v>343</v>
      </c>
      <c r="B286" t="s">
        <v>344</v>
      </c>
      <c r="C286">
        <v>4.7</v>
      </c>
      <c r="D286">
        <v>1985</v>
      </c>
      <c r="E286">
        <v>9</v>
      </c>
      <c r="F286">
        <v>2010</v>
      </c>
      <c r="G286" t="s">
        <v>8</v>
      </c>
      <c r="AT286">
        <v>4.7</v>
      </c>
      <c r="AU286">
        <v>1985</v>
      </c>
      <c r="AV286">
        <v>9</v>
      </c>
      <c r="AW286">
        <v>2010</v>
      </c>
    </row>
    <row r="287" spans="1:49" x14ac:dyDescent="0.25">
      <c r="A287" t="s">
        <v>343</v>
      </c>
      <c r="B287" t="s">
        <v>344</v>
      </c>
      <c r="C287">
        <v>4.7</v>
      </c>
      <c r="D287">
        <v>1985</v>
      </c>
      <c r="E287">
        <v>9</v>
      </c>
      <c r="F287">
        <v>2011</v>
      </c>
      <c r="G287" t="s">
        <v>8</v>
      </c>
      <c r="AT287">
        <v>4.7</v>
      </c>
      <c r="AU287">
        <v>1985</v>
      </c>
      <c r="AV287">
        <v>9</v>
      </c>
      <c r="AW287">
        <v>2011</v>
      </c>
    </row>
    <row r="288" spans="1:49" x14ac:dyDescent="0.25">
      <c r="A288" t="s">
        <v>345</v>
      </c>
      <c r="B288" t="s">
        <v>346</v>
      </c>
      <c r="C288">
        <v>4.5999999999999996</v>
      </c>
      <c r="D288">
        <v>22536</v>
      </c>
      <c r="E288">
        <v>12</v>
      </c>
      <c r="F288">
        <v>2017</v>
      </c>
      <c r="G288" t="s">
        <v>10</v>
      </c>
      <c r="AT288">
        <v>4.5999999999999996</v>
      </c>
      <c r="AU288">
        <v>22536</v>
      </c>
      <c r="AV288">
        <v>12</v>
      </c>
      <c r="AW288">
        <v>2017</v>
      </c>
    </row>
    <row r="289" spans="1:49" x14ac:dyDescent="0.25">
      <c r="A289" t="s">
        <v>345</v>
      </c>
      <c r="B289" t="s">
        <v>346</v>
      </c>
      <c r="C289">
        <v>4.5999999999999996</v>
      </c>
      <c r="D289">
        <v>22536</v>
      </c>
      <c r="E289">
        <v>12</v>
      </c>
      <c r="F289">
        <v>2018</v>
      </c>
      <c r="G289" t="s">
        <v>10</v>
      </c>
      <c r="AT289">
        <v>4.5999999999999996</v>
      </c>
      <c r="AU289">
        <v>22536</v>
      </c>
      <c r="AV289">
        <v>12</v>
      </c>
      <c r="AW289">
        <v>2018</v>
      </c>
    </row>
    <row r="290" spans="1:49" x14ac:dyDescent="0.25">
      <c r="A290" t="s">
        <v>347</v>
      </c>
      <c r="B290" t="s">
        <v>348</v>
      </c>
      <c r="C290">
        <v>4.9000000000000004</v>
      </c>
      <c r="D290">
        <v>7150</v>
      </c>
      <c r="E290">
        <v>12</v>
      </c>
      <c r="F290">
        <v>2013</v>
      </c>
      <c r="G290" t="s">
        <v>10</v>
      </c>
      <c r="AT290">
        <v>4.9000000000000004</v>
      </c>
      <c r="AU290">
        <v>7150</v>
      </c>
      <c r="AV290">
        <v>12</v>
      </c>
      <c r="AW290">
        <v>2013</v>
      </c>
    </row>
    <row r="291" spans="1:49" x14ac:dyDescent="0.25">
      <c r="A291" t="s">
        <v>349</v>
      </c>
      <c r="B291" t="s">
        <v>348</v>
      </c>
      <c r="C291">
        <v>4.9000000000000004</v>
      </c>
      <c r="D291">
        <v>3836</v>
      </c>
      <c r="E291">
        <v>12</v>
      </c>
      <c r="F291">
        <v>2014</v>
      </c>
      <c r="G291" t="s">
        <v>10</v>
      </c>
      <c r="AT291">
        <v>4.9000000000000004</v>
      </c>
      <c r="AU291">
        <v>3836</v>
      </c>
      <c r="AV291">
        <v>12</v>
      </c>
      <c r="AW291">
        <v>2014</v>
      </c>
    </row>
    <row r="292" spans="1:49" x14ac:dyDescent="0.25">
      <c r="A292" t="s">
        <v>350</v>
      </c>
      <c r="B292" t="s">
        <v>351</v>
      </c>
      <c r="C292">
        <v>4.8</v>
      </c>
      <c r="D292">
        <v>7802</v>
      </c>
      <c r="E292">
        <v>20</v>
      </c>
      <c r="F292">
        <v>2018</v>
      </c>
      <c r="G292" t="s">
        <v>8</v>
      </c>
      <c r="AT292">
        <v>4.8</v>
      </c>
      <c r="AU292">
        <v>7802</v>
      </c>
      <c r="AV292">
        <v>20</v>
      </c>
      <c r="AW292">
        <v>2018</v>
      </c>
    </row>
    <row r="293" spans="1:49" x14ac:dyDescent="0.25">
      <c r="A293" t="s">
        <v>350</v>
      </c>
      <c r="B293" t="s">
        <v>351</v>
      </c>
      <c r="C293">
        <v>4.8</v>
      </c>
      <c r="D293">
        <v>7802</v>
      </c>
      <c r="E293">
        <v>20</v>
      </c>
      <c r="F293">
        <v>2019</v>
      </c>
      <c r="G293" t="s">
        <v>8</v>
      </c>
      <c r="AT293">
        <v>4.8</v>
      </c>
      <c r="AU293">
        <v>7802</v>
      </c>
      <c r="AV293">
        <v>20</v>
      </c>
      <c r="AW293">
        <v>2019</v>
      </c>
    </row>
    <row r="294" spans="1:49" x14ac:dyDescent="0.25">
      <c r="A294" t="s">
        <v>352</v>
      </c>
      <c r="B294" t="s">
        <v>353</v>
      </c>
      <c r="C294">
        <v>4.5999999999999996</v>
      </c>
      <c r="D294">
        <v>3619</v>
      </c>
      <c r="E294">
        <v>10</v>
      </c>
      <c r="F294">
        <v>2010</v>
      </c>
      <c r="G294" t="s">
        <v>10</v>
      </c>
      <c r="AT294">
        <v>4.5999999999999996</v>
      </c>
      <c r="AU294">
        <v>3619</v>
      </c>
      <c r="AV294">
        <v>10</v>
      </c>
      <c r="AW294">
        <v>2010</v>
      </c>
    </row>
    <row r="295" spans="1:49" x14ac:dyDescent="0.25">
      <c r="A295" t="s">
        <v>354</v>
      </c>
      <c r="B295" t="s">
        <v>355</v>
      </c>
      <c r="C295">
        <v>4.8</v>
      </c>
      <c r="D295">
        <v>23047</v>
      </c>
      <c r="E295">
        <v>6</v>
      </c>
      <c r="F295">
        <v>2018</v>
      </c>
      <c r="G295" t="s">
        <v>8</v>
      </c>
      <c r="AT295">
        <v>4.8</v>
      </c>
      <c r="AU295">
        <v>23047</v>
      </c>
      <c r="AV295">
        <v>6</v>
      </c>
      <c r="AW295">
        <v>2018</v>
      </c>
    </row>
    <row r="296" spans="1:49" x14ac:dyDescent="0.25">
      <c r="A296" t="s">
        <v>354</v>
      </c>
      <c r="B296" t="s">
        <v>355</v>
      </c>
      <c r="C296">
        <v>4.8</v>
      </c>
      <c r="D296">
        <v>23047</v>
      </c>
      <c r="E296">
        <v>6</v>
      </c>
      <c r="F296">
        <v>2019</v>
      </c>
      <c r="G296" t="s">
        <v>8</v>
      </c>
      <c r="AT296">
        <v>4.8</v>
      </c>
      <c r="AU296">
        <v>23047</v>
      </c>
      <c r="AV296">
        <v>6</v>
      </c>
      <c r="AW296">
        <v>2019</v>
      </c>
    </row>
    <row r="297" spans="1:49" x14ac:dyDescent="0.25">
      <c r="A297" t="s">
        <v>356</v>
      </c>
      <c r="B297" t="s">
        <v>147</v>
      </c>
      <c r="C297">
        <v>4.7</v>
      </c>
      <c r="D297">
        <v>9366</v>
      </c>
      <c r="E297">
        <v>9</v>
      </c>
      <c r="F297">
        <v>2015</v>
      </c>
      <c r="G297" t="s">
        <v>8</v>
      </c>
      <c r="AT297">
        <v>4.7</v>
      </c>
      <c r="AU297">
        <v>9366</v>
      </c>
      <c r="AV297">
        <v>9</v>
      </c>
      <c r="AW297">
        <v>2015</v>
      </c>
    </row>
    <row r="298" spans="1:49" x14ac:dyDescent="0.25">
      <c r="A298" t="s">
        <v>357</v>
      </c>
      <c r="B298" t="s">
        <v>358</v>
      </c>
      <c r="C298">
        <v>4.7</v>
      </c>
      <c r="D298">
        <v>1265</v>
      </c>
      <c r="E298">
        <v>11</v>
      </c>
      <c r="F298">
        <v>2010</v>
      </c>
      <c r="G298" t="s">
        <v>8</v>
      </c>
      <c r="AT298">
        <v>4.7</v>
      </c>
      <c r="AU298">
        <v>1265</v>
      </c>
      <c r="AV298">
        <v>11</v>
      </c>
      <c r="AW298">
        <v>2010</v>
      </c>
    </row>
    <row r="299" spans="1:49" x14ac:dyDescent="0.25">
      <c r="A299" t="s">
        <v>359</v>
      </c>
      <c r="B299" t="s">
        <v>360</v>
      </c>
      <c r="C299">
        <v>4.8</v>
      </c>
      <c r="D299">
        <v>3923</v>
      </c>
      <c r="E299">
        <v>16</v>
      </c>
      <c r="F299">
        <v>2018</v>
      </c>
      <c r="G299" t="s">
        <v>8</v>
      </c>
      <c r="AT299">
        <v>4.8</v>
      </c>
      <c r="AU299">
        <v>3923</v>
      </c>
      <c r="AV299">
        <v>16</v>
      </c>
      <c r="AW299">
        <v>2018</v>
      </c>
    </row>
    <row r="300" spans="1:49" x14ac:dyDescent="0.25">
      <c r="A300" t="s">
        <v>361</v>
      </c>
      <c r="B300" t="s">
        <v>362</v>
      </c>
      <c r="C300">
        <v>4.0999999999999996</v>
      </c>
      <c r="D300">
        <v>2272</v>
      </c>
      <c r="E300">
        <v>6</v>
      </c>
      <c r="F300">
        <v>2013</v>
      </c>
      <c r="G300" t="s">
        <v>8</v>
      </c>
      <c r="AT300">
        <v>4.0999999999999996</v>
      </c>
      <c r="AU300">
        <v>2272</v>
      </c>
      <c r="AV300">
        <v>6</v>
      </c>
      <c r="AW300">
        <v>2013</v>
      </c>
    </row>
    <row r="301" spans="1:49" x14ac:dyDescent="0.25">
      <c r="A301" t="s">
        <v>363</v>
      </c>
      <c r="B301" t="s">
        <v>103</v>
      </c>
      <c r="C301">
        <v>4.7</v>
      </c>
      <c r="D301">
        <v>973</v>
      </c>
      <c r="E301">
        <v>25</v>
      </c>
      <c r="F301">
        <v>2009</v>
      </c>
      <c r="G301" t="s">
        <v>10</v>
      </c>
      <c r="AT301">
        <v>4.7</v>
      </c>
      <c r="AU301">
        <v>973</v>
      </c>
      <c r="AV301">
        <v>25</v>
      </c>
      <c r="AW301">
        <v>2009</v>
      </c>
    </row>
    <row r="302" spans="1:49" x14ac:dyDescent="0.25">
      <c r="A302" t="s">
        <v>364</v>
      </c>
      <c r="B302" t="s">
        <v>122</v>
      </c>
      <c r="C302">
        <v>4.5999999999999996</v>
      </c>
      <c r="D302">
        <v>220</v>
      </c>
      <c r="E302">
        <v>17</v>
      </c>
      <c r="F302">
        <v>2013</v>
      </c>
      <c r="G302" t="s">
        <v>8</v>
      </c>
      <c r="AT302">
        <v>4.5999999999999996</v>
      </c>
      <c r="AU302">
        <v>220</v>
      </c>
      <c r="AV302">
        <v>17</v>
      </c>
      <c r="AW302">
        <v>2013</v>
      </c>
    </row>
    <row r="303" spans="1:49" x14ac:dyDescent="0.25">
      <c r="A303" t="s">
        <v>365</v>
      </c>
      <c r="B303" t="s">
        <v>273</v>
      </c>
      <c r="C303">
        <v>4.5999999999999996</v>
      </c>
      <c r="D303">
        <v>7827</v>
      </c>
      <c r="E303">
        <v>20</v>
      </c>
      <c r="F303">
        <v>2011</v>
      </c>
      <c r="G303" t="s">
        <v>8</v>
      </c>
      <c r="AT303">
        <v>4.5999999999999996</v>
      </c>
      <c r="AU303">
        <v>7827</v>
      </c>
      <c r="AV303">
        <v>20</v>
      </c>
      <c r="AW303">
        <v>2011</v>
      </c>
    </row>
    <row r="304" spans="1:49" x14ac:dyDescent="0.25">
      <c r="A304" t="s">
        <v>365</v>
      </c>
      <c r="B304" t="s">
        <v>273</v>
      </c>
      <c r="C304">
        <v>4.5999999999999996</v>
      </c>
      <c r="D304">
        <v>7827</v>
      </c>
      <c r="E304">
        <v>20</v>
      </c>
      <c r="F304">
        <v>2012</v>
      </c>
      <c r="G304" t="s">
        <v>8</v>
      </c>
      <c r="AT304">
        <v>4.5999999999999996</v>
      </c>
      <c r="AU304">
        <v>7827</v>
      </c>
      <c r="AV304">
        <v>20</v>
      </c>
      <c r="AW304">
        <v>2012</v>
      </c>
    </row>
    <row r="305" spans="1:49" x14ac:dyDescent="0.25">
      <c r="A305" t="s">
        <v>366</v>
      </c>
      <c r="B305" t="s">
        <v>367</v>
      </c>
      <c r="C305">
        <v>4.9000000000000004</v>
      </c>
      <c r="D305">
        <v>9382</v>
      </c>
      <c r="E305">
        <v>6</v>
      </c>
      <c r="F305">
        <v>2019</v>
      </c>
      <c r="G305" t="s">
        <v>10</v>
      </c>
      <c r="AT305">
        <v>4.9000000000000004</v>
      </c>
      <c r="AU305">
        <v>9382</v>
      </c>
      <c r="AV305">
        <v>6</v>
      </c>
      <c r="AW305">
        <v>2019</v>
      </c>
    </row>
    <row r="306" spans="1:49" x14ac:dyDescent="0.25">
      <c r="A306" t="s">
        <v>368</v>
      </c>
      <c r="B306" t="s">
        <v>369</v>
      </c>
      <c r="C306">
        <v>4</v>
      </c>
      <c r="D306">
        <v>5069</v>
      </c>
      <c r="E306">
        <v>17</v>
      </c>
      <c r="F306">
        <v>2009</v>
      </c>
      <c r="G306" t="s">
        <v>8</v>
      </c>
      <c r="AT306">
        <v>4</v>
      </c>
      <c r="AU306">
        <v>5069</v>
      </c>
      <c r="AV306">
        <v>17</v>
      </c>
      <c r="AW306">
        <v>2009</v>
      </c>
    </row>
    <row r="307" spans="1:49" x14ac:dyDescent="0.25">
      <c r="A307" t="s">
        <v>368</v>
      </c>
      <c r="B307" t="s">
        <v>369</v>
      </c>
      <c r="C307">
        <v>4</v>
      </c>
      <c r="D307">
        <v>5069</v>
      </c>
      <c r="E307">
        <v>17</v>
      </c>
      <c r="F307">
        <v>2010</v>
      </c>
      <c r="G307" t="s">
        <v>8</v>
      </c>
      <c r="AT307">
        <v>4</v>
      </c>
      <c r="AU307">
        <v>5069</v>
      </c>
      <c r="AV307">
        <v>17</v>
      </c>
      <c r="AW307">
        <v>2010</v>
      </c>
    </row>
    <row r="308" spans="1:49" x14ac:dyDescent="0.25">
      <c r="A308" t="s">
        <v>368</v>
      </c>
      <c r="B308" t="s">
        <v>369</v>
      </c>
      <c r="C308">
        <v>4</v>
      </c>
      <c r="D308">
        <v>5069</v>
      </c>
      <c r="E308">
        <v>17</v>
      </c>
      <c r="F308">
        <v>2011</v>
      </c>
      <c r="G308" t="s">
        <v>8</v>
      </c>
      <c r="AT308">
        <v>4</v>
      </c>
      <c r="AU308">
        <v>5069</v>
      </c>
      <c r="AV308">
        <v>17</v>
      </c>
      <c r="AW308">
        <v>2011</v>
      </c>
    </row>
    <row r="309" spans="1:49" x14ac:dyDescent="0.25">
      <c r="A309" t="s">
        <v>368</v>
      </c>
      <c r="B309" t="s">
        <v>369</v>
      </c>
      <c r="C309">
        <v>4</v>
      </c>
      <c r="D309">
        <v>5069</v>
      </c>
      <c r="E309">
        <v>17</v>
      </c>
      <c r="F309">
        <v>2012</v>
      </c>
      <c r="G309" t="s">
        <v>8</v>
      </c>
      <c r="AT309">
        <v>4</v>
      </c>
      <c r="AU309">
        <v>5069</v>
      </c>
      <c r="AV309">
        <v>17</v>
      </c>
      <c r="AW309">
        <v>2012</v>
      </c>
    </row>
    <row r="310" spans="1:49" x14ac:dyDescent="0.25">
      <c r="A310" t="s">
        <v>368</v>
      </c>
      <c r="B310" t="s">
        <v>369</v>
      </c>
      <c r="C310">
        <v>4</v>
      </c>
      <c r="D310">
        <v>5069</v>
      </c>
      <c r="E310">
        <v>17</v>
      </c>
      <c r="F310">
        <v>2013</v>
      </c>
      <c r="G310" t="s">
        <v>8</v>
      </c>
      <c r="AT310">
        <v>4</v>
      </c>
      <c r="AU310">
        <v>5069</v>
      </c>
      <c r="AV310">
        <v>17</v>
      </c>
      <c r="AW310">
        <v>2013</v>
      </c>
    </row>
    <row r="311" spans="1:49" x14ac:dyDescent="0.25">
      <c r="A311" t="s">
        <v>368</v>
      </c>
      <c r="B311" t="s">
        <v>369</v>
      </c>
      <c r="C311">
        <v>4</v>
      </c>
      <c r="D311">
        <v>5069</v>
      </c>
      <c r="E311">
        <v>17</v>
      </c>
      <c r="F311">
        <v>2014</v>
      </c>
      <c r="G311" t="s">
        <v>8</v>
      </c>
      <c r="AT311">
        <v>4</v>
      </c>
      <c r="AU311">
        <v>5069</v>
      </c>
      <c r="AV311">
        <v>17</v>
      </c>
      <c r="AW311">
        <v>2014</v>
      </c>
    </row>
    <row r="312" spans="1:49" x14ac:dyDescent="0.25">
      <c r="A312" t="s">
        <v>368</v>
      </c>
      <c r="B312" t="s">
        <v>369</v>
      </c>
      <c r="C312">
        <v>4</v>
      </c>
      <c r="D312">
        <v>5069</v>
      </c>
      <c r="E312">
        <v>17</v>
      </c>
      <c r="F312">
        <v>2015</v>
      </c>
      <c r="G312" t="s">
        <v>8</v>
      </c>
      <c r="AT312">
        <v>4</v>
      </c>
      <c r="AU312">
        <v>5069</v>
      </c>
      <c r="AV312">
        <v>17</v>
      </c>
      <c r="AW312">
        <v>2015</v>
      </c>
    </row>
    <row r="313" spans="1:49" x14ac:dyDescent="0.25">
      <c r="A313" t="s">
        <v>368</v>
      </c>
      <c r="B313" t="s">
        <v>369</v>
      </c>
      <c r="C313">
        <v>4</v>
      </c>
      <c r="D313">
        <v>5069</v>
      </c>
      <c r="E313">
        <v>17</v>
      </c>
      <c r="F313">
        <v>2016</v>
      </c>
      <c r="G313" t="s">
        <v>8</v>
      </c>
      <c r="AT313">
        <v>4</v>
      </c>
      <c r="AU313">
        <v>5069</v>
      </c>
      <c r="AV313">
        <v>17</v>
      </c>
      <c r="AW313">
        <v>2016</v>
      </c>
    </row>
    <row r="314" spans="1:49" x14ac:dyDescent="0.25">
      <c r="A314" t="s">
        <v>368</v>
      </c>
      <c r="B314" t="s">
        <v>369</v>
      </c>
      <c r="C314">
        <v>4</v>
      </c>
      <c r="D314">
        <v>5069</v>
      </c>
      <c r="E314">
        <v>17</v>
      </c>
      <c r="F314">
        <v>2017</v>
      </c>
      <c r="G314" t="s">
        <v>8</v>
      </c>
      <c r="AT314">
        <v>4</v>
      </c>
      <c r="AU314">
        <v>5069</v>
      </c>
      <c r="AV314">
        <v>17</v>
      </c>
      <c r="AW314">
        <v>2017</v>
      </c>
    </row>
    <row r="315" spans="1:49" x14ac:dyDescent="0.25">
      <c r="A315" t="s">
        <v>370</v>
      </c>
      <c r="B315" t="s">
        <v>371</v>
      </c>
      <c r="C315">
        <v>4.5</v>
      </c>
      <c r="D315">
        <v>1583</v>
      </c>
      <c r="E315">
        <v>18</v>
      </c>
      <c r="F315">
        <v>2009</v>
      </c>
      <c r="G315" t="s">
        <v>8</v>
      </c>
      <c r="AT315">
        <v>4.5</v>
      </c>
      <c r="AU315">
        <v>1583</v>
      </c>
      <c r="AV315">
        <v>18</v>
      </c>
      <c r="AW315">
        <v>2009</v>
      </c>
    </row>
    <row r="316" spans="1:49" x14ac:dyDescent="0.25">
      <c r="A316" t="s">
        <v>372</v>
      </c>
      <c r="B316" t="s">
        <v>373</v>
      </c>
      <c r="C316">
        <v>4.5999999999999996</v>
      </c>
      <c r="D316">
        <v>1907</v>
      </c>
      <c r="E316">
        <v>13</v>
      </c>
      <c r="F316">
        <v>2010</v>
      </c>
      <c r="G316" t="s">
        <v>8</v>
      </c>
      <c r="AT316">
        <v>4.5999999999999996</v>
      </c>
      <c r="AU316">
        <v>1907</v>
      </c>
      <c r="AV316">
        <v>13</v>
      </c>
      <c r="AW316">
        <v>2010</v>
      </c>
    </row>
    <row r="317" spans="1:49" x14ac:dyDescent="0.25">
      <c r="A317" t="s">
        <v>374</v>
      </c>
      <c r="B317" t="s">
        <v>375</v>
      </c>
      <c r="C317">
        <v>4.5</v>
      </c>
      <c r="D317">
        <v>23114</v>
      </c>
      <c r="E317">
        <v>18</v>
      </c>
      <c r="F317">
        <v>2013</v>
      </c>
      <c r="G317" t="s">
        <v>10</v>
      </c>
      <c r="AT317">
        <v>4.5</v>
      </c>
      <c r="AU317">
        <v>23114</v>
      </c>
      <c r="AV317">
        <v>18</v>
      </c>
      <c r="AW317">
        <v>2013</v>
      </c>
    </row>
    <row r="318" spans="1:49" x14ac:dyDescent="0.25">
      <c r="A318" t="s">
        <v>376</v>
      </c>
      <c r="B318" t="s">
        <v>377</v>
      </c>
      <c r="C318">
        <v>4.4000000000000004</v>
      </c>
      <c r="D318">
        <v>637</v>
      </c>
      <c r="E318">
        <v>20</v>
      </c>
      <c r="F318">
        <v>2010</v>
      </c>
      <c r="G318" t="s">
        <v>8</v>
      </c>
      <c r="AT318">
        <v>4.4000000000000004</v>
      </c>
      <c r="AU318">
        <v>637</v>
      </c>
      <c r="AV318">
        <v>20</v>
      </c>
      <c r="AW318">
        <v>2010</v>
      </c>
    </row>
    <row r="319" spans="1:49" x14ac:dyDescent="0.25">
      <c r="A319" t="s">
        <v>376</v>
      </c>
      <c r="B319" t="s">
        <v>377</v>
      </c>
      <c r="C319">
        <v>4.4000000000000004</v>
      </c>
      <c r="D319">
        <v>637</v>
      </c>
      <c r="E319">
        <v>20</v>
      </c>
      <c r="F319">
        <v>2011</v>
      </c>
      <c r="G319" t="s">
        <v>8</v>
      </c>
      <c r="AT319">
        <v>4.4000000000000004</v>
      </c>
      <c r="AU319">
        <v>637</v>
      </c>
      <c r="AV319">
        <v>20</v>
      </c>
      <c r="AW319">
        <v>2011</v>
      </c>
    </row>
    <row r="320" spans="1:49" x14ac:dyDescent="0.25">
      <c r="A320" t="s">
        <v>378</v>
      </c>
      <c r="B320" t="s">
        <v>379</v>
      </c>
      <c r="C320">
        <v>4.3</v>
      </c>
      <c r="D320">
        <v>2314</v>
      </c>
      <c r="E320">
        <v>22</v>
      </c>
      <c r="F320">
        <v>2011</v>
      </c>
      <c r="G320" t="s">
        <v>8</v>
      </c>
      <c r="AT320">
        <v>4.3</v>
      </c>
      <c r="AU320">
        <v>2314</v>
      </c>
      <c r="AV320">
        <v>22</v>
      </c>
      <c r="AW320">
        <v>2011</v>
      </c>
    </row>
    <row r="321" spans="1:49" x14ac:dyDescent="0.25">
      <c r="A321" t="s">
        <v>380</v>
      </c>
      <c r="B321" t="s">
        <v>381</v>
      </c>
      <c r="C321">
        <v>4.3</v>
      </c>
      <c r="D321">
        <v>4587</v>
      </c>
      <c r="E321">
        <v>21</v>
      </c>
      <c r="F321">
        <v>2011</v>
      </c>
      <c r="G321" t="s">
        <v>8</v>
      </c>
      <c r="AT321">
        <v>4.3</v>
      </c>
      <c r="AU321">
        <v>4587</v>
      </c>
      <c r="AV321">
        <v>21</v>
      </c>
      <c r="AW321">
        <v>2011</v>
      </c>
    </row>
    <row r="322" spans="1:49" x14ac:dyDescent="0.25">
      <c r="A322" t="s">
        <v>382</v>
      </c>
      <c r="B322" t="s">
        <v>383</v>
      </c>
      <c r="C322">
        <v>4.7</v>
      </c>
      <c r="D322">
        <v>3477</v>
      </c>
      <c r="E322">
        <v>28</v>
      </c>
      <c r="F322">
        <v>2010</v>
      </c>
      <c r="G322" t="s">
        <v>8</v>
      </c>
      <c r="AT322">
        <v>4.7</v>
      </c>
      <c r="AU322">
        <v>3477</v>
      </c>
      <c r="AV322">
        <v>28</v>
      </c>
      <c r="AW322">
        <v>2010</v>
      </c>
    </row>
    <row r="323" spans="1:49" x14ac:dyDescent="0.25">
      <c r="A323" t="s">
        <v>382</v>
      </c>
      <c r="B323" t="s">
        <v>383</v>
      </c>
      <c r="C323">
        <v>4.7</v>
      </c>
      <c r="D323">
        <v>3477</v>
      </c>
      <c r="E323">
        <v>28</v>
      </c>
      <c r="F323">
        <v>2011</v>
      </c>
      <c r="G323" t="s">
        <v>8</v>
      </c>
      <c r="AT323">
        <v>4.7</v>
      </c>
      <c r="AU323">
        <v>3477</v>
      </c>
      <c r="AV323">
        <v>28</v>
      </c>
      <c r="AW323">
        <v>2011</v>
      </c>
    </row>
    <row r="324" spans="1:49" x14ac:dyDescent="0.25">
      <c r="A324" t="s">
        <v>382</v>
      </c>
      <c r="B324" t="s">
        <v>383</v>
      </c>
      <c r="C324">
        <v>4.7</v>
      </c>
      <c r="D324">
        <v>3477</v>
      </c>
      <c r="E324">
        <v>28</v>
      </c>
      <c r="F324">
        <v>2012</v>
      </c>
      <c r="G324" t="s">
        <v>8</v>
      </c>
      <c r="AT324">
        <v>4.7</v>
      </c>
      <c r="AU324">
        <v>3477</v>
      </c>
      <c r="AV324">
        <v>28</v>
      </c>
      <c r="AW324">
        <v>2012</v>
      </c>
    </row>
    <row r="325" spans="1:49" x14ac:dyDescent="0.25">
      <c r="A325" t="s">
        <v>382</v>
      </c>
      <c r="B325" t="s">
        <v>383</v>
      </c>
      <c r="C325">
        <v>4.7</v>
      </c>
      <c r="D325">
        <v>3477</v>
      </c>
      <c r="E325">
        <v>28</v>
      </c>
      <c r="F325">
        <v>2013</v>
      </c>
      <c r="G325" t="s">
        <v>8</v>
      </c>
      <c r="AT325">
        <v>4.7</v>
      </c>
      <c r="AU325">
        <v>3477</v>
      </c>
      <c r="AV325">
        <v>28</v>
      </c>
      <c r="AW325">
        <v>2013</v>
      </c>
    </row>
    <row r="326" spans="1:49" x14ac:dyDescent="0.25">
      <c r="A326" t="s">
        <v>382</v>
      </c>
      <c r="B326" t="s">
        <v>383</v>
      </c>
      <c r="C326">
        <v>4.7</v>
      </c>
      <c r="D326">
        <v>3477</v>
      </c>
      <c r="E326">
        <v>28</v>
      </c>
      <c r="F326">
        <v>2014</v>
      </c>
      <c r="G326" t="s">
        <v>8</v>
      </c>
      <c r="AT326">
        <v>4.7</v>
      </c>
      <c r="AU326">
        <v>3477</v>
      </c>
      <c r="AV326">
        <v>28</v>
      </c>
      <c r="AW326">
        <v>2014</v>
      </c>
    </row>
    <row r="327" spans="1:49" x14ac:dyDescent="0.25">
      <c r="A327" t="s">
        <v>384</v>
      </c>
      <c r="B327" t="s">
        <v>383</v>
      </c>
      <c r="C327">
        <v>4.8</v>
      </c>
      <c r="D327">
        <v>25554</v>
      </c>
      <c r="E327">
        <v>8</v>
      </c>
      <c r="F327">
        <v>2015</v>
      </c>
      <c r="G327" t="s">
        <v>8</v>
      </c>
      <c r="AT327">
        <v>4.8</v>
      </c>
      <c r="AU327">
        <v>25554</v>
      </c>
      <c r="AV327">
        <v>8</v>
      </c>
      <c r="AW327">
        <v>2015</v>
      </c>
    </row>
    <row r="328" spans="1:49" x14ac:dyDescent="0.25">
      <c r="A328" t="s">
        <v>384</v>
      </c>
      <c r="B328" t="s">
        <v>383</v>
      </c>
      <c r="C328">
        <v>4.8</v>
      </c>
      <c r="D328">
        <v>25554</v>
      </c>
      <c r="E328">
        <v>8</v>
      </c>
      <c r="F328">
        <v>2016</v>
      </c>
      <c r="G328" t="s">
        <v>8</v>
      </c>
      <c r="AT328">
        <v>4.8</v>
      </c>
      <c r="AU328">
        <v>25554</v>
      </c>
      <c r="AV328">
        <v>8</v>
      </c>
      <c r="AW328">
        <v>2016</v>
      </c>
    </row>
    <row r="329" spans="1:49" x14ac:dyDescent="0.25">
      <c r="A329" t="s">
        <v>384</v>
      </c>
      <c r="B329" t="s">
        <v>383</v>
      </c>
      <c r="C329">
        <v>4.8</v>
      </c>
      <c r="D329">
        <v>25554</v>
      </c>
      <c r="E329">
        <v>8</v>
      </c>
      <c r="F329">
        <v>2017</v>
      </c>
      <c r="G329" t="s">
        <v>8</v>
      </c>
      <c r="AT329">
        <v>4.8</v>
      </c>
      <c r="AU329">
        <v>25554</v>
      </c>
      <c r="AV329">
        <v>8</v>
      </c>
      <c r="AW329">
        <v>2017</v>
      </c>
    </row>
    <row r="330" spans="1:49" x14ac:dyDescent="0.25">
      <c r="A330" t="s">
        <v>384</v>
      </c>
      <c r="B330" t="s">
        <v>383</v>
      </c>
      <c r="C330">
        <v>4.8</v>
      </c>
      <c r="D330">
        <v>25554</v>
      </c>
      <c r="E330">
        <v>8</v>
      </c>
      <c r="F330">
        <v>2018</v>
      </c>
      <c r="G330" t="s">
        <v>8</v>
      </c>
      <c r="AT330">
        <v>4.8</v>
      </c>
      <c r="AU330">
        <v>25554</v>
      </c>
      <c r="AV330">
        <v>8</v>
      </c>
      <c r="AW330">
        <v>2018</v>
      </c>
    </row>
    <row r="331" spans="1:49" x14ac:dyDescent="0.25">
      <c r="A331" t="s">
        <v>384</v>
      </c>
      <c r="B331" t="s">
        <v>383</v>
      </c>
      <c r="C331">
        <v>4.8</v>
      </c>
      <c r="D331">
        <v>25554</v>
      </c>
      <c r="E331">
        <v>8</v>
      </c>
      <c r="F331">
        <v>2019</v>
      </c>
      <c r="G331" t="s">
        <v>8</v>
      </c>
      <c r="AT331">
        <v>4.8</v>
      </c>
      <c r="AU331">
        <v>25554</v>
      </c>
      <c r="AV331">
        <v>8</v>
      </c>
      <c r="AW331">
        <v>2019</v>
      </c>
    </row>
    <row r="332" spans="1:49" x14ac:dyDescent="0.25">
      <c r="A332" t="s">
        <v>385</v>
      </c>
      <c r="B332" t="s">
        <v>386</v>
      </c>
      <c r="C332">
        <v>4.8</v>
      </c>
      <c r="D332">
        <v>1680</v>
      </c>
      <c r="E332">
        <v>12</v>
      </c>
      <c r="F332">
        <v>2009</v>
      </c>
      <c r="G332" t="s">
        <v>8</v>
      </c>
      <c r="AT332">
        <v>4.8</v>
      </c>
      <c r="AU332">
        <v>1680</v>
      </c>
      <c r="AV332">
        <v>12</v>
      </c>
      <c r="AW332">
        <v>2009</v>
      </c>
    </row>
    <row r="333" spans="1:49" x14ac:dyDescent="0.25">
      <c r="A333" t="s">
        <v>387</v>
      </c>
      <c r="B333" t="s">
        <v>388</v>
      </c>
      <c r="C333">
        <v>4.5999999999999996</v>
      </c>
      <c r="D333">
        <v>9325</v>
      </c>
      <c r="E333">
        <v>24</v>
      </c>
      <c r="F333">
        <v>2009</v>
      </c>
      <c r="G333" t="s">
        <v>8</v>
      </c>
      <c r="AT333">
        <v>4.5999999999999996</v>
      </c>
      <c r="AU333">
        <v>9325</v>
      </c>
      <c r="AV333">
        <v>24</v>
      </c>
      <c r="AW333">
        <v>2009</v>
      </c>
    </row>
    <row r="334" spans="1:49" x14ac:dyDescent="0.25">
      <c r="A334" t="s">
        <v>387</v>
      </c>
      <c r="B334" t="s">
        <v>388</v>
      </c>
      <c r="C334">
        <v>4.5999999999999996</v>
      </c>
      <c r="D334">
        <v>9325</v>
      </c>
      <c r="E334">
        <v>24</v>
      </c>
      <c r="F334">
        <v>2011</v>
      </c>
      <c r="G334" t="s">
        <v>8</v>
      </c>
      <c r="AT334">
        <v>4.5999999999999996</v>
      </c>
      <c r="AU334">
        <v>9325</v>
      </c>
      <c r="AV334">
        <v>24</v>
      </c>
      <c r="AW334">
        <v>2011</v>
      </c>
    </row>
    <row r="335" spans="1:49" x14ac:dyDescent="0.25">
      <c r="A335" t="s">
        <v>387</v>
      </c>
      <c r="B335" t="s">
        <v>388</v>
      </c>
      <c r="C335">
        <v>4.5999999999999996</v>
      </c>
      <c r="D335">
        <v>9325</v>
      </c>
      <c r="E335">
        <v>24</v>
      </c>
      <c r="F335">
        <v>2012</v>
      </c>
      <c r="G335" t="s">
        <v>8</v>
      </c>
      <c r="AT335">
        <v>4.5999999999999996</v>
      </c>
      <c r="AU335">
        <v>9325</v>
      </c>
      <c r="AV335">
        <v>24</v>
      </c>
      <c r="AW335">
        <v>2012</v>
      </c>
    </row>
    <row r="336" spans="1:49" x14ac:dyDescent="0.25">
      <c r="A336" t="s">
        <v>387</v>
      </c>
      <c r="B336" t="s">
        <v>388</v>
      </c>
      <c r="C336">
        <v>4.5999999999999996</v>
      </c>
      <c r="D336">
        <v>9325</v>
      </c>
      <c r="E336">
        <v>24</v>
      </c>
      <c r="F336">
        <v>2013</v>
      </c>
      <c r="G336" t="s">
        <v>8</v>
      </c>
      <c r="AT336">
        <v>4.5999999999999996</v>
      </c>
      <c r="AU336">
        <v>9325</v>
      </c>
      <c r="AV336">
        <v>24</v>
      </c>
      <c r="AW336">
        <v>2013</v>
      </c>
    </row>
    <row r="337" spans="1:49" x14ac:dyDescent="0.25">
      <c r="A337" t="s">
        <v>387</v>
      </c>
      <c r="B337" t="s">
        <v>388</v>
      </c>
      <c r="C337">
        <v>4.7</v>
      </c>
      <c r="D337">
        <v>4725</v>
      </c>
      <c r="E337">
        <v>16</v>
      </c>
      <c r="F337">
        <v>2015</v>
      </c>
      <c r="G337" t="s">
        <v>8</v>
      </c>
      <c r="AT337">
        <v>4.7</v>
      </c>
      <c r="AU337">
        <v>4725</v>
      </c>
      <c r="AV337">
        <v>16</v>
      </c>
      <c r="AW337">
        <v>2015</v>
      </c>
    </row>
    <row r="338" spans="1:49" x14ac:dyDescent="0.25">
      <c r="A338" t="s">
        <v>387</v>
      </c>
      <c r="B338" t="s">
        <v>388</v>
      </c>
      <c r="C338">
        <v>4.7</v>
      </c>
      <c r="D338">
        <v>4725</v>
      </c>
      <c r="E338">
        <v>16</v>
      </c>
      <c r="F338">
        <v>2016</v>
      </c>
      <c r="G338" t="s">
        <v>8</v>
      </c>
      <c r="AT338">
        <v>4.7</v>
      </c>
      <c r="AU338">
        <v>4725</v>
      </c>
      <c r="AV338">
        <v>16</v>
      </c>
      <c r="AW338">
        <v>2016</v>
      </c>
    </row>
    <row r="339" spans="1:49" x14ac:dyDescent="0.25">
      <c r="A339" t="s">
        <v>387</v>
      </c>
      <c r="B339" t="s">
        <v>388</v>
      </c>
      <c r="C339">
        <v>4.7</v>
      </c>
      <c r="D339">
        <v>4725</v>
      </c>
      <c r="E339">
        <v>16</v>
      </c>
      <c r="F339">
        <v>2017</v>
      </c>
      <c r="G339" t="s">
        <v>8</v>
      </c>
      <c r="AT339">
        <v>4.7</v>
      </c>
      <c r="AU339">
        <v>4725</v>
      </c>
      <c r="AV339">
        <v>16</v>
      </c>
      <c r="AW339">
        <v>2017</v>
      </c>
    </row>
    <row r="340" spans="1:49" x14ac:dyDescent="0.25">
      <c r="A340" t="s">
        <v>389</v>
      </c>
      <c r="B340" t="s">
        <v>390</v>
      </c>
      <c r="C340">
        <v>4.7</v>
      </c>
      <c r="D340">
        <v>35799</v>
      </c>
      <c r="E340">
        <v>39</v>
      </c>
      <c r="F340">
        <v>2014</v>
      </c>
      <c r="G340" t="s">
        <v>10</v>
      </c>
      <c r="AT340">
        <v>4.7</v>
      </c>
      <c r="AU340">
        <v>35799</v>
      </c>
      <c r="AV340">
        <v>39</v>
      </c>
      <c r="AW340">
        <v>2014</v>
      </c>
    </row>
    <row r="341" spans="1:49" x14ac:dyDescent="0.25">
      <c r="A341" t="s">
        <v>391</v>
      </c>
      <c r="B341" t="s">
        <v>392</v>
      </c>
      <c r="C341">
        <v>4.5999999999999996</v>
      </c>
      <c r="D341">
        <v>2580</v>
      </c>
      <c r="E341">
        <v>9</v>
      </c>
      <c r="F341">
        <v>2012</v>
      </c>
      <c r="G341" t="s">
        <v>8</v>
      </c>
      <c r="AT341">
        <v>4.5999999999999996</v>
      </c>
      <c r="AU341">
        <v>2580</v>
      </c>
      <c r="AV341">
        <v>9</v>
      </c>
      <c r="AW341">
        <v>2012</v>
      </c>
    </row>
    <row r="342" spans="1:49" x14ac:dyDescent="0.25">
      <c r="A342" t="s">
        <v>393</v>
      </c>
      <c r="B342" t="s">
        <v>394</v>
      </c>
      <c r="C342">
        <v>4.7</v>
      </c>
      <c r="D342">
        <v>11813</v>
      </c>
      <c r="E342">
        <v>10</v>
      </c>
      <c r="F342">
        <v>2010</v>
      </c>
      <c r="G342" t="s">
        <v>10</v>
      </c>
      <c r="AT342">
        <v>4.7</v>
      </c>
      <c r="AU342">
        <v>11813</v>
      </c>
      <c r="AV342">
        <v>10</v>
      </c>
      <c r="AW342">
        <v>2010</v>
      </c>
    </row>
    <row r="343" spans="1:49" x14ac:dyDescent="0.25">
      <c r="A343" t="s">
        <v>393</v>
      </c>
      <c r="B343" t="s">
        <v>394</v>
      </c>
      <c r="C343">
        <v>4.7</v>
      </c>
      <c r="D343">
        <v>11813</v>
      </c>
      <c r="E343">
        <v>10</v>
      </c>
      <c r="F343">
        <v>2011</v>
      </c>
      <c r="G343" t="s">
        <v>10</v>
      </c>
      <c r="AT343">
        <v>4.7</v>
      </c>
      <c r="AU343">
        <v>11813</v>
      </c>
      <c r="AV343">
        <v>10</v>
      </c>
      <c r="AW343">
        <v>2011</v>
      </c>
    </row>
    <row r="344" spans="1:49" x14ac:dyDescent="0.25">
      <c r="A344" t="s">
        <v>395</v>
      </c>
      <c r="B344" t="s">
        <v>396</v>
      </c>
      <c r="C344">
        <v>4.7</v>
      </c>
      <c r="D344">
        <v>3536</v>
      </c>
      <c r="E344">
        <v>17</v>
      </c>
      <c r="F344">
        <v>2010</v>
      </c>
      <c r="G344" t="s">
        <v>8</v>
      </c>
      <c r="AT344">
        <v>4.7</v>
      </c>
      <c r="AU344">
        <v>3536</v>
      </c>
      <c r="AV344">
        <v>17</v>
      </c>
      <c r="AW344">
        <v>2010</v>
      </c>
    </row>
    <row r="345" spans="1:49" x14ac:dyDescent="0.25">
      <c r="A345" t="s">
        <v>397</v>
      </c>
      <c r="B345" t="s">
        <v>331</v>
      </c>
      <c r="C345">
        <v>4.8</v>
      </c>
      <c r="D345">
        <v>6600</v>
      </c>
      <c r="E345">
        <v>11</v>
      </c>
      <c r="F345">
        <v>2014</v>
      </c>
      <c r="G345" t="s">
        <v>10</v>
      </c>
      <c r="AT345">
        <v>4.8</v>
      </c>
      <c r="AU345">
        <v>6600</v>
      </c>
      <c r="AV345">
        <v>11</v>
      </c>
      <c r="AW345">
        <v>2014</v>
      </c>
    </row>
    <row r="346" spans="1:49" x14ac:dyDescent="0.25">
      <c r="A346" t="s">
        <v>398</v>
      </c>
      <c r="B346" t="s">
        <v>399</v>
      </c>
      <c r="C346">
        <v>4.2</v>
      </c>
      <c r="D346">
        <v>1789</v>
      </c>
      <c r="E346">
        <v>14</v>
      </c>
      <c r="F346">
        <v>2012</v>
      </c>
      <c r="G346" t="s">
        <v>8</v>
      </c>
      <c r="AT346">
        <v>4.2</v>
      </c>
      <c r="AU346">
        <v>1789</v>
      </c>
      <c r="AV346">
        <v>14</v>
      </c>
      <c r="AW346">
        <v>2012</v>
      </c>
    </row>
    <row r="347" spans="1:49" x14ac:dyDescent="0.25">
      <c r="A347" t="s">
        <v>400</v>
      </c>
      <c r="B347" t="s">
        <v>401</v>
      </c>
      <c r="C347">
        <v>4.8</v>
      </c>
      <c r="D347">
        <v>12361</v>
      </c>
      <c r="E347">
        <v>12</v>
      </c>
      <c r="F347">
        <v>2019</v>
      </c>
      <c r="G347" t="s">
        <v>8</v>
      </c>
      <c r="AT347">
        <v>4.8</v>
      </c>
      <c r="AU347">
        <v>12361</v>
      </c>
      <c r="AV347">
        <v>12</v>
      </c>
      <c r="AW347">
        <v>2019</v>
      </c>
    </row>
    <row r="348" spans="1:49" x14ac:dyDescent="0.25">
      <c r="A348" t="s">
        <v>402</v>
      </c>
      <c r="B348" t="s">
        <v>403</v>
      </c>
      <c r="C348">
        <v>4.7</v>
      </c>
      <c r="D348">
        <v>858</v>
      </c>
      <c r="E348">
        <v>53</v>
      </c>
      <c r="F348">
        <v>2009</v>
      </c>
      <c r="G348" t="s">
        <v>8</v>
      </c>
      <c r="AT348">
        <v>4.7</v>
      </c>
      <c r="AU348">
        <v>858</v>
      </c>
      <c r="AV348">
        <v>53</v>
      </c>
      <c r="AW348">
        <v>2009</v>
      </c>
    </row>
    <row r="349" spans="1:49" x14ac:dyDescent="0.25">
      <c r="A349" t="s">
        <v>404</v>
      </c>
      <c r="B349" t="s">
        <v>405</v>
      </c>
      <c r="C349">
        <v>4.5999999999999996</v>
      </c>
      <c r="D349">
        <v>23148</v>
      </c>
      <c r="E349">
        <v>6</v>
      </c>
      <c r="F349">
        <v>2013</v>
      </c>
      <c r="G349" t="s">
        <v>10</v>
      </c>
      <c r="AT349">
        <v>4.5999999999999996</v>
      </c>
      <c r="AU349">
        <v>23148</v>
      </c>
      <c r="AV349">
        <v>6</v>
      </c>
      <c r="AW349">
        <v>2013</v>
      </c>
    </row>
    <row r="350" spans="1:49" x14ac:dyDescent="0.25">
      <c r="A350" t="s">
        <v>404</v>
      </c>
      <c r="B350" t="s">
        <v>405</v>
      </c>
      <c r="C350">
        <v>4.5999999999999996</v>
      </c>
      <c r="D350">
        <v>23148</v>
      </c>
      <c r="E350">
        <v>6</v>
      </c>
      <c r="F350">
        <v>2014</v>
      </c>
      <c r="G350" t="s">
        <v>10</v>
      </c>
      <c r="AT350">
        <v>4.5999999999999996</v>
      </c>
      <c r="AU350">
        <v>23148</v>
      </c>
      <c r="AV350">
        <v>6</v>
      </c>
      <c r="AW350">
        <v>2014</v>
      </c>
    </row>
    <row r="351" spans="1:49" x14ac:dyDescent="0.25">
      <c r="A351" t="s">
        <v>406</v>
      </c>
      <c r="B351" t="s">
        <v>407</v>
      </c>
      <c r="C351">
        <v>4.8</v>
      </c>
      <c r="D351">
        <v>8081</v>
      </c>
      <c r="E351">
        <v>8</v>
      </c>
      <c r="F351">
        <v>2014</v>
      </c>
      <c r="G351" t="s">
        <v>10</v>
      </c>
      <c r="AT351">
        <v>4.8</v>
      </c>
      <c r="AU351">
        <v>8081</v>
      </c>
      <c r="AV351">
        <v>8</v>
      </c>
      <c r="AW351">
        <v>2014</v>
      </c>
    </row>
    <row r="352" spans="1:49" x14ac:dyDescent="0.25">
      <c r="A352" t="s">
        <v>406</v>
      </c>
      <c r="B352" t="s">
        <v>407</v>
      </c>
      <c r="C352">
        <v>4.8</v>
      </c>
      <c r="D352">
        <v>8081</v>
      </c>
      <c r="E352">
        <v>8</v>
      </c>
      <c r="F352">
        <v>2015</v>
      </c>
      <c r="G352" t="s">
        <v>10</v>
      </c>
      <c r="AT352">
        <v>4.8</v>
      </c>
      <c r="AU352">
        <v>8081</v>
      </c>
      <c r="AV352">
        <v>8</v>
      </c>
      <c r="AW352">
        <v>2015</v>
      </c>
    </row>
    <row r="353" spans="1:49" x14ac:dyDescent="0.25">
      <c r="A353" t="s">
        <v>408</v>
      </c>
      <c r="B353" t="s">
        <v>409</v>
      </c>
      <c r="C353">
        <v>4.8</v>
      </c>
      <c r="D353">
        <v>23358</v>
      </c>
      <c r="E353">
        <v>12</v>
      </c>
      <c r="F353">
        <v>2014</v>
      </c>
      <c r="G353" t="s">
        <v>8</v>
      </c>
      <c r="AT353">
        <v>4.8</v>
      </c>
      <c r="AU353">
        <v>23358</v>
      </c>
      <c r="AV353">
        <v>12</v>
      </c>
      <c r="AW353">
        <v>2014</v>
      </c>
    </row>
    <row r="354" spans="1:49" x14ac:dyDescent="0.25">
      <c r="A354" t="s">
        <v>408</v>
      </c>
      <c r="B354" t="s">
        <v>409</v>
      </c>
      <c r="C354">
        <v>4.8</v>
      </c>
      <c r="D354">
        <v>23358</v>
      </c>
      <c r="E354">
        <v>12</v>
      </c>
      <c r="F354">
        <v>2015</v>
      </c>
      <c r="G354" t="s">
        <v>8</v>
      </c>
      <c r="AT354">
        <v>4.8</v>
      </c>
      <c r="AU354">
        <v>23358</v>
      </c>
      <c r="AV354">
        <v>12</v>
      </c>
      <c r="AW354">
        <v>2015</v>
      </c>
    </row>
    <row r="355" spans="1:49" x14ac:dyDescent="0.25">
      <c r="A355" t="s">
        <v>410</v>
      </c>
      <c r="B355" t="s">
        <v>151</v>
      </c>
      <c r="C355">
        <v>3.3</v>
      </c>
      <c r="D355">
        <v>9372</v>
      </c>
      <c r="E355">
        <v>12</v>
      </c>
      <c r="F355">
        <v>2012</v>
      </c>
      <c r="G355" t="s">
        <v>10</v>
      </c>
      <c r="AT355">
        <v>3.3</v>
      </c>
      <c r="AU355">
        <v>9372</v>
      </c>
      <c r="AV355">
        <v>12</v>
      </c>
      <c r="AW355">
        <v>2012</v>
      </c>
    </row>
    <row r="356" spans="1:49" x14ac:dyDescent="0.25">
      <c r="A356" t="s">
        <v>411</v>
      </c>
      <c r="B356" t="s">
        <v>412</v>
      </c>
      <c r="C356">
        <v>4.7</v>
      </c>
      <c r="D356">
        <v>4633</v>
      </c>
      <c r="E356">
        <v>21</v>
      </c>
      <c r="F356">
        <v>2011</v>
      </c>
      <c r="G356" t="s">
        <v>8</v>
      </c>
      <c r="AT356">
        <v>4.7</v>
      </c>
      <c r="AU356">
        <v>4633</v>
      </c>
      <c r="AV356">
        <v>21</v>
      </c>
      <c r="AW356">
        <v>2011</v>
      </c>
    </row>
    <row r="357" spans="1:49" x14ac:dyDescent="0.25">
      <c r="A357" t="s">
        <v>413</v>
      </c>
      <c r="B357" t="s">
        <v>414</v>
      </c>
      <c r="C357">
        <v>4.3</v>
      </c>
      <c r="D357">
        <v>13061</v>
      </c>
      <c r="E357">
        <v>6</v>
      </c>
      <c r="F357">
        <v>2018</v>
      </c>
      <c r="G357" t="s">
        <v>8</v>
      </c>
      <c r="AT357">
        <v>4.3</v>
      </c>
      <c r="AU357">
        <v>13061</v>
      </c>
      <c r="AV357">
        <v>6</v>
      </c>
      <c r="AW357">
        <v>2018</v>
      </c>
    </row>
    <row r="358" spans="1:49" x14ac:dyDescent="0.25">
      <c r="A358" t="s">
        <v>413</v>
      </c>
      <c r="B358" t="s">
        <v>414</v>
      </c>
      <c r="C358">
        <v>4.3</v>
      </c>
      <c r="D358">
        <v>13061</v>
      </c>
      <c r="E358">
        <v>6</v>
      </c>
      <c r="F358">
        <v>2019</v>
      </c>
      <c r="G358" t="s">
        <v>8</v>
      </c>
      <c r="AT358">
        <v>4.3</v>
      </c>
      <c r="AU358">
        <v>13061</v>
      </c>
      <c r="AV358">
        <v>6</v>
      </c>
      <c r="AW358">
        <v>2019</v>
      </c>
    </row>
    <row r="359" spans="1:49" x14ac:dyDescent="0.25">
      <c r="A359" t="s">
        <v>415</v>
      </c>
      <c r="B359" t="s">
        <v>375</v>
      </c>
      <c r="C359">
        <v>4.3</v>
      </c>
      <c r="D359">
        <v>3523</v>
      </c>
      <c r="E359">
        <v>13</v>
      </c>
      <c r="F359">
        <v>2010</v>
      </c>
      <c r="G359" t="s">
        <v>10</v>
      </c>
      <c r="AT359">
        <v>4.3</v>
      </c>
      <c r="AU359">
        <v>3523</v>
      </c>
      <c r="AV359">
        <v>13</v>
      </c>
      <c r="AW359">
        <v>2010</v>
      </c>
    </row>
    <row r="360" spans="1:49" x14ac:dyDescent="0.25">
      <c r="A360" t="s">
        <v>416</v>
      </c>
      <c r="B360" t="s">
        <v>417</v>
      </c>
      <c r="C360">
        <v>4.8</v>
      </c>
      <c r="D360">
        <v>2774</v>
      </c>
      <c r="E360">
        <v>0</v>
      </c>
      <c r="F360">
        <v>2016</v>
      </c>
      <c r="G360" t="s">
        <v>8</v>
      </c>
      <c r="AT360">
        <v>4.8</v>
      </c>
      <c r="AU360">
        <v>2774</v>
      </c>
      <c r="AV360">
        <v>0</v>
      </c>
      <c r="AW360">
        <v>2016</v>
      </c>
    </row>
    <row r="361" spans="1:49" x14ac:dyDescent="0.25">
      <c r="A361" t="s">
        <v>418</v>
      </c>
      <c r="B361" t="s">
        <v>419</v>
      </c>
      <c r="C361">
        <v>4.4000000000000004</v>
      </c>
      <c r="D361">
        <v>440</v>
      </c>
      <c r="E361">
        <v>11</v>
      </c>
      <c r="F361">
        <v>2010</v>
      </c>
      <c r="G361" t="s">
        <v>8</v>
      </c>
      <c r="AT361">
        <v>4.4000000000000004</v>
      </c>
      <c r="AU361">
        <v>440</v>
      </c>
      <c r="AV361">
        <v>11</v>
      </c>
      <c r="AW361">
        <v>2010</v>
      </c>
    </row>
    <row r="362" spans="1:49" x14ac:dyDescent="0.25">
      <c r="A362" t="s">
        <v>420</v>
      </c>
      <c r="B362" t="s">
        <v>421</v>
      </c>
      <c r="C362">
        <v>4.8</v>
      </c>
      <c r="D362">
        <v>8922</v>
      </c>
      <c r="E362">
        <v>9</v>
      </c>
      <c r="F362">
        <v>2013</v>
      </c>
      <c r="G362" t="s">
        <v>10</v>
      </c>
      <c r="AT362">
        <v>4.8</v>
      </c>
      <c r="AU362">
        <v>8922</v>
      </c>
      <c r="AV362">
        <v>9</v>
      </c>
      <c r="AW362">
        <v>2013</v>
      </c>
    </row>
    <row r="363" spans="1:49" x14ac:dyDescent="0.25">
      <c r="A363" t="s">
        <v>420</v>
      </c>
      <c r="B363" t="s">
        <v>421</v>
      </c>
      <c r="C363">
        <v>4.8</v>
      </c>
      <c r="D363">
        <v>8922</v>
      </c>
      <c r="E363">
        <v>9</v>
      </c>
      <c r="F363">
        <v>2014</v>
      </c>
      <c r="G363" t="s">
        <v>10</v>
      </c>
      <c r="AT363">
        <v>4.8</v>
      </c>
      <c r="AU363">
        <v>8922</v>
      </c>
      <c r="AV363">
        <v>9</v>
      </c>
      <c r="AW363">
        <v>2014</v>
      </c>
    </row>
    <row r="364" spans="1:49" x14ac:dyDescent="0.25">
      <c r="A364" t="s">
        <v>420</v>
      </c>
      <c r="B364" t="s">
        <v>421</v>
      </c>
      <c r="C364">
        <v>4.8</v>
      </c>
      <c r="D364">
        <v>8922</v>
      </c>
      <c r="E364">
        <v>9</v>
      </c>
      <c r="F364">
        <v>2015</v>
      </c>
      <c r="G364" t="s">
        <v>10</v>
      </c>
      <c r="AT364">
        <v>4.8</v>
      </c>
      <c r="AU364">
        <v>8922</v>
      </c>
      <c r="AV364">
        <v>9</v>
      </c>
      <c r="AW364">
        <v>2015</v>
      </c>
    </row>
    <row r="365" spans="1:49" x14ac:dyDescent="0.25">
      <c r="A365" t="s">
        <v>422</v>
      </c>
      <c r="B365" t="s">
        <v>423</v>
      </c>
      <c r="C365">
        <v>4.0999999999999996</v>
      </c>
      <c r="D365">
        <v>2023</v>
      </c>
      <c r="E365">
        <v>15</v>
      </c>
      <c r="F365">
        <v>2011</v>
      </c>
      <c r="G365" t="s">
        <v>8</v>
      </c>
      <c r="AT365">
        <v>4.0999999999999996</v>
      </c>
      <c r="AU365">
        <v>2023</v>
      </c>
      <c r="AV365">
        <v>15</v>
      </c>
      <c r="AW365">
        <v>2011</v>
      </c>
    </row>
    <row r="366" spans="1:49" x14ac:dyDescent="0.25">
      <c r="A366" t="s">
        <v>424</v>
      </c>
      <c r="B366" t="s">
        <v>425</v>
      </c>
      <c r="C366">
        <v>4</v>
      </c>
      <c r="D366">
        <v>1859</v>
      </c>
      <c r="E366">
        <v>11</v>
      </c>
      <c r="F366">
        <v>2009</v>
      </c>
      <c r="G366" t="s">
        <v>10</v>
      </c>
      <c r="AT366">
        <v>4</v>
      </c>
      <c r="AU366">
        <v>1859</v>
      </c>
      <c r="AV366">
        <v>11</v>
      </c>
      <c r="AW366">
        <v>2009</v>
      </c>
    </row>
    <row r="367" spans="1:49" x14ac:dyDescent="0.25">
      <c r="A367" t="s">
        <v>426</v>
      </c>
      <c r="B367" t="s">
        <v>287</v>
      </c>
      <c r="C367">
        <v>4.7</v>
      </c>
      <c r="D367">
        <v>50482</v>
      </c>
      <c r="E367">
        <v>13</v>
      </c>
      <c r="F367">
        <v>2012</v>
      </c>
      <c r="G367" t="s">
        <v>10</v>
      </c>
      <c r="AT367">
        <v>4.7</v>
      </c>
      <c r="AU367">
        <v>50482</v>
      </c>
      <c r="AV367">
        <v>13</v>
      </c>
      <c r="AW367">
        <v>2012</v>
      </c>
    </row>
    <row r="368" spans="1:49" x14ac:dyDescent="0.25">
      <c r="A368" t="s">
        <v>426</v>
      </c>
      <c r="B368" t="s">
        <v>287</v>
      </c>
      <c r="C368">
        <v>4.7</v>
      </c>
      <c r="D368">
        <v>50482</v>
      </c>
      <c r="E368">
        <v>13</v>
      </c>
      <c r="F368">
        <v>2013</v>
      </c>
      <c r="G368" t="s">
        <v>10</v>
      </c>
      <c r="AT368">
        <v>4.7</v>
      </c>
      <c r="AU368">
        <v>50482</v>
      </c>
      <c r="AV368">
        <v>13</v>
      </c>
      <c r="AW368">
        <v>2013</v>
      </c>
    </row>
    <row r="369" spans="1:49" x14ac:dyDescent="0.25">
      <c r="A369" t="s">
        <v>426</v>
      </c>
      <c r="B369" t="s">
        <v>287</v>
      </c>
      <c r="C369">
        <v>4.7</v>
      </c>
      <c r="D369">
        <v>50482</v>
      </c>
      <c r="E369">
        <v>7</v>
      </c>
      <c r="F369">
        <v>2014</v>
      </c>
      <c r="G369" t="s">
        <v>10</v>
      </c>
      <c r="AT369">
        <v>4.7</v>
      </c>
      <c r="AU369">
        <v>50482</v>
      </c>
      <c r="AV369">
        <v>7</v>
      </c>
      <c r="AW369">
        <v>2014</v>
      </c>
    </row>
    <row r="370" spans="1:49" x14ac:dyDescent="0.25">
      <c r="A370" t="s">
        <v>426</v>
      </c>
      <c r="B370" t="s">
        <v>287</v>
      </c>
      <c r="C370">
        <v>4.7</v>
      </c>
      <c r="D370">
        <v>50482</v>
      </c>
      <c r="E370">
        <v>13</v>
      </c>
      <c r="F370">
        <v>2014</v>
      </c>
      <c r="G370" t="s">
        <v>10</v>
      </c>
      <c r="AT370">
        <v>4.7</v>
      </c>
      <c r="AU370">
        <v>50482</v>
      </c>
      <c r="AV370">
        <v>13</v>
      </c>
      <c r="AW370">
        <v>2014</v>
      </c>
    </row>
    <row r="371" spans="1:49" x14ac:dyDescent="0.25">
      <c r="A371" t="s">
        <v>427</v>
      </c>
      <c r="B371" t="s">
        <v>428</v>
      </c>
      <c r="C371">
        <v>4.5999999999999996</v>
      </c>
      <c r="D371">
        <v>3207</v>
      </c>
      <c r="E371">
        <v>6</v>
      </c>
      <c r="F371">
        <v>2009</v>
      </c>
      <c r="G371" t="s">
        <v>8</v>
      </c>
      <c r="AT371">
        <v>4.5999999999999996</v>
      </c>
      <c r="AU371">
        <v>3207</v>
      </c>
      <c r="AV371">
        <v>6</v>
      </c>
      <c r="AW371">
        <v>2009</v>
      </c>
    </row>
    <row r="372" spans="1:49" x14ac:dyDescent="0.25">
      <c r="A372" t="s">
        <v>427</v>
      </c>
      <c r="B372" t="s">
        <v>428</v>
      </c>
      <c r="C372">
        <v>4.5999999999999996</v>
      </c>
      <c r="D372">
        <v>3207</v>
      </c>
      <c r="E372">
        <v>6</v>
      </c>
      <c r="F372">
        <v>2010</v>
      </c>
      <c r="G372" t="s">
        <v>8</v>
      </c>
      <c r="AT372">
        <v>4.5999999999999996</v>
      </c>
      <c r="AU372">
        <v>3207</v>
      </c>
      <c r="AV372">
        <v>6</v>
      </c>
      <c r="AW372">
        <v>2010</v>
      </c>
    </row>
    <row r="373" spans="1:49" x14ac:dyDescent="0.25">
      <c r="A373" t="s">
        <v>427</v>
      </c>
      <c r="B373" t="s">
        <v>428</v>
      </c>
      <c r="C373">
        <v>4.5999999999999996</v>
      </c>
      <c r="D373">
        <v>3207</v>
      </c>
      <c r="E373">
        <v>6</v>
      </c>
      <c r="F373">
        <v>2011</v>
      </c>
      <c r="G373" t="s">
        <v>8</v>
      </c>
      <c r="AT373">
        <v>4.5999999999999996</v>
      </c>
      <c r="AU373">
        <v>3207</v>
      </c>
      <c r="AV373">
        <v>6</v>
      </c>
      <c r="AW373">
        <v>2011</v>
      </c>
    </row>
    <row r="374" spans="1:49" x14ac:dyDescent="0.25">
      <c r="A374" t="s">
        <v>427</v>
      </c>
      <c r="B374" t="s">
        <v>428</v>
      </c>
      <c r="C374">
        <v>4.5999999999999996</v>
      </c>
      <c r="D374">
        <v>3207</v>
      </c>
      <c r="E374">
        <v>6</v>
      </c>
      <c r="F374">
        <v>2012</v>
      </c>
      <c r="G374" t="s">
        <v>8</v>
      </c>
      <c r="AT374">
        <v>4.5999999999999996</v>
      </c>
      <c r="AU374">
        <v>3207</v>
      </c>
      <c r="AV374">
        <v>6</v>
      </c>
      <c r="AW374">
        <v>2012</v>
      </c>
    </row>
    <row r="375" spans="1:49" x14ac:dyDescent="0.25">
      <c r="A375" t="s">
        <v>427</v>
      </c>
      <c r="B375" t="s">
        <v>428</v>
      </c>
      <c r="C375">
        <v>4.5999999999999996</v>
      </c>
      <c r="D375">
        <v>3207</v>
      </c>
      <c r="E375">
        <v>6</v>
      </c>
      <c r="F375">
        <v>2013</v>
      </c>
      <c r="G375" t="s">
        <v>8</v>
      </c>
      <c r="AT375">
        <v>4.5999999999999996</v>
      </c>
      <c r="AU375">
        <v>3207</v>
      </c>
      <c r="AV375">
        <v>6</v>
      </c>
      <c r="AW375">
        <v>2013</v>
      </c>
    </row>
    <row r="376" spans="1:49" x14ac:dyDescent="0.25">
      <c r="A376" t="s">
        <v>429</v>
      </c>
      <c r="B376" t="s">
        <v>383</v>
      </c>
      <c r="C376">
        <v>4.5999999999999996</v>
      </c>
      <c r="D376">
        <v>803</v>
      </c>
      <c r="E376">
        <v>9</v>
      </c>
      <c r="F376">
        <v>2009</v>
      </c>
      <c r="G376" t="s">
        <v>8</v>
      </c>
      <c r="AT376">
        <v>4.5999999999999996</v>
      </c>
      <c r="AU376">
        <v>803</v>
      </c>
      <c r="AV376">
        <v>9</v>
      </c>
      <c r="AW376">
        <v>2009</v>
      </c>
    </row>
    <row r="377" spans="1:49" x14ac:dyDescent="0.25">
      <c r="A377" t="s">
        <v>430</v>
      </c>
      <c r="B377" t="s">
        <v>431</v>
      </c>
      <c r="C377">
        <v>4.7</v>
      </c>
      <c r="D377">
        <v>23308</v>
      </c>
      <c r="E377">
        <v>6</v>
      </c>
      <c r="F377">
        <v>2013</v>
      </c>
      <c r="G377" t="s">
        <v>8</v>
      </c>
      <c r="AT377">
        <v>4.7</v>
      </c>
      <c r="AU377">
        <v>23308</v>
      </c>
      <c r="AV377">
        <v>6</v>
      </c>
      <c r="AW377">
        <v>2013</v>
      </c>
    </row>
    <row r="378" spans="1:49" x14ac:dyDescent="0.25">
      <c r="A378" t="s">
        <v>430</v>
      </c>
      <c r="B378" t="s">
        <v>431</v>
      </c>
      <c r="C378">
        <v>4.7</v>
      </c>
      <c r="D378">
        <v>23308</v>
      </c>
      <c r="E378">
        <v>6</v>
      </c>
      <c r="F378">
        <v>2015</v>
      </c>
      <c r="G378" t="s">
        <v>8</v>
      </c>
      <c r="AT378">
        <v>4.7</v>
      </c>
      <c r="AU378">
        <v>23308</v>
      </c>
      <c r="AV378">
        <v>6</v>
      </c>
      <c r="AW378">
        <v>2015</v>
      </c>
    </row>
    <row r="379" spans="1:49" x14ac:dyDescent="0.25">
      <c r="A379" t="s">
        <v>430</v>
      </c>
      <c r="B379" t="s">
        <v>431</v>
      </c>
      <c r="C379">
        <v>4.7</v>
      </c>
      <c r="D379">
        <v>23308</v>
      </c>
      <c r="E379">
        <v>6</v>
      </c>
      <c r="F379">
        <v>2016</v>
      </c>
      <c r="G379" t="s">
        <v>8</v>
      </c>
      <c r="AT379">
        <v>4.7</v>
      </c>
      <c r="AU379">
        <v>23308</v>
      </c>
      <c r="AV379">
        <v>6</v>
      </c>
      <c r="AW379">
        <v>2016</v>
      </c>
    </row>
    <row r="380" spans="1:49" x14ac:dyDescent="0.25">
      <c r="A380" t="s">
        <v>430</v>
      </c>
      <c r="B380" t="s">
        <v>431</v>
      </c>
      <c r="C380">
        <v>4.7</v>
      </c>
      <c r="D380">
        <v>23308</v>
      </c>
      <c r="E380">
        <v>6</v>
      </c>
      <c r="F380">
        <v>2017</v>
      </c>
      <c r="G380" t="s">
        <v>8</v>
      </c>
      <c r="AT380">
        <v>4.7</v>
      </c>
      <c r="AU380">
        <v>23308</v>
      </c>
      <c r="AV380">
        <v>6</v>
      </c>
      <c r="AW380">
        <v>2017</v>
      </c>
    </row>
    <row r="381" spans="1:49" x14ac:dyDescent="0.25">
      <c r="A381" t="s">
        <v>430</v>
      </c>
      <c r="B381" t="s">
        <v>431</v>
      </c>
      <c r="C381">
        <v>4.7</v>
      </c>
      <c r="D381">
        <v>23308</v>
      </c>
      <c r="E381">
        <v>6</v>
      </c>
      <c r="F381">
        <v>2018</v>
      </c>
      <c r="G381" t="s">
        <v>8</v>
      </c>
      <c r="AT381">
        <v>4.7</v>
      </c>
      <c r="AU381">
        <v>23308</v>
      </c>
      <c r="AV381">
        <v>6</v>
      </c>
      <c r="AW381">
        <v>2018</v>
      </c>
    </row>
    <row r="382" spans="1:49" x14ac:dyDescent="0.25">
      <c r="A382" t="s">
        <v>430</v>
      </c>
      <c r="B382" t="s">
        <v>431</v>
      </c>
      <c r="C382">
        <v>4.7</v>
      </c>
      <c r="D382">
        <v>23308</v>
      </c>
      <c r="E382">
        <v>6</v>
      </c>
      <c r="F382">
        <v>2019</v>
      </c>
      <c r="G382" t="s">
        <v>8</v>
      </c>
      <c r="AT382">
        <v>4.7</v>
      </c>
      <c r="AU382">
        <v>23308</v>
      </c>
      <c r="AV382">
        <v>6</v>
      </c>
      <c r="AW382">
        <v>2019</v>
      </c>
    </row>
    <row r="383" spans="1:49" x14ac:dyDescent="0.25">
      <c r="A383" t="s">
        <v>432</v>
      </c>
      <c r="B383" t="s">
        <v>78</v>
      </c>
      <c r="C383">
        <v>4.8</v>
      </c>
      <c r="D383">
        <v>5836</v>
      </c>
      <c r="E383">
        <v>0</v>
      </c>
      <c r="F383">
        <v>2017</v>
      </c>
      <c r="G383" t="s">
        <v>10</v>
      </c>
      <c r="AT383">
        <v>4.8</v>
      </c>
      <c r="AU383">
        <v>5836</v>
      </c>
      <c r="AV383">
        <v>0</v>
      </c>
      <c r="AW383">
        <v>2017</v>
      </c>
    </row>
    <row r="384" spans="1:49" x14ac:dyDescent="0.25">
      <c r="A384" t="s">
        <v>433</v>
      </c>
      <c r="B384" t="s">
        <v>434</v>
      </c>
      <c r="C384">
        <v>4.0999999999999996</v>
      </c>
      <c r="D384">
        <v>79446</v>
      </c>
      <c r="E384">
        <v>18</v>
      </c>
      <c r="F384">
        <v>2015</v>
      </c>
      <c r="G384" t="s">
        <v>10</v>
      </c>
      <c r="AT384">
        <v>4.0999999999999996</v>
      </c>
      <c r="AU384">
        <v>79446</v>
      </c>
      <c r="AV384">
        <v>18</v>
      </c>
      <c r="AW384">
        <v>2015</v>
      </c>
    </row>
    <row r="385" spans="1:49" x14ac:dyDescent="0.25">
      <c r="A385" t="s">
        <v>433</v>
      </c>
      <c r="B385" t="s">
        <v>434</v>
      </c>
      <c r="C385">
        <v>4.0999999999999996</v>
      </c>
      <c r="D385">
        <v>79446</v>
      </c>
      <c r="E385">
        <v>7</v>
      </c>
      <c r="F385">
        <v>2016</v>
      </c>
      <c r="G385" t="s">
        <v>10</v>
      </c>
      <c r="AT385">
        <v>4.0999999999999996</v>
      </c>
      <c r="AU385">
        <v>79446</v>
      </c>
      <c r="AV385">
        <v>7</v>
      </c>
      <c r="AW385">
        <v>2016</v>
      </c>
    </row>
    <row r="386" spans="1:49" x14ac:dyDescent="0.25">
      <c r="A386" t="s">
        <v>435</v>
      </c>
      <c r="B386" t="s">
        <v>436</v>
      </c>
      <c r="C386">
        <v>4.7</v>
      </c>
      <c r="D386">
        <v>7747</v>
      </c>
      <c r="E386">
        <v>14</v>
      </c>
      <c r="F386">
        <v>2010</v>
      </c>
      <c r="G386" t="s">
        <v>10</v>
      </c>
      <c r="AT386">
        <v>4.7</v>
      </c>
      <c r="AU386">
        <v>7747</v>
      </c>
      <c r="AV386">
        <v>14</v>
      </c>
      <c r="AW386">
        <v>2010</v>
      </c>
    </row>
    <row r="387" spans="1:49" x14ac:dyDescent="0.25">
      <c r="A387" t="s">
        <v>435</v>
      </c>
      <c r="B387" t="s">
        <v>436</v>
      </c>
      <c r="C387">
        <v>4.7</v>
      </c>
      <c r="D387">
        <v>7747</v>
      </c>
      <c r="E387">
        <v>14</v>
      </c>
      <c r="F387">
        <v>2011</v>
      </c>
      <c r="G387" t="s">
        <v>10</v>
      </c>
      <c r="AT387">
        <v>4.7</v>
      </c>
      <c r="AU387">
        <v>7747</v>
      </c>
      <c r="AV387">
        <v>14</v>
      </c>
      <c r="AW387">
        <v>2011</v>
      </c>
    </row>
    <row r="388" spans="1:49" x14ac:dyDescent="0.25">
      <c r="A388" t="s">
        <v>437</v>
      </c>
      <c r="B388" t="s">
        <v>436</v>
      </c>
      <c r="C388">
        <v>4.7</v>
      </c>
      <c r="D388">
        <v>7251</v>
      </c>
      <c r="E388">
        <v>9</v>
      </c>
      <c r="F388">
        <v>2010</v>
      </c>
      <c r="G388" t="s">
        <v>10</v>
      </c>
      <c r="AT388">
        <v>4.7</v>
      </c>
      <c r="AU388">
        <v>7251</v>
      </c>
      <c r="AV388">
        <v>9</v>
      </c>
      <c r="AW388">
        <v>2010</v>
      </c>
    </row>
    <row r="389" spans="1:49" x14ac:dyDescent="0.25">
      <c r="A389" t="s">
        <v>438</v>
      </c>
      <c r="B389" t="s">
        <v>436</v>
      </c>
      <c r="C389">
        <v>4.7</v>
      </c>
      <c r="D389">
        <v>7251</v>
      </c>
      <c r="E389">
        <v>16</v>
      </c>
      <c r="F389">
        <v>2009</v>
      </c>
      <c r="G389" t="s">
        <v>10</v>
      </c>
      <c r="AT389">
        <v>4.7</v>
      </c>
      <c r="AU389">
        <v>7251</v>
      </c>
      <c r="AV389">
        <v>16</v>
      </c>
      <c r="AW389">
        <v>2009</v>
      </c>
    </row>
    <row r="390" spans="1:49" x14ac:dyDescent="0.25">
      <c r="A390" t="s">
        <v>439</v>
      </c>
      <c r="B390" t="s">
        <v>436</v>
      </c>
      <c r="C390">
        <v>4.4000000000000004</v>
      </c>
      <c r="D390">
        <v>10559</v>
      </c>
      <c r="E390">
        <v>2</v>
      </c>
      <c r="F390">
        <v>2009</v>
      </c>
      <c r="G390" t="s">
        <v>10</v>
      </c>
      <c r="AT390">
        <v>4.4000000000000004</v>
      </c>
      <c r="AU390">
        <v>10559</v>
      </c>
      <c r="AV390">
        <v>2</v>
      </c>
      <c r="AW390">
        <v>2009</v>
      </c>
    </row>
    <row r="391" spans="1:49" x14ac:dyDescent="0.25">
      <c r="A391" t="s">
        <v>439</v>
      </c>
      <c r="B391" t="s">
        <v>436</v>
      </c>
      <c r="C391">
        <v>4.4000000000000004</v>
      </c>
      <c r="D391">
        <v>10559</v>
      </c>
      <c r="E391">
        <v>2</v>
      </c>
      <c r="F391">
        <v>2010</v>
      </c>
      <c r="G391" t="s">
        <v>10</v>
      </c>
      <c r="AT391">
        <v>4.4000000000000004</v>
      </c>
      <c r="AU391">
        <v>10559</v>
      </c>
      <c r="AV391">
        <v>2</v>
      </c>
      <c r="AW391">
        <v>2010</v>
      </c>
    </row>
    <row r="392" spans="1:49" x14ac:dyDescent="0.25">
      <c r="A392" t="s">
        <v>440</v>
      </c>
      <c r="B392" t="s">
        <v>441</v>
      </c>
      <c r="C392">
        <v>4.8</v>
      </c>
      <c r="D392">
        <v>5249</v>
      </c>
      <c r="E392">
        <v>5</v>
      </c>
      <c r="F392">
        <v>2016</v>
      </c>
      <c r="G392" t="s">
        <v>10</v>
      </c>
      <c r="AT392">
        <v>4.8</v>
      </c>
      <c r="AU392">
        <v>5249</v>
      </c>
      <c r="AV392">
        <v>5</v>
      </c>
      <c r="AW392">
        <v>2016</v>
      </c>
    </row>
    <row r="393" spans="1:49" x14ac:dyDescent="0.25">
      <c r="A393" t="s">
        <v>440</v>
      </c>
      <c r="B393" t="s">
        <v>441</v>
      </c>
      <c r="C393">
        <v>4.8</v>
      </c>
      <c r="D393">
        <v>5249</v>
      </c>
      <c r="E393">
        <v>5</v>
      </c>
      <c r="F393">
        <v>2017</v>
      </c>
      <c r="G393" t="s">
        <v>10</v>
      </c>
      <c r="AT393">
        <v>4.8</v>
      </c>
      <c r="AU393">
        <v>5249</v>
      </c>
      <c r="AV393">
        <v>5</v>
      </c>
      <c r="AW393">
        <v>2017</v>
      </c>
    </row>
    <row r="394" spans="1:49" x14ac:dyDescent="0.25">
      <c r="A394" t="s">
        <v>442</v>
      </c>
      <c r="B394" t="s">
        <v>443</v>
      </c>
      <c r="C394">
        <v>3.9</v>
      </c>
      <c r="D394">
        <v>33844</v>
      </c>
      <c r="E394">
        <v>20</v>
      </c>
      <c r="F394">
        <v>2013</v>
      </c>
      <c r="G394" t="s">
        <v>10</v>
      </c>
      <c r="AT394">
        <v>3.9</v>
      </c>
      <c r="AU394">
        <v>33844</v>
      </c>
      <c r="AV394">
        <v>20</v>
      </c>
      <c r="AW394">
        <v>2013</v>
      </c>
    </row>
    <row r="395" spans="1:49" x14ac:dyDescent="0.25">
      <c r="A395" t="s">
        <v>442</v>
      </c>
      <c r="B395" t="s">
        <v>443</v>
      </c>
      <c r="C395">
        <v>3.9</v>
      </c>
      <c r="D395">
        <v>33844</v>
      </c>
      <c r="E395">
        <v>20</v>
      </c>
      <c r="F395">
        <v>2014</v>
      </c>
      <c r="G395" t="s">
        <v>10</v>
      </c>
      <c r="AT395">
        <v>3.9</v>
      </c>
      <c r="AU395">
        <v>33844</v>
      </c>
      <c r="AV395">
        <v>20</v>
      </c>
      <c r="AW395">
        <v>2014</v>
      </c>
    </row>
    <row r="396" spans="1:49" x14ac:dyDescent="0.25">
      <c r="A396" t="s">
        <v>444</v>
      </c>
      <c r="B396" t="s">
        <v>445</v>
      </c>
      <c r="C396">
        <v>4.4000000000000004</v>
      </c>
      <c r="D396">
        <v>11616</v>
      </c>
      <c r="E396">
        <v>7</v>
      </c>
      <c r="F396">
        <v>2012</v>
      </c>
      <c r="G396" t="s">
        <v>10</v>
      </c>
      <c r="AT396">
        <v>4.4000000000000004</v>
      </c>
      <c r="AU396">
        <v>11616</v>
      </c>
      <c r="AV396">
        <v>7</v>
      </c>
      <c r="AW396">
        <v>2012</v>
      </c>
    </row>
    <row r="397" spans="1:49" x14ac:dyDescent="0.25">
      <c r="A397" t="s">
        <v>444</v>
      </c>
      <c r="B397" t="s">
        <v>445</v>
      </c>
      <c r="C397">
        <v>4.4000000000000004</v>
      </c>
      <c r="D397">
        <v>11616</v>
      </c>
      <c r="E397">
        <v>7</v>
      </c>
      <c r="F397">
        <v>2013</v>
      </c>
      <c r="G397" t="s">
        <v>10</v>
      </c>
      <c r="AT397">
        <v>4.4000000000000004</v>
      </c>
      <c r="AU397">
        <v>11616</v>
      </c>
      <c r="AV397">
        <v>7</v>
      </c>
      <c r="AW397">
        <v>2013</v>
      </c>
    </row>
    <row r="398" spans="1:49" x14ac:dyDescent="0.25">
      <c r="A398" t="s">
        <v>444</v>
      </c>
      <c r="B398" t="s">
        <v>445</v>
      </c>
      <c r="C398">
        <v>4.4000000000000004</v>
      </c>
      <c r="D398">
        <v>11616</v>
      </c>
      <c r="E398">
        <v>7</v>
      </c>
      <c r="F398">
        <v>2014</v>
      </c>
      <c r="G398" t="s">
        <v>10</v>
      </c>
      <c r="AT398">
        <v>4.4000000000000004</v>
      </c>
      <c r="AU398">
        <v>11616</v>
      </c>
      <c r="AV398">
        <v>7</v>
      </c>
      <c r="AW398">
        <v>2014</v>
      </c>
    </row>
    <row r="399" spans="1:49" x14ac:dyDescent="0.25">
      <c r="A399" t="s">
        <v>446</v>
      </c>
      <c r="B399" t="s">
        <v>375</v>
      </c>
      <c r="C399">
        <v>4.5</v>
      </c>
      <c r="D399">
        <v>13609</v>
      </c>
      <c r="E399">
        <v>14</v>
      </c>
      <c r="F399">
        <v>2019</v>
      </c>
      <c r="G399" t="s">
        <v>10</v>
      </c>
      <c r="AT399">
        <v>4.5</v>
      </c>
      <c r="AU399">
        <v>13609</v>
      </c>
      <c r="AV399">
        <v>14</v>
      </c>
      <c r="AW399">
        <v>2019</v>
      </c>
    </row>
    <row r="400" spans="1:49" x14ac:dyDescent="0.25">
      <c r="A400" t="s">
        <v>447</v>
      </c>
      <c r="B400" t="s">
        <v>448</v>
      </c>
      <c r="C400">
        <v>4.7</v>
      </c>
      <c r="D400">
        <v>8587</v>
      </c>
      <c r="E400">
        <v>10</v>
      </c>
      <c r="F400">
        <v>2009</v>
      </c>
      <c r="G400" t="s">
        <v>10</v>
      </c>
      <c r="AT400">
        <v>4.7</v>
      </c>
      <c r="AU400">
        <v>8587</v>
      </c>
      <c r="AV400">
        <v>10</v>
      </c>
      <c r="AW400">
        <v>2009</v>
      </c>
    </row>
    <row r="401" spans="1:49" x14ac:dyDescent="0.25">
      <c r="A401" t="s">
        <v>449</v>
      </c>
      <c r="B401" t="s">
        <v>450</v>
      </c>
      <c r="C401">
        <v>4.3</v>
      </c>
      <c r="D401">
        <v>29442</v>
      </c>
      <c r="E401">
        <v>7</v>
      </c>
      <c r="F401">
        <v>2017</v>
      </c>
      <c r="G401" t="s">
        <v>10</v>
      </c>
      <c r="AT401">
        <v>4.3</v>
      </c>
      <c r="AU401">
        <v>29442</v>
      </c>
      <c r="AV401">
        <v>7</v>
      </c>
      <c r="AW401">
        <v>2017</v>
      </c>
    </row>
    <row r="402" spans="1:49" x14ac:dyDescent="0.25">
      <c r="A402" t="s">
        <v>451</v>
      </c>
      <c r="B402" t="s">
        <v>452</v>
      </c>
      <c r="C402">
        <v>4.5999999999999996</v>
      </c>
      <c r="D402">
        <v>11098</v>
      </c>
      <c r="E402">
        <v>13</v>
      </c>
      <c r="F402">
        <v>2012</v>
      </c>
      <c r="G402" t="s">
        <v>10</v>
      </c>
      <c r="AT402">
        <v>4.5999999999999996</v>
      </c>
      <c r="AU402">
        <v>11098</v>
      </c>
      <c r="AV402">
        <v>13</v>
      </c>
      <c r="AW402">
        <v>2012</v>
      </c>
    </row>
    <row r="403" spans="1:49" x14ac:dyDescent="0.25">
      <c r="A403" t="s">
        <v>453</v>
      </c>
      <c r="B403" t="s">
        <v>454</v>
      </c>
      <c r="C403">
        <v>4.8</v>
      </c>
      <c r="D403">
        <v>9947</v>
      </c>
      <c r="E403">
        <v>11</v>
      </c>
      <c r="F403">
        <v>2018</v>
      </c>
      <c r="G403" t="s">
        <v>10</v>
      </c>
      <c r="AT403">
        <v>4.8</v>
      </c>
      <c r="AU403">
        <v>9947</v>
      </c>
      <c r="AV403">
        <v>11</v>
      </c>
      <c r="AW403">
        <v>2018</v>
      </c>
    </row>
    <row r="404" spans="1:49" x14ac:dyDescent="0.25">
      <c r="A404" t="s">
        <v>455</v>
      </c>
      <c r="B404" t="s">
        <v>456</v>
      </c>
      <c r="C404">
        <v>4.8</v>
      </c>
      <c r="D404">
        <v>13871</v>
      </c>
      <c r="E404">
        <v>6</v>
      </c>
      <c r="F404">
        <v>2009</v>
      </c>
      <c r="G404" t="s">
        <v>10</v>
      </c>
      <c r="AT404">
        <v>4.8</v>
      </c>
      <c r="AU404">
        <v>13871</v>
      </c>
      <c r="AV404">
        <v>6</v>
      </c>
      <c r="AW404">
        <v>2009</v>
      </c>
    </row>
    <row r="405" spans="1:49" x14ac:dyDescent="0.25">
      <c r="A405" t="s">
        <v>455</v>
      </c>
      <c r="B405" t="s">
        <v>456</v>
      </c>
      <c r="C405">
        <v>4.8</v>
      </c>
      <c r="D405">
        <v>13871</v>
      </c>
      <c r="E405">
        <v>6</v>
      </c>
      <c r="F405">
        <v>2010</v>
      </c>
      <c r="G405" t="s">
        <v>10</v>
      </c>
      <c r="AT405">
        <v>4.8</v>
      </c>
      <c r="AU405">
        <v>13871</v>
      </c>
      <c r="AV405">
        <v>6</v>
      </c>
      <c r="AW405">
        <v>2010</v>
      </c>
    </row>
    <row r="406" spans="1:49" x14ac:dyDescent="0.25">
      <c r="A406" t="s">
        <v>455</v>
      </c>
      <c r="B406" t="s">
        <v>456</v>
      </c>
      <c r="C406">
        <v>4.8</v>
      </c>
      <c r="D406">
        <v>13871</v>
      </c>
      <c r="E406">
        <v>8</v>
      </c>
      <c r="F406">
        <v>2011</v>
      </c>
      <c r="G406" t="s">
        <v>10</v>
      </c>
      <c r="AT406">
        <v>4.8</v>
      </c>
      <c r="AU406">
        <v>13871</v>
      </c>
      <c r="AV406">
        <v>8</v>
      </c>
      <c r="AW406">
        <v>2011</v>
      </c>
    </row>
    <row r="407" spans="1:49" x14ac:dyDescent="0.25">
      <c r="A407" t="s">
        <v>455</v>
      </c>
      <c r="B407" t="s">
        <v>456</v>
      </c>
      <c r="C407">
        <v>4.8</v>
      </c>
      <c r="D407">
        <v>13871</v>
      </c>
      <c r="E407">
        <v>7</v>
      </c>
      <c r="F407">
        <v>2011</v>
      </c>
      <c r="G407" t="s">
        <v>10</v>
      </c>
      <c r="AT407">
        <v>4.8</v>
      </c>
      <c r="AU407">
        <v>13871</v>
      </c>
      <c r="AV407">
        <v>7</v>
      </c>
      <c r="AW407">
        <v>2011</v>
      </c>
    </row>
    <row r="408" spans="1:49" x14ac:dyDescent="0.25">
      <c r="A408" t="s">
        <v>457</v>
      </c>
      <c r="B408" t="s">
        <v>331</v>
      </c>
      <c r="C408">
        <v>4.8</v>
      </c>
      <c r="D408">
        <v>6982</v>
      </c>
      <c r="E408">
        <v>14</v>
      </c>
      <c r="F408">
        <v>2013</v>
      </c>
      <c r="G408" t="s">
        <v>10</v>
      </c>
      <c r="AT408">
        <v>4.8</v>
      </c>
      <c r="AU408">
        <v>6982</v>
      </c>
      <c r="AV408">
        <v>14</v>
      </c>
      <c r="AW408">
        <v>2013</v>
      </c>
    </row>
    <row r="409" spans="1:49" x14ac:dyDescent="0.25">
      <c r="A409" t="s">
        <v>458</v>
      </c>
      <c r="B409" t="s">
        <v>86</v>
      </c>
      <c r="C409">
        <v>4.7</v>
      </c>
      <c r="D409">
        <v>32122</v>
      </c>
      <c r="E409">
        <v>14</v>
      </c>
      <c r="F409">
        <v>2010</v>
      </c>
      <c r="G409" t="s">
        <v>10</v>
      </c>
      <c r="AT409">
        <v>4.7</v>
      </c>
      <c r="AU409">
        <v>32122</v>
      </c>
      <c r="AV409">
        <v>14</v>
      </c>
      <c r="AW409">
        <v>2010</v>
      </c>
    </row>
    <row r="410" spans="1:49" x14ac:dyDescent="0.25">
      <c r="A410" t="s">
        <v>459</v>
      </c>
      <c r="B410" t="s">
        <v>86</v>
      </c>
      <c r="C410">
        <v>4.7</v>
      </c>
      <c r="D410">
        <v>32122</v>
      </c>
      <c r="E410">
        <v>8</v>
      </c>
      <c r="F410">
        <v>2011</v>
      </c>
      <c r="G410" t="s">
        <v>10</v>
      </c>
      <c r="AT410">
        <v>4.7</v>
      </c>
      <c r="AU410">
        <v>32122</v>
      </c>
      <c r="AV410">
        <v>8</v>
      </c>
      <c r="AW410">
        <v>2011</v>
      </c>
    </row>
    <row r="411" spans="1:49" x14ac:dyDescent="0.25">
      <c r="A411" t="s">
        <v>459</v>
      </c>
      <c r="B411" t="s">
        <v>86</v>
      </c>
      <c r="C411">
        <v>4.7</v>
      </c>
      <c r="D411">
        <v>32122</v>
      </c>
      <c r="E411">
        <v>8</v>
      </c>
      <c r="F411">
        <v>2012</v>
      </c>
      <c r="G411" t="s">
        <v>10</v>
      </c>
      <c r="AT411">
        <v>4.7</v>
      </c>
      <c r="AU411">
        <v>32122</v>
      </c>
      <c r="AV411">
        <v>8</v>
      </c>
      <c r="AW411">
        <v>2012</v>
      </c>
    </row>
    <row r="412" spans="1:49" x14ac:dyDescent="0.25">
      <c r="A412" t="s">
        <v>460</v>
      </c>
      <c r="B412" t="s">
        <v>86</v>
      </c>
      <c r="C412">
        <v>4.8</v>
      </c>
      <c r="D412">
        <v>16949</v>
      </c>
      <c r="E412">
        <v>30</v>
      </c>
      <c r="F412">
        <v>2011</v>
      </c>
      <c r="G412" t="s">
        <v>10</v>
      </c>
      <c r="AT412">
        <v>4.8</v>
      </c>
      <c r="AU412">
        <v>16949</v>
      </c>
      <c r="AV412">
        <v>30</v>
      </c>
      <c r="AW412">
        <v>2011</v>
      </c>
    </row>
    <row r="413" spans="1:49" x14ac:dyDescent="0.25">
      <c r="A413" t="s">
        <v>460</v>
      </c>
      <c r="B413" t="s">
        <v>86</v>
      </c>
      <c r="C413">
        <v>4.8</v>
      </c>
      <c r="D413">
        <v>16949</v>
      </c>
      <c r="E413">
        <v>30</v>
      </c>
      <c r="F413">
        <v>2012</v>
      </c>
      <c r="G413" t="s">
        <v>10</v>
      </c>
      <c r="AT413">
        <v>4.8</v>
      </c>
      <c r="AU413">
        <v>16949</v>
      </c>
      <c r="AV413">
        <v>30</v>
      </c>
      <c r="AW413">
        <v>2012</v>
      </c>
    </row>
    <row r="414" spans="1:49" x14ac:dyDescent="0.25">
      <c r="A414" t="s">
        <v>461</v>
      </c>
      <c r="B414" t="s">
        <v>462</v>
      </c>
      <c r="C414">
        <v>4.7</v>
      </c>
      <c r="D414">
        <v>9289</v>
      </c>
      <c r="E414">
        <v>13</v>
      </c>
      <c r="F414">
        <v>2010</v>
      </c>
      <c r="G414" t="s">
        <v>8</v>
      </c>
      <c r="AT414">
        <v>4.7</v>
      </c>
      <c r="AU414">
        <v>9289</v>
      </c>
      <c r="AV414">
        <v>13</v>
      </c>
      <c r="AW414">
        <v>2010</v>
      </c>
    </row>
    <row r="415" spans="1:49" x14ac:dyDescent="0.25">
      <c r="A415" t="s">
        <v>461</v>
      </c>
      <c r="B415" t="s">
        <v>462</v>
      </c>
      <c r="C415">
        <v>4.7</v>
      </c>
      <c r="D415">
        <v>9289</v>
      </c>
      <c r="E415">
        <v>9</v>
      </c>
      <c r="F415">
        <v>2011</v>
      </c>
      <c r="G415" t="s">
        <v>8</v>
      </c>
      <c r="AT415">
        <v>4.7</v>
      </c>
      <c r="AU415">
        <v>9289</v>
      </c>
      <c r="AV415">
        <v>9</v>
      </c>
      <c r="AW415">
        <v>2011</v>
      </c>
    </row>
    <row r="416" spans="1:49" x14ac:dyDescent="0.25">
      <c r="A416" t="s">
        <v>461</v>
      </c>
      <c r="B416" t="s">
        <v>462</v>
      </c>
      <c r="C416">
        <v>4.7</v>
      </c>
      <c r="D416">
        <v>9289</v>
      </c>
      <c r="E416">
        <v>9</v>
      </c>
      <c r="F416">
        <v>2012</v>
      </c>
      <c r="G416" t="s">
        <v>8</v>
      </c>
      <c r="AT416">
        <v>4.7</v>
      </c>
      <c r="AU416">
        <v>9289</v>
      </c>
      <c r="AV416">
        <v>9</v>
      </c>
      <c r="AW416">
        <v>2012</v>
      </c>
    </row>
    <row r="417" spans="1:49" x14ac:dyDescent="0.25">
      <c r="A417" t="s">
        <v>463</v>
      </c>
      <c r="B417" t="s">
        <v>464</v>
      </c>
      <c r="C417">
        <v>4.3</v>
      </c>
      <c r="D417">
        <v>7368</v>
      </c>
      <c r="E417">
        <v>7</v>
      </c>
      <c r="F417">
        <v>2017</v>
      </c>
      <c r="G417" t="s">
        <v>8</v>
      </c>
      <c r="AT417">
        <v>4.3</v>
      </c>
      <c r="AU417">
        <v>7368</v>
      </c>
      <c r="AV417">
        <v>7</v>
      </c>
      <c r="AW417">
        <v>2017</v>
      </c>
    </row>
    <row r="418" spans="1:49" x14ac:dyDescent="0.25">
      <c r="A418" t="s">
        <v>463</v>
      </c>
      <c r="B418" t="s">
        <v>464</v>
      </c>
      <c r="C418">
        <v>4.3</v>
      </c>
      <c r="D418">
        <v>7368</v>
      </c>
      <c r="E418">
        <v>7</v>
      </c>
      <c r="F418">
        <v>2018</v>
      </c>
      <c r="G418" t="s">
        <v>8</v>
      </c>
      <c r="AT418">
        <v>4.3</v>
      </c>
      <c r="AU418">
        <v>7368</v>
      </c>
      <c r="AV418">
        <v>7</v>
      </c>
      <c r="AW418">
        <v>2018</v>
      </c>
    </row>
    <row r="419" spans="1:49" x14ac:dyDescent="0.25">
      <c r="A419" t="s">
        <v>465</v>
      </c>
      <c r="B419" t="s">
        <v>466</v>
      </c>
      <c r="C419">
        <v>4.7</v>
      </c>
      <c r="D419">
        <v>4028</v>
      </c>
      <c r="E419">
        <v>9</v>
      </c>
      <c r="F419">
        <v>2009</v>
      </c>
      <c r="G419" t="s">
        <v>8</v>
      </c>
      <c r="AT419">
        <v>4.7</v>
      </c>
      <c r="AU419">
        <v>4028</v>
      </c>
      <c r="AV419">
        <v>9</v>
      </c>
      <c r="AW419">
        <v>2009</v>
      </c>
    </row>
    <row r="420" spans="1:49" x14ac:dyDescent="0.25">
      <c r="A420" t="s">
        <v>467</v>
      </c>
      <c r="B420" t="s">
        <v>331</v>
      </c>
      <c r="C420">
        <v>4.8</v>
      </c>
      <c r="D420">
        <v>4628</v>
      </c>
      <c r="E420">
        <v>7</v>
      </c>
      <c r="F420">
        <v>2009</v>
      </c>
      <c r="G420" t="s">
        <v>10</v>
      </c>
      <c r="AT420">
        <v>4.8</v>
      </c>
      <c r="AU420">
        <v>4628</v>
      </c>
      <c r="AV420">
        <v>7</v>
      </c>
      <c r="AW420">
        <v>2009</v>
      </c>
    </row>
    <row r="421" spans="1:49" x14ac:dyDescent="0.25">
      <c r="A421" t="s">
        <v>467</v>
      </c>
      <c r="B421" t="s">
        <v>331</v>
      </c>
      <c r="C421">
        <v>4.8</v>
      </c>
      <c r="D421">
        <v>4628</v>
      </c>
      <c r="E421">
        <v>7</v>
      </c>
      <c r="F421">
        <v>2010</v>
      </c>
      <c r="G421" t="s">
        <v>10</v>
      </c>
      <c r="AT421">
        <v>4.8</v>
      </c>
      <c r="AU421">
        <v>4628</v>
      </c>
      <c r="AV421">
        <v>7</v>
      </c>
      <c r="AW421">
        <v>2010</v>
      </c>
    </row>
    <row r="422" spans="1:49" x14ac:dyDescent="0.25">
      <c r="A422" t="s">
        <v>468</v>
      </c>
      <c r="B422" t="s">
        <v>469</v>
      </c>
      <c r="C422">
        <v>4.9000000000000004</v>
      </c>
      <c r="D422">
        <v>5396</v>
      </c>
      <c r="E422">
        <v>20</v>
      </c>
      <c r="F422">
        <v>2013</v>
      </c>
      <c r="G422" t="s">
        <v>10</v>
      </c>
      <c r="AT422">
        <v>4.9000000000000004</v>
      </c>
      <c r="AU422">
        <v>5396</v>
      </c>
      <c r="AV422">
        <v>20</v>
      </c>
      <c r="AW422">
        <v>2013</v>
      </c>
    </row>
    <row r="423" spans="1:49" x14ac:dyDescent="0.25">
      <c r="A423" t="s">
        <v>470</v>
      </c>
      <c r="B423" t="s">
        <v>471</v>
      </c>
      <c r="C423">
        <v>4.4000000000000004</v>
      </c>
      <c r="D423">
        <v>4247</v>
      </c>
      <c r="E423">
        <v>13</v>
      </c>
      <c r="F423">
        <v>2011</v>
      </c>
      <c r="G423" t="s">
        <v>8</v>
      </c>
      <c r="AT423">
        <v>4.4000000000000004</v>
      </c>
      <c r="AU423">
        <v>4247</v>
      </c>
      <c r="AV423">
        <v>13</v>
      </c>
      <c r="AW423">
        <v>2011</v>
      </c>
    </row>
    <row r="424" spans="1:49" x14ac:dyDescent="0.25">
      <c r="A424" t="s">
        <v>470</v>
      </c>
      <c r="B424" t="s">
        <v>471</v>
      </c>
      <c r="C424">
        <v>4.4000000000000004</v>
      </c>
      <c r="D424">
        <v>4247</v>
      </c>
      <c r="E424">
        <v>13</v>
      </c>
      <c r="F424">
        <v>2012</v>
      </c>
      <c r="G424" t="s">
        <v>8</v>
      </c>
      <c r="AT424">
        <v>4.4000000000000004</v>
      </c>
      <c r="AU424">
        <v>4247</v>
      </c>
      <c r="AV424">
        <v>13</v>
      </c>
      <c r="AW424">
        <v>2012</v>
      </c>
    </row>
    <row r="425" spans="1:49" x14ac:dyDescent="0.25">
      <c r="A425" t="s">
        <v>472</v>
      </c>
      <c r="B425" t="s">
        <v>473</v>
      </c>
      <c r="C425">
        <v>4.5</v>
      </c>
      <c r="D425">
        <v>22641</v>
      </c>
      <c r="E425">
        <v>11</v>
      </c>
      <c r="F425">
        <v>2015</v>
      </c>
      <c r="G425" t="s">
        <v>8</v>
      </c>
      <c r="AT425">
        <v>4.5</v>
      </c>
      <c r="AU425">
        <v>22641</v>
      </c>
      <c r="AV425">
        <v>11</v>
      </c>
      <c r="AW425">
        <v>2015</v>
      </c>
    </row>
    <row r="426" spans="1:49" x14ac:dyDescent="0.25">
      <c r="A426" t="s">
        <v>472</v>
      </c>
      <c r="B426" t="s">
        <v>473</v>
      </c>
      <c r="C426">
        <v>4.5</v>
      </c>
      <c r="D426">
        <v>22641</v>
      </c>
      <c r="E426">
        <v>11</v>
      </c>
      <c r="F426">
        <v>2016</v>
      </c>
      <c r="G426" t="s">
        <v>8</v>
      </c>
      <c r="AT426">
        <v>4.5</v>
      </c>
      <c r="AU426">
        <v>22641</v>
      </c>
      <c r="AV426">
        <v>11</v>
      </c>
      <c r="AW426">
        <v>2016</v>
      </c>
    </row>
    <row r="427" spans="1:49" x14ac:dyDescent="0.25">
      <c r="A427" t="s">
        <v>472</v>
      </c>
      <c r="B427" t="s">
        <v>473</v>
      </c>
      <c r="C427">
        <v>4.5</v>
      </c>
      <c r="D427">
        <v>22641</v>
      </c>
      <c r="E427">
        <v>11</v>
      </c>
      <c r="F427">
        <v>2017</v>
      </c>
      <c r="G427" t="s">
        <v>8</v>
      </c>
      <c r="AT427">
        <v>4.5</v>
      </c>
      <c r="AU427">
        <v>22641</v>
      </c>
      <c r="AV427">
        <v>11</v>
      </c>
      <c r="AW427">
        <v>2017</v>
      </c>
    </row>
    <row r="428" spans="1:49" x14ac:dyDescent="0.25">
      <c r="A428" t="s">
        <v>472</v>
      </c>
      <c r="B428" t="s">
        <v>473</v>
      </c>
      <c r="C428">
        <v>4.5</v>
      </c>
      <c r="D428">
        <v>22641</v>
      </c>
      <c r="E428">
        <v>11</v>
      </c>
      <c r="F428">
        <v>2019</v>
      </c>
      <c r="G428" t="s">
        <v>8</v>
      </c>
      <c r="AT428">
        <v>4.5</v>
      </c>
      <c r="AU428">
        <v>22641</v>
      </c>
      <c r="AV428">
        <v>11</v>
      </c>
      <c r="AW428">
        <v>2019</v>
      </c>
    </row>
    <row r="429" spans="1:49" x14ac:dyDescent="0.25">
      <c r="A429" t="s">
        <v>474</v>
      </c>
      <c r="B429" t="s">
        <v>375</v>
      </c>
      <c r="C429">
        <v>4.4000000000000004</v>
      </c>
      <c r="D429">
        <v>6222</v>
      </c>
      <c r="E429">
        <v>18</v>
      </c>
      <c r="F429">
        <v>2011</v>
      </c>
      <c r="G429" t="s">
        <v>10</v>
      </c>
      <c r="AT429">
        <v>4.4000000000000004</v>
      </c>
      <c r="AU429">
        <v>6222</v>
      </c>
      <c r="AV429">
        <v>18</v>
      </c>
      <c r="AW429">
        <v>2011</v>
      </c>
    </row>
    <row r="430" spans="1:49" x14ac:dyDescent="0.25">
      <c r="A430" t="s">
        <v>475</v>
      </c>
      <c r="B430" t="s">
        <v>331</v>
      </c>
      <c r="C430">
        <v>4.8</v>
      </c>
      <c r="D430">
        <v>4506</v>
      </c>
      <c r="E430">
        <v>14</v>
      </c>
      <c r="F430">
        <v>2010</v>
      </c>
      <c r="G430" t="s">
        <v>10</v>
      </c>
      <c r="AT430">
        <v>4.8</v>
      </c>
      <c r="AU430">
        <v>4506</v>
      </c>
      <c r="AV430">
        <v>14</v>
      </c>
      <c r="AW430">
        <v>2010</v>
      </c>
    </row>
    <row r="431" spans="1:49" x14ac:dyDescent="0.25">
      <c r="A431" t="s">
        <v>476</v>
      </c>
      <c r="B431" t="s">
        <v>243</v>
      </c>
      <c r="C431">
        <v>4.2</v>
      </c>
      <c r="D431">
        <v>8747</v>
      </c>
      <c r="E431">
        <v>19</v>
      </c>
      <c r="F431">
        <v>2009</v>
      </c>
      <c r="G431" t="s">
        <v>10</v>
      </c>
      <c r="AT431">
        <v>4.2</v>
      </c>
      <c r="AU431">
        <v>8747</v>
      </c>
      <c r="AV431">
        <v>19</v>
      </c>
      <c r="AW431">
        <v>2009</v>
      </c>
    </row>
    <row r="432" spans="1:49" x14ac:dyDescent="0.25">
      <c r="A432" t="s">
        <v>477</v>
      </c>
      <c r="B432" t="s">
        <v>478</v>
      </c>
      <c r="C432">
        <v>4.8</v>
      </c>
      <c r="D432">
        <v>1655</v>
      </c>
      <c r="E432">
        <v>13</v>
      </c>
      <c r="F432">
        <v>2009</v>
      </c>
      <c r="G432" t="s">
        <v>8</v>
      </c>
      <c r="AT432">
        <v>4.8</v>
      </c>
      <c r="AU432">
        <v>1655</v>
      </c>
      <c r="AV432">
        <v>13</v>
      </c>
      <c r="AW432">
        <v>2009</v>
      </c>
    </row>
    <row r="433" spans="1:49" x14ac:dyDescent="0.25">
      <c r="A433" t="s">
        <v>479</v>
      </c>
      <c r="B433" t="s">
        <v>480</v>
      </c>
      <c r="C433">
        <v>4.9000000000000004</v>
      </c>
      <c r="D433">
        <v>7861</v>
      </c>
      <c r="E433">
        <v>5</v>
      </c>
      <c r="F433">
        <v>2016</v>
      </c>
      <c r="G433" t="s">
        <v>8</v>
      </c>
      <c r="AT433">
        <v>4.9000000000000004</v>
      </c>
      <c r="AU433">
        <v>7861</v>
      </c>
      <c r="AV433">
        <v>5</v>
      </c>
      <c r="AW433">
        <v>2016</v>
      </c>
    </row>
    <row r="434" spans="1:49" x14ac:dyDescent="0.25">
      <c r="A434" t="s">
        <v>481</v>
      </c>
      <c r="B434" t="s">
        <v>331</v>
      </c>
      <c r="C434">
        <v>4.8</v>
      </c>
      <c r="D434">
        <v>6247</v>
      </c>
      <c r="E434">
        <v>10</v>
      </c>
      <c r="F434">
        <v>2012</v>
      </c>
      <c r="G434" t="s">
        <v>10</v>
      </c>
      <c r="AT434">
        <v>4.8</v>
      </c>
      <c r="AU434">
        <v>6247</v>
      </c>
      <c r="AV434">
        <v>10</v>
      </c>
      <c r="AW434">
        <v>2012</v>
      </c>
    </row>
    <row r="435" spans="1:49" x14ac:dyDescent="0.25">
      <c r="A435" t="s">
        <v>482</v>
      </c>
      <c r="B435" t="s">
        <v>483</v>
      </c>
      <c r="C435">
        <v>4.7</v>
      </c>
      <c r="D435">
        <v>39459</v>
      </c>
      <c r="E435">
        <v>9</v>
      </c>
      <c r="F435">
        <v>2015</v>
      </c>
      <c r="G435" t="s">
        <v>10</v>
      </c>
      <c r="AT435">
        <v>4.7</v>
      </c>
      <c r="AU435">
        <v>39459</v>
      </c>
      <c r="AV435">
        <v>9</v>
      </c>
      <c r="AW435">
        <v>2015</v>
      </c>
    </row>
    <row r="436" spans="1:49" x14ac:dyDescent="0.25">
      <c r="A436" t="s">
        <v>484</v>
      </c>
      <c r="B436" t="s">
        <v>485</v>
      </c>
      <c r="C436">
        <v>4.5</v>
      </c>
      <c r="D436">
        <v>10101</v>
      </c>
      <c r="E436">
        <v>8</v>
      </c>
      <c r="F436">
        <v>2014</v>
      </c>
      <c r="G436" t="s">
        <v>10</v>
      </c>
      <c r="AT436">
        <v>4.5</v>
      </c>
      <c r="AU436">
        <v>10101</v>
      </c>
      <c r="AV436">
        <v>8</v>
      </c>
      <c r="AW436">
        <v>2014</v>
      </c>
    </row>
    <row r="437" spans="1:49" x14ac:dyDescent="0.25">
      <c r="A437" t="s">
        <v>486</v>
      </c>
      <c r="B437" t="s">
        <v>78</v>
      </c>
      <c r="C437">
        <v>4.8</v>
      </c>
      <c r="D437">
        <v>5898</v>
      </c>
      <c r="E437">
        <v>8</v>
      </c>
      <c r="F437">
        <v>2018</v>
      </c>
      <c r="G437" t="s">
        <v>10</v>
      </c>
      <c r="AT437">
        <v>4.8</v>
      </c>
      <c r="AU437">
        <v>5898</v>
      </c>
      <c r="AV437">
        <v>8</v>
      </c>
      <c r="AW437">
        <v>2018</v>
      </c>
    </row>
    <row r="438" spans="1:49" x14ac:dyDescent="0.25">
      <c r="A438" t="s">
        <v>487</v>
      </c>
      <c r="B438" t="s">
        <v>488</v>
      </c>
      <c r="C438">
        <v>4.5999999999999996</v>
      </c>
      <c r="D438">
        <v>2744</v>
      </c>
      <c r="E438">
        <v>12</v>
      </c>
      <c r="F438">
        <v>2019</v>
      </c>
      <c r="G438" t="s">
        <v>8</v>
      </c>
      <c r="AT438">
        <v>4.5999999999999996</v>
      </c>
      <c r="AU438">
        <v>2744</v>
      </c>
      <c r="AV438">
        <v>12</v>
      </c>
      <c r="AW438">
        <v>2019</v>
      </c>
    </row>
    <row r="439" spans="1:49" x14ac:dyDescent="0.25">
      <c r="A439" t="s">
        <v>489</v>
      </c>
      <c r="B439" t="s">
        <v>490</v>
      </c>
      <c r="C439">
        <v>4.8</v>
      </c>
      <c r="D439">
        <v>49288</v>
      </c>
      <c r="E439">
        <v>11</v>
      </c>
      <c r="F439">
        <v>2015</v>
      </c>
      <c r="G439" t="s">
        <v>10</v>
      </c>
      <c r="AT439">
        <v>4.8</v>
      </c>
      <c r="AU439">
        <v>49288</v>
      </c>
      <c r="AV439">
        <v>11</v>
      </c>
      <c r="AW439">
        <v>2015</v>
      </c>
    </row>
    <row r="440" spans="1:49" x14ac:dyDescent="0.25">
      <c r="A440" t="s">
        <v>489</v>
      </c>
      <c r="B440" t="s">
        <v>490</v>
      </c>
      <c r="C440">
        <v>4.8</v>
      </c>
      <c r="D440">
        <v>49288</v>
      </c>
      <c r="E440">
        <v>11</v>
      </c>
      <c r="F440">
        <v>2016</v>
      </c>
      <c r="G440" t="s">
        <v>10</v>
      </c>
      <c r="AT440">
        <v>4.8</v>
      </c>
      <c r="AU440">
        <v>49288</v>
      </c>
      <c r="AV440">
        <v>11</v>
      </c>
      <c r="AW440">
        <v>2016</v>
      </c>
    </row>
    <row r="441" spans="1:49" x14ac:dyDescent="0.25">
      <c r="A441" t="s">
        <v>491</v>
      </c>
      <c r="B441" t="s">
        <v>492</v>
      </c>
      <c r="C441">
        <v>4.4000000000000004</v>
      </c>
      <c r="D441">
        <v>1201</v>
      </c>
      <c r="E441">
        <v>40</v>
      </c>
      <c r="F441">
        <v>2010</v>
      </c>
      <c r="G441" t="s">
        <v>8</v>
      </c>
      <c r="AT441">
        <v>4.4000000000000004</v>
      </c>
      <c r="AU441">
        <v>1201</v>
      </c>
      <c r="AV441">
        <v>40</v>
      </c>
      <c r="AW441">
        <v>2010</v>
      </c>
    </row>
    <row r="442" spans="1:49" x14ac:dyDescent="0.25">
      <c r="A442" t="s">
        <v>491</v>
      </c>
      <c r="B442" t="s">
        <v>492</v>
      </c>
      <c r="C442">
        <v>4.4000000000000004</v>
      </c>
      <c r="D442">
        <v>1201</v>
      </c>
      <c r="E442">
        <v>40</v>
      </c>
      <c r="F442">
        <v>2011</v>
      </c>
      <c r="G442" t="s">
        <v>8</v>
      </c>
      <c r="AT442">
        <v>4.4000000000000004</v>
      </c>
      <c r="AU442">
        <v>1201</v>
      </c>
      <c r="AV442">
        <v>40</v>
      </c>
      <c r="AW442">
        <v>2011</v>
      </c>
    </row>
    <row r="443" spans="1:49" x14ac:dyDescent="0.25">
      <c r="A443" t="s">
        <v>491</v>
      </c>
      <c r="B443" t="s">
        <v>492</v>
      </c>
      <c r="C443">
        <v>4.4000000000000004</v>
      </c>
      <c r="D443">
        <v>1201</v>
      </c>
      <c r="E443">
        <v>40</v>
      </c>
      <c r="F443">
        <v>2012</v>
      </c>
      <c r="G443" t="s">
        <v>8</v>
      </c>
      <c r="AT443">
        <v>4.4000000000000004</v>
      </c>
      <c r="AU443">
        <v>1201</v>
      </c>
      <c r="AV443">
        <v>40</v>
      </c>
      <c r="AW443">
        <v>2012</v>
      </c>
    </row>
    <row r="444" spans="1:49" x14ac:dyDescent="0.25">
      <c r="A444" t="s">
        <v>491</v>
      </c>
      <c r="B444" t="s">
        <v>492</v>
      </c>
      <c r="C444">
        <v>4.4000000000000004</v>
      </c>
      <c r="D444">
        <v>1201</v>
      </c>
      <c r="E444">
        <v>40</v>
      </c>
      <c r="F444">
        <v>2013</v>
      </c>
      <c r="G444" t="s">
        <v>8</v>
      </c>
      <c r="AT444">
        <v>4.4000000000000004</v>
      </c>
      <c r="AU444">
        <v>1201</v>
      </c>
      <c r="AV444">
        <v>40</v>
      </c>
      <c r="AW444">
        <v>2013</v>
      </c>
    </row>
    <row r="445" spans="1:49" x14ac:dyDescent="0.25">
      <c r="A445" t="s">
        <v>491</v>
      </c>
      <c r="B445" t="s">
        <v>492</v>
      </c>
      <c r="C445">
        <v>4.4000000000000004</v>
      </c>
      <c r="D445">
        <v>1201</v>
      </c>
      <c r="E445">
        <v>40</v>
      </c>
      <c r="F445">
        <v>2014</v>
      </c>
      <c r="G445" t="s">
        <v>8</v>
      </c>
      <c r="AT445">
        <v>4.4000000000000004</v>
      </c>
      <c r="AU445">
        <v>1201</v>
      </c>
      <c r="AV445">
        <v>40</v>
      </c>
      <c r="AW445">
        <v>2014</v>
      </c>
    </row>
    <row r="446" spans="1:49" x14ac:dyDescent="0.25">
      <c r="A446" t="s">
        <v>493</v>
      </c>
      <c r="B446" t="s">
        <v>492</v>
      </c>
      <c r="C446">
        <v>4.3</v>
      </c>
      <c r="D446">
        <v>807</v>
      </c>
      <c r="E446">
        <v>36</v>
      </c>
      <c r="F446">
        <v>2016</v>
      </c>
      <c r="G446" t="s">
        <v>8</v>
      </c>
      <c r="AT446">
        <v>4.3</v>
      </c>
      <c r="AU446">
        <v>807</v>
      </c>
      <c r="AV446">
        <v>36</v>
      </c>
      <c r="AW446">
        <v>2016</v>
      </c>
    </row>
    <row r="447" spans="1:49" x14ac:dyDescent="0.25">
      <c r="A447" t="s">
        <v>494</v>
      </c>
      <c r="B447" t="s">
        <v>495</v>
      </c>
      <c r="C447">
        <v>4.3</v>
      </c>
      <c r="D447">
        <v>3759</v>
      </c>
      <c r="E447">
        <v>16</v>
      </c>
      <c r="F447">
        <v>2011</v>
      </c>
      <c r="G447" t="s">
        <v>10</v>
      </c>
      <c r="AT447">
        <v>4.3</v>
      </c>
      <c r="AU447">
        <v>3759</v>
      </c>
      <c r="AV447">
        <v>16</v>
      </c>
      <c r="AW447">
        <v>2011</v>
      </c>
    </row>
    <row r="448" spans="1:49" x14ac:dyDescent="0.25">
      <c r="A448" t="s">
        <v>496</v>
      </c>
      <c r="B448" t="s">
        <v>497</v>
      </c>
      <c r="C448">
        <v>4.8</v>
      </c>
      <c r="D448">
        <v>2663</v>
      </c>
      <c r="E448">
        <v>17</v>
      </c>
      <c r="F448">
        <v>2013</v>
      </c>
      <c r="G448" t="s">
        <v>8</v>
      </c>
      <c r="AT448">
        <v>4.8</v>
      </c>
      <c r="AU448">
        <v>2663</v>
      </c>
      <c r="AV448">
        <v>17</v>
      </c>
      <c r="AW448">
        <v>2013</v>
      </c>
    </row>
    <row r="449" spans="1:49" x14ac:dyDescent="0.25">
      <c r="A449" t="s">
        <v>498</v>
      </c>
      <c r="B449" t="s">
        <v>497</v>
      </c>
      <c r="C449">
        <v>4.8</v>
      </c>
      <c r="D449">
        <v>3428</v>
      </c>
      <c r="E449">
        <v>14</v>
      </c>
      <c r="F449">
        <v>2015</v>
      </c>
      <c r="G449" t="s">
        <v>8</v>
      </c>
      <c r="AT449">
        <v>4.8</v>
      </c>
      <c r="AU449">
        <v>3428</v>
      </c>
      <c r="AV449">
        <v>14</v>
      </c>
      <c r="AW449">
        <v>2015</v>
      </c>
    </row>
    <row r="450" spans="1:49" x14ac:dyDescent="0.25">
      <c r="A450" t="s">
        <v>499</v>
      </c>
      <c r="B450" t="s">
        <v>497</v>
      </c>
      <c r="C450">
        <v>4.8</v>
      </c>
      <c r="D450">
        <v>2876</v>
      </c>
      <c r="E450">
        <v>21</v>
      </c>
      <c r="F450">
        <v>2012</v>
      </c>
      <c r="G450" t="s">
        <v>8</v>
      </c>
      <c r="AT450">
        <v>4.8</v>
      </c>
      <c r="AU450">
        <v>2876</v>
      </c>
      <c r="AV450">
        <v>21</v>
      </c>
      <c r="AW450">
        <v>2012</v>
      </c>
    </row>
    <row r="451" spans="1:49" x14ac:dyDescent="0.25">
      <c r="A451" t="s">
        <v>500</v>
      </c>
      <c r="B451" t="s">
        <v>501</v>
      </c>
      <c r="C451">
        <v>4.5</v>
      </c>
      <c r="D451">
        <v>3601</v>
      </c>
      <c r="E451">
        <v>18</v>
      </c>
      <c r="F451">
        <v>2018</v>
      </c>
      <c r="G451" t="s">
        <v>8</v>
      </c>
      <c r="AT451">
        <v>4.5</v>
      </c>
      <c r="AU451">
        <v>3601</v>
      </c>
      <c r="AV451">
        <v>18</v>
      </c>
      <c r="AW451">
        <v>2018</v>
      </c>
    </row>
    <row r="452" spans="1:49" x14ac:dyDescent="0.25">
      <c r="A452" t="s">
        <v>502</v>
      </c>
      <c r="B452" t="s">
        <v>501</v>
      </c>
      <c r="C452">
        <v>4.4000000000000004</v>
      </c>
      <c r="D452">
        <v>7058</v>
      </c>
      <c r="E452">
        <v>17</v>
      </c>
      <c r="F452">
        <v>2018</v>
      </c>
      <c r="G452" t="s">
        <v>8</v>
      </c>
      <c r="AT452">
        <v>4.4000000000000004</v>
      </c>
      <c r="AU452">
        <v>7058</v>
      </c>
      <c r="AV452">
        <v>17</v>
      </c>
      <c r="AW452">
        <v>2018</v>
      </c>
    </row>
    <row r="453" spans="1:49" x14ac:dyDescent="0.25">
      <c r="A453" t="s">
        <v>503</v>
      </c>
      <c r="B453" t="s">
        <v>504</v>
      </c>
      <c r="C453">
        <v>4.8</v>
      </c>
      <c r="D453">
        <v>9784</v>
      </c>
      <c r="E453">
        <v>5</v>
      </c>
      <c r="F453">
        <v>2017</v>
      </c>
      <c r="G453" t="s">
        <v>10</v>
      </c>
      <c r="AT453">
        <v>4.8</v>
      </c>
      <c r="AU453">
        <v>9784</v>
      </c>
      <c r="AV453">
        <v>5</v>
      </c>
      <c r="AW453">
        <v>2017</v>
      </c>
    </row>
    <row r="454" spans="1:49" x14ac:dyDescent="0.25">
      <c r="A454" t="s">
        <v>503</v>
      </c>
      <c r="B454" t="s">
        <v>504</v>
      </c>
      <c r="C454">
        <v>4.8</v>
      </c>
      <c r="D454">
        <v>9784</v>
      </c>
      <c r="E454">
        <v>5</v>
      </c>
      <c r="F454">
        <v>2018</v>
      </c>
      <c r="G454" t="s">
        <v>10</v>
      </c>
      <c r="AT454">
        <v>4.8</v>
      </c>
      <c r="AU454">
        <v>9784</v>
      </c>
      <c r="AV454">
        <v>5</v>
      </c>
      <c r="AW454">
        <v>2018</v>
      </c>
    </row>
    <row r="455" spans="1:49" x14ac:dyDescent="0.25">
      <c r="A455" t="s">
        <v>505</v>
      </c>
      <c r="B455" t="s">
        <v>506</v>
      </c>
      <c r="C455">
        <v>4.5999999999999996</v>
      </c>
      <c r="D455">
        <v>10795</v>
      </c>
      <c r="E455">
        <v>21</v>
      </c>
      <c r="F455">
        <v>2012</v>
      </c>
      <c r="G455" t="s">
        <v>8</v>
      </c>
      <c r="AT455">
        <v>4.5999999999999996</v>
      </c>
      <c r="AU455">
        <v>10795</v>
      </c>
      <c r="AV455">
        <v>21</v>
      </c>
      <c r="AW455">
        <v>2012</v>
      </c>
    </row>
    <row r="456" spans="1:49" x14ac:dyDescent="0.25">
      <c r="A456" t="s">
        <v>507</v>
      </c>
      <c r="B456" t="s">
        <v>235</v>
      </c>
      <c r="C456">
        <v>4.3</v>
      </c>
      <c r="D456">
        <v>10191</v>
      </c>
      <c r="E456">
        <v>18</v>
      </c>
      <c r="F456">
        <v>2018</v>
      </c>
      <c r="G456" t="s">
        <v>10</v>
      </c>
      <c r="AT456">
        <v>4.3</v>
      </c>
      <c r="AU456">
        <v>10191</v>
      </c>
      <c r="AV456">
        <v>18</v>
      </c>
      <c r="AW456">
        <v>2018</v>
      </c>
    </row>
    <row r="457" spans="1:49" x14ac:dyDescent="0.25">
      <c r="A457" t="s">
        <v>508</v>
      </c>
      <c r="B457" t="s">
        <v>375</v>
      </c>
      <c r="C457">
        <v>4.3</v>
      </c>
      <c r="D457">
        <v>14493</v>
      </c>
      <c r="E457">
        <v>18</v>
      </c>
      <c r="F457">
        <v>2012</v>
      </c>
      <c r="G457" t="s">
        <v>10</v>
      </c>
      <c r="AT457">
        <v>4.3</v>
      </c>
      <c r="AU457">
        <v>14493</v>
      </c>
      <c r="AV457">
        <v>18</v>
      </c>
      <c r="AW457">
        <v>2012</v>
      </c>
    </row>
    <row r="458" spans="1:49" x14ac:dyDescent="0.25">
      <c r="A458" t="s">
        <v>509</v>
      </c>
      <c r="B458" t="s">
        <v>331</v>
      </c>
      <c r="C458">
        <v>4.5999999999999996</v>
      </c>
      <c r="D458">
        <v>2186</v>
      </c>
      <c r="E458">
        <v>12</v>
      </c>
      <c r="F458">
        <v>2010</v>
      </c>
      <c r="G458" t="s">
        <v>10</v>
      </c>
      <c r="AT458">
        <v>4.5999999999999996</v>
      </c>
      <c r="AU458">
        <v>2186</v>
      </c>
      <c r="AV458">
        <v>12</v>
      </c>
      <c r="AW458">
        <v>2010</v>
      </c>
    </row>
    <row r="459" spans="1:49" x14ac:dyDescent="0.25">
      <c r="A459" t="s">
        <v>510</v>
      </c>
      <c r="B459" t="s">
        <v>511</v>
      </c>
      <c r="C459">
        <v>4.5999999999999996</v>
      </c>
      <c r="D459">
        <v>1204</v>
      </c>
      <c r="E459">
        <v>14</v>
      </c>
      <c r="F459">
        <v>2010</v>
      </c>
      <c r="G459" t="s">
        <v>8</v>
      </c>
      <c r="AT459">
        <v>4.5999999999999996</v>
      </c>
      <c r="AU459">
        <v>1204</v>
      </c>
      <c r="AV459">
        <v>14</v>
      </c>
      <c r="AW459">
        <v>2010</v>
      </c>
    </row>
    <row r="460" spans="1:49" x14ac:dyDescent="0.25">
      <c r="A460" t="s">
        <v>512</v>
      </c>
      <c r="B460" t="s">
        <v>331</v>
      </c>
      <c r="C460">
        <v>4.8</v>
      </c>
      <c r="D460">
        <v>2091</v>
      </c>
      <c r="E460">
        <v>12</v>
      </c>
      <c r="F460">
        <v>2012</v>
      </c>
      <c r="G460" t="s">
        <v>10</v>
      </c>
      <c r="AT460">
        <v>4.8</v>
      </c>
      <c r="AU460">
        <v>2091</v>
      </c>
      <c r="AV460">
        <v>12</v>
      </c>
      <c r="AW460">
        <v>2012</v>
      </c>
    </row>
    <row r="461" spans="1:49" x14ac:dyDescent="0.25">
      <c r="A461" t="s">
        <v>513</v>
      </c>
      <c r="B461" t="s">
        <v>514</v>
      </c>
      <c r="C461">
        <v>4.5999999999999996</v>
      </c>
      <c r="D461">
        <v>19720</v>
      </c>
      <c r="E461">
        <v>8</v>
      </c>
      <c r="F461">
        <v>2009</v>
      </c>
      <c r="G461" t="s">
        <v>10</v>
      </c>
      <c r="AT461">
        <v>4.5999999999999996</v>
      </c>
      <c r="AU461">
        <v>19720</v>
      </c>
      <c r="AV461">
        <v>8</v>
      </c>
      <c r="AW461">
        <v>2009</v>
      </c>
    </row>
    <row r="462" spans="1:49" x14ac:dyDescent="0.25">
      <c r="A462" t="s">
        <v>513</v>
      </c>
      <c r="B462" t="s">
        <v>514</v>
      </c>
      <c r="C462">
        <v>4.5999999999999996</v>
      </c>
      <c r="D462">
        <v>19720</v>
      </c>
      <c r="E462">
        <v>8</v>
      </c>
      <c r="F462">
        <v>2017</v>
      </c>
      <c r="G462" t="s">
        <v>10</v>
      </c>
      <c r="AT462">
        <v>4.5999999999999996</v>
      </c>
      <c r="AU462">
        <v>19720</v>
      </c>
      <c r="AV462">
        <v>8</v>
      </c>
      <c r="AW462">
        <v>2017</v>
      </c>
    </row>
    <row r="463" spans="1:49" x14ac:dyDescent="0.25">
      <c r="A463" t="s">
        <v>515</v>
      </c>
      <c r="B463" t="s">
        <v>73</v>
      </c>
      <c r="C463">
        <v>4.5999999999999996</v>
      </c>
      <c r="D463">
        <v>2122</v>
      </c>
      <c r="E463">
        <v>0</v>
      </c>
      <c r="F463">
        <v>2010</v>
      </c>
      <c r="G463" t="s">
        <v>10</v>
      </c>
      <c r="AT463">
        <v>4.5999999999999996</v>
      </c>
      <c r="AU463">
        <v>2122</v>
      </c>
      <c r="AV463">
        <v>0</v>
      </c>
      <c r="AW463">
        <v>2010</v>
      </c>
    </row>
    <row r="464" spans="1:49" x14ac:dyDescent="0.25">
      <c r="A464" t="s">
        <v>516</v>
      </c>
      <c r="B464" t="s">
        <v>517</v>
      </c>
      <c r="C464">
        <v>4.5</v>
      </c>
      <c r="D464">
        <v>27536</v>
      </c>
      <c r="E464">
        <v>14</v>
      </c>
      <c r="F464">
        <v>2019</v>
      </c>
      <c r="G464" t="s">
        <v>10</v>
      </c>
      <c r="AT464">
        <v>4.5</v>
      </c>
      <c r="AU464">
        <v>27536</v>
      </c>
      <c r="AV464">
        <v>14</v>
      </c>
      <c r="AW464">
        <v>2019</v>
      </c>
    </row>
    <row r="465" spans="1:49" x14ac:dyDescent="0.25">
      <c r="A465" t="s">
        <v>518</v>
      </c>
      <c r="B465" t="s">
        <v>331</v>
      </c>
      <c r="C465">
        <v>4.8</v>
      </c>
      <c r="D465">
        <v>4290</v>
      </c>
      <c r="E465">
        <v>10</v>
      </c>
      <c r="F465">
        <v>2011</v>
      </c>
      <c r="G465" t="s">
        <v>10</v>
      </c>
      <c r="AT465">
        <v>4.8</v>
      </c>
      <c r="AU465">
        <v>4290</v>
      </c>
      <c r="AV465">
        <v>10</v>
      </c>
      <c r="AW465">
        <v>2011</v>
      </c>
    </row>
    <row r="466" spans="1:49" x14ac:dyDescent="0.25">
      <c r="A466" t="s">
        <v>519</v>
      </c>
      <c r="B466" t="s">
        <v>520</v>
      </c>
      <c r="C466">
        <v>4.5999999999999996</v>
      </c>
      <c r="D466">
        <v>26490</v>
      </c>
      <c r="E466">
        <v>15</v>
      </c>
      <c r="F466">
        <v>2017</v>
      </c>
      <c r="G466" t="s">
        <v>8</v>
      </c>
      <c r="AT466">
        <v>4.5999999999999996</v>
      </c>
      <c r="AU466">
        <v>26490</v>
      </c>
      <c r="AV466">
        <v>15</v>
      </c>
      <c r="AW466">
        <v>2017</v>
      </c>
    </row>
    <row r="467" spans="1:49" x14ac:dyDescent="0.25">
      <c r="A467" t="s">
        <v>519</v>
      </c>
      <c r="B467" t="s">
        <v>520</v>
      </c>
      <c r="C467">
        <v>4.5999999999999996</v>
      </c>
      <c r="D467">
        <v>26490</v>
      </c>
      <c r="E467">
        <v>15</v>
      </c>
      <c r="F467">
        <v>2018</v>
      </c>
      <c r="G467" t="s">
        <v>8</v>
      </c>
      <c r="AT467">
        <v>4.5999999999999996</v>
      </c>
      <c r="AU467">
        <v>26490</v>
      </c>
      <c r="AV467">
        <v>15</v>
      </c>
      <c r="AW467">
        <v>2018</v>
      </c>
    </row>
    <row r="468" spans="1:49" x14ac:dyDescent="0.25">
      <c r="A468" t="s">
        <v>519</v>
      </c>
      <c r="B468" t="s">
        <v>520</v>
      </c>
      <c r="C468">
        <v>4.5999999999999996</v>
      </c>
      <c r="D468">
        <v>26490</v>
      </c>
      <c r="E468">
        <v>15</v>
      </c>
      <c r="F468">
        <v>2019</v>
      </c>
      <c r="G468" t="s">
        <v>8</v>
      </c>
      <c r="AT468">
        <v>4.5999999999999996</v>
      </c>
      <c r="AU468">
        <v>26490</v>
      </c>
      <c r="AV468">
        <v>15</v>
      </c>
      <c r="AW468">
        <v>2019</v>
      </c>
    </row>
    <row r="469" spans="1:49" x14ac:dyDescent="0.25">
      <c r="A469" t="s">
        <v>521</v>
      </c>
      <c r="B469" t="s">
        <v>299</v>
      </c>
      <c r="C469">
        <v>4.7</v>
      </c>
      <c r="D469">
        <v>5487</v>
      </c>
      <c r="E469">
        <v>9</v>
      </c>
      <c r="F469">
        <v>2017</v>
      </c>
      <c r="G469" t="s">
        <v>8</v>
      </c>
      <c r="AT469">
        <v>4.7</v>
      </c>
      <c r="AU469">
        <v>5487</v>
      </c>
      <c r="AV469">
        <v>9</v>
      </c>
      <c r="AW469">
        <v>2017</v>
      </c>
    </row>
    <row r="470" spans="1:49" x14ac:dyDescent="0.25">
      <c r="A470" t="s">
        <v>522</v>
      </c>
      <c r="B470" t="s">
        <v>78</v>
      </c>
      <c r="C470">
        <v>4.7</v>
      </c>
      <c r="D470">
        <v>6377</v>
      </c>
      <c r="E470">
        <v>7</v>
      </c>
      <c r="F470">
        <v>2012</v>
      </c>
      <c r="G470" t="s">
        <v>10</v>
      </c>
      <c r="AT470">
        <v>4.7</v>
      </c>
      <c r="AU470">
        <v>6377</v>
      </c>
      <c r="AV470">
        <v>7</v>
      </c>
      <c r="AW470">
        <v>2012</v>
      </c>
    </row>
    <row r="471" spans="1:49" x14ac:dyDescent="0.25">
      <c r="A471" t="s">
        <v>523</v>
      </c>
      <c r="B471" t="s">
        <v>331</v>
      </c>
      <c r="C471">
        <v>4.7</v>
      </c>
      <c r="D471">
        <v>1463</v>
      </c>
      <c r="E471">
        <v>10</v>
      </c>
      <c r="F471">
        <v>2011</v>
      </c>
      <c r="G471" t="s">
        <v>10</v>
      </c>
      <c r="AT471">
        <v>4.7</v>
      </c>
      <c r="AU471">
        <v>1463</v>
      </c>
      <c r="AV471">
        <v>10</v>
      </c>
      <c r="AW471">
        <v>2011</v>
      </c>
    </row>
    <row r="472" spans="1:49" x14ac:dyDescent="0.25">
      <c r="A472" t="s">
        <v>524</v>
      </c>
      <c r="B472" t="s">
        <v>525</v>
      </c>
      <c r="C472">
        <v>4.4000000000000004</v>
      </c>
      <c r="D472">
        <v>3759</v>
      </c>
      <c r="E472">
        <v>6</v>
      </c>
      <c r="F472">
        <v>2009</v>
      </c>
      <c r="G472" t="s">
        <v>10</v>
      </c>
      <c r="AT472">
        <v>4.4000000000000004</v>
      </c>
      <c r="AU472">
        <v>3759</v>
      </c>
      <c r="AV472">
        <v>6</v>
      </c>
      <c r="AW472">
        <v>2009</v>
      </c>
    </row>
    <row r="473" spans="1:49" x14ac:dyDescent="0.25">
      <c r="A473" t="s">
        <v>526</v>
      </c>
      <c r="B473" t="s">
        <v>101</v>
      </c>
      <c r="C473">
        <v>4.4000000000000004</v>
      </c>
      <c r="D473">
        <v>3503</v>
      </c>
      <c r="E473">
        <v>9</v>
      </c>
      <c r="F473">
        <v>2009</v>
      </c>
      <c r="G473" t="s">
        <v>8</v>
      </c>
      <c r="AT473">
        <v>4.4000000000000004</v>
      </c>
      <c r="AU473">
        <v>3503</v>
      </c>
      <c r="AV473">
        <v>9</v>
      </c>
      <c r="AW473">
        <v>2009</v>
      </c>
    </row>
    <row r="474" spans="1:49" x14ac:dyDescent="0.25">
      <c r="A474" t="s">
        <v>527</v>
      </c>
      <c r="B474" t="s">
        <v>528</v>
      </c>
      <c r="C474">
        <v>4.7</v>
      </c>
      <c r="D474">
        <v>11550</v>
      </c>
      <c r="E474">
        <v>10</v>
      </c>
      <c r="F474">
        <v>2019</v>
      </c>
      <c r="G474" t="s">
        <v>8</v>
      </c>
      <c r="AT474">
        <v>4.7</v>
      </c>
      <c r="AU474">
        <v>11550</v>
      </c>
      <c r="AV474">
        <v>10</v>
      </c>
      <c r="AW474">
        <v>2019</v>
      </c>
    </row>
    <row r="475" spans="1:49" x14ac:dyDescent="0.25">
      <c r="A475" t="s">
        <v>529</v>
      </c>
      <c r="B475" t="s">
        <v>73</v>
      </c>
      <c r="C475">
        <v>4.7</v>
      </c>
      <c r="D475">
        <v>3801</v>
      </c>
      <c r="E475">
        <v>82</v>
      </c>
      <c r="F475">
        <v>2009</v>
      </c>
      <c r="G475" t="s">
        <v>10</v>
      </c>
      <c r="AT475">
        <v>4.7</v>
      </c>
      <c r="AU475">
        <v>3801</v>
      </c>
      <c r="AV475">
        <v>82</v>
      </c>
      <c r="AW475">
        <v>2009</v>
      </c>
    </row>
    <row r="476" spans="1:49" x14ac:dyDescent="0.25">
      <c r="A476" t="s">
        <v>530</v>
      </c>
      <c r="B476" t="s">
        <v>78</v>
      </c>
      <c r="C476">
        <v>4.8</v>
      </c>
      <c r="D476">
        <v>3796</v>
      </c>
      <c r="E476">
        <v>12</v>
      </c>
      <c r="F476">
        <v>2010</v>
      </c>
      <c r="G476" t="s">
        <v>10</v>
      </c>
      <c r="AT476">
        <v>4.8</v>
      </c>
      <c r="AU476">
        <v>3796</v>
      </c>
      <c r="AV476">
        <v>12</v>
      </c>
      <c r="AW476">
        <v>2010</v>
      </c>
    </row>
    <row r="477" spans="1:49" x14ac:dyDescent="0.25">
      <c r="A477" t="s">
        <v>531</v>
      </c>
      <c r="B477" t="s">
        <v>532</v>
      </c>
      <c r="C477">
        <v>4.7</v>
      </c>
      <c r="D477">
        <v>9030</v>
      </c>
      <c r="E477">
        <v>10</v>
      </c>
      <c r="F477">
        <v>2019</v>
      </c>
      <c r="G477" t="s">
        <v>8</v>
      </c>
      <c r="AT477">
        <v>4.7</v>
      </c>
      <c r="AU477">
        <v>9030</v>
      </c>
      <c r="AV477">
        <v>10</v>
      </c>
      <c r="AW477">
        <v>2019</v>
      </c>
    </row>
    <row r="478" spans="1:49" x14ac:dyDescent="0.25">
      <c r="A478" t="s">
        <v>533</v>
      </c>
      <c r="B478" t="s">
        <v>534</v>
      </c>
      <c r="C478">
        <v>4.9000000000000004</v>
      </c>
      <c r="D478">
        <v>19546</v>
      </c>
      <c r="E478">
        <v>5</v>
      </c>
      <c r="F478">
        <v>2013</v>
      </c>
      <c r="G478" t="s">
        <v>10</v>
      </c>
      <c r="AT478">
        <v>4.9000000000000004</v>
      </c>
      <c r="AU478">
        <v>19546</v>
      </c>
      <c r="AV478">
        <v>5</v>
      </c>
      <c r="AW478">
        <v>2013</v>
      </c>
    </row>
    <row r="479" spans="1:49" x14ac:dyDescent="0.25">
      <c r="A479" t="s">
        <v>533</v>
      </c>
      <c r="B479" t="s">
        <v>534</v>
      </c>
      <c r="C479">
        <v>4.9000000000000004</v>
      </c>
      <c r="D479">
        <v>19546</v>
      </c>
      <c r="E479">
        <v>5</v>
      </c>
      <c r="F479">
        <v>2014</v>
      </c>
      <c r="G479" t="s">
        <v>10</v>
      </c>
      <c r="AT479">
        <v>4.9000000000000004</v>
      </c>
      <c r="AU479">
        <v>19546</v>
      </c>
      <c r="AV479">
        <v>5</v>
      </c>
      <c r="AW479">
        <v>2014</v>
      </c>
    </row>
    <row r="480" spans="1:49" x14ac:dyDescent="0.25">
      <c r="A480" t="s">
        <v>533</v>
      </c>
      <c r="B480" t="s">
        <v>534</v>
      </c>
      <c r="C480">
        <v>4.9000000000000004</v>
      </c>
      <c r="D480">
        <v>19546</v>
      </c>
      <c r="E480">
        <v>5</v>
      </c>
      <c r="F480">
        <v>2015</v>
      </c>
      <c r="G480" t="s">
        <v>10</v>
      </c>
      <c r="AT480">
        <v>4.9000000000000004</v>
      </c>
      <c r="AU480">
        <v>19546</v>
      </c>
      <c r="AV480">
        <v>5</v>
      </c>
      <c r="AW480">
        <v>2015</v>
      </c>
    </row>
    <row r="481" spans="1:49" x14ac:dyDescent="0.25">
      <c r="A481" t="s">
        <v>533</v>
      </c>
      <c r="B481" t="s">
        <v>534</v>
      </c>
      <c r="C481">
        <v>4.9000000000000004</v>
      </c>
      <c r="D481">
        <v>19546</v>
      </c>
      <c r="E481">
        <v>5</v>
      </c>
      <c r="F481">
        <v>2016</v>
      </c>
      <c r="G481" t="s">
        <v>10</v>
      </c>
      <c r="AT481">
        <v>4.9000000000000004</v>
      </c>
      <c r="AU481">
        <v>19546</v>
      </c>
      <c r="AV481">
        <v>5</v>
      </c>
      <c r="AW481">
        <v>2016</v>
      </c>
    </row>
    <row r="482" spans="1:49" x14ac:dyDescent="0.25">
      <c r="A482" t="s">
        <v>533</v>
      </c>
      <c r="B482" t="s">
        <v>534</v>
      </c>
      <c r="C482">
        <v>4.9000000000000004</v>
      </c>
      <c r="D482">
        <v>19546</v>
      </c>
      <c r="E482">
        <v>5</v>
      </c>
      <c r="F482">
        <v>2017</v>
      </c>
      <c r="G482" t="s">
        <v>10</v>
      </c>
      <c r="AT482">
        <v>4.9000000000000004</v>
      </c>
      <c r="AU482">
        <v>19546</v>
      </c>
      <c r="AV482">
        <v>5</v>
      </c>
      <c r="AW482">
        <v>2017</v>
      </c>
    </row>
    <row r="483" spans="1:49" x14ac:dyDescent="0.25">
      <c r="A483" t="s">
        <v>533</v>
      </c>
      <c r="B483" t="s">
        <v>534</v>
      </c>
      <c r="C483">
        <v>4.9000000000000004</v>
      </c>
      <c r="D483">
        <v>19546</v>
      </c>
      <c r="E483">
        <v>5</v>
      </c>
      <c r="F483">
        <v>2018</v>
      </c>
      <c r="G483" t="s">
        <v>10</v>
      </c>
      <c r="AT483">
        <v>4.9000000000000004</v>
      </c>
      <c r="AU483">
        <v>19546</v>
      </c>
      <c r="AV483">
        <v>5</v>
      </c>
      <c r="AW483">
        <v>2018</v>
      </c>
    </row>
    <row r="484" spans="1:49" x14ac:dyDescent="0.25">
      <c r="A484" t="s">
        <v>533</v>
      </c>
      <c r="B484" t="s">
        <v>534</v>
      </c>
      <c r="C484">
        <v>4.9000000000000004</v>
      </c>
      <c r="D484">
        <v>19546</v>
      </c>
      <c r="E484">
        <v>5</v>
      </c>
      <c r="F484">
        <v>2019</v>
      </c>
      <c r="G484" t="s">
        <v>10</v>
      </c>
      <c r="AT484">
        <v>4.9000000000000004</v>
      </c>
      <c r="AU484">
        <v>19546</v>
      </c>
      <c r="AV484">
        <v>5</v>
      </c>
      <c r="AW484">
        <v>2019</v>
      </c>
    </row>
    <row r="485" spans="1:49" x14ac:dyDescent="0.25">
      <c r="A485" t="s">
        <v>535</v>
      </c>
      <c r="B485" t="s">
        <v>536</v>
      </c>
      <c r="C485">
        <v>4.5999999999999996</v>
      </c>
      <c r="D485">
        <v>7508</v>
      </c>
      <c r="E485">
        <v>16</v>
      </c>
      <c r="F485">
        <v>2015</v>
      </c>
      <c r="G485" t="s">
        <v>8</v>
      </c>
      <c r="AT485">
        <v>4.5999999999999996</v>
      </c>
      <c r="AU485">
        <v>7508</v>
      </c>
      <c r="AV485">
        <v>16</v>
      </c>
      <c r="AW485">
        <v>2015</v>
      </c>
    </row>
    <row r="486" spans="1:49" x14ac:dyDescent="0.25">
      <c r="A486" t="s">
        <v>535</v>
      </c>
      <c r="B486" t="s">
        <v>536</v>
      </c>
      <c r="C486">
        <v>4.5999999999999996</v>
      </c>
      <c r="D486">
        <v>7508</v>
      </c>
      <c r="E486">
        <v>16</v>
      </c>
      <c r="F486">
        <v>2016</v>
      </c>
      <c r="G486" t="s">
        <v>8</v>
      </c>
      <c r="AT486">
        <v>4.5999999999999996</v>
      </c>
      <c r="AU486">
        <v>7508</v>
      </c>
      <c r="AV486">
        <v>16</v>
      </c>
      <c r="AW486">
        <v>2016</v>
      </c>
    </row>
    <row r="487" spans="1:49" x14ac:dyDescent="0.25">
      <c r="A487" t="s">
        <v>535</v>
      </c>
      <c r="B487" t="s">
        <v>536</v>
      </c>
      <c r="C487">
        <v>4.5999999999999996</v>
      </c>
      <c r="D487">
        <v>7508</v>
      </c>
      <c r="E487">
        <v>16</v>
      </c>
      <c r="F487">
        <v>2017</v>
      </c>
      <c r="G487" t="s">
        <v>8</v>
      </c>
      <c r="AT487">
        <v>4.5999999999999996</v>
      </c>
      <c r="AU487">
        <v>7508</v>
      </c>
      <c r="AV487">
        <v>16</v>
      </c>
      <c r="AW487">
        <v>2017</v>
      </c>
    </row>
    <row r="488" spans="1:49" x14ac:dyDescent="0.25">
      <c r="A488" t="s">
        <v>537</v>
      </c>
      <c r="B488" t="s">
        <v>538</v>
      </c>
      <c r="C488">
        <v>4.9000000000000004</v>
      </c>
      <c r="D488">
        <v>8842</v>
      </c>
      <c r="E488">
        <v>10</v>
      </c>
      <c r="F488">
        <v>2016</v>
      </c>
      <c r="G488" t="s">
        <v>10</v>
      </c>
      <c r="AT488">
        <v>4.9000000000000004</v>
      </c>
      <c r="AU488">
        <v>8842</v>
      </c>
      <c r="AV488">
        <v>10</v>
      </c>
      <c r="AW488">
        <v>2016</v>
      </c>
    </row>
    <row r="489" spans="1:49" x14ac:dyDescent="0.25">
      <c r="A489" t="s">
        <v>537</v>
      </c>
      <c r="B489" t="s">
        <v>538</v>
      </c>
      <c r="C489">
        <v>4.9000000000000004</v>
      </c>
      <c r="D489">
        <v>8842</v>
      </c>
      <c r="E489">
        <v>10</v>
      </c>
      <c r="F489">
        <v>2017</v>
      </c>
      <c r="G489" t="s">
        <v>10</v>
      </c>
      <c r="AT489">
        <v>4.9000000000000004</v>
      </c>
      <c r="AU489">
        <v>8842</v>
      </c>
      <c r="AV489">
        <v>10</v>
      </c>
      <c r="AW489">
        <v>2017</v>
      </c>
    </row>
    <row r="490" spans="1:49" x14ac:dyDescent="0.25">
      <c r="A490" t="s">
        <v>537</v>
      </c>
      <c r="B490" t="s">
        <v>538</v>
      </c>
      <c r="C490">
        <v>4.9000000000000004</v>
      </c>
      <c r="D490">
        <v>8842</v>
      </c>
      <c r="E490">
        <v>10</v>
      </c>
      <c r="F490">
        <v>2018</v>
      </c>
      <c r="G490" t="s">
        <v>10</v>
      </c>
      <c r="AT490">
        <v>4.9000000000000004</v>
      </c>
      <c r="AU490">
        <v>8842</v>
      </c>
      <c r="AV490">
        <v>10</v>
      </c>
      <c r="AW490">
        <v>2018</v>
      </c>
    </row>
    <row r="491" spans="1:49" x14ac:dyDescent="0.25">
      <c r="A491" t="s">
        <v>537</v>
      </c>
      <c r="B491" t="s">
        <v>538</v>
      </c>
      <c r="C491">
        <v>4.9000000000000004</v>
      </c>
      <c r="D491">
        <v>8842</v>
      </c>
      <c r="E491">
        <v>10</v>
      </c>
      <c r="F491">
        <v>2019</v>
      </c>
      <c r="G491" t="s">
        <v>10</v>
      </c>
      <c r="AT491">
        <v>4.9000000000000004</v>
      </c>
      <c r="AU491">
        <v>8842</v>
      </c>
      <c r="AV491">
        <v>10</v>
      </c>
      <c r="AW491">
        <v>2019</v>
      </c>
    </row>
    <row r="492" spans="1:49" x14ac:dyDescent="0.25">
      <c r="A492" t="s">
        <v>539</v>
      </c>
      <c r="B492" t="s">
        <v>540</v>
      </c>
      <c r="C492">
        <v>4.8</v>
      </c>
      <c r="D492">
        <v>30183</v>
      </c>
      <c r="E492">
        <v>4</v>
      </c>
      <c r="F492">
        <v>2018</v>
      </c>
      <c r="G492" t="s">
        <v>10</v>
      </c>
      <c r="AT492">
        <v>4.8</v>
      </c>
      <c r="AU492">
        <v>30183</v>
      </c>
      <c r="AV492">
        <v>4</v>
      </c>
      <c r="AW492">
        <v>2018</v>
      </c>
    </row>
    <row r="493" spans="1:49" x14ac:dyDescent="0.25">
      <c r="A493" t="s">
        <v>539</v>
      </c>
      <c r="B493" t="s">
        <v>540</v>
      </c>
      <c r="C493">
        <v>4.8</v>
      </c>
      <c r="D493">
        <v>30183</v>
      </c>
      <c r="E493">
        <v>4</v>
      </c>
      <c r="F493">
        <v>2019</v>
      </c>
      <c r="G493" t="s">
        <v>10</v>
      </c>
      <c r="AT493">
        <v>4.8</v>
      </c>
      <c r="AU493">
        <v>30183</v>
      </c>
      <c r="AV493">
        <v>4</v>
      </c>
      <c r="AW493">
        <v>2019</v>
      </c>
    </row>
    <row r="494" spans="1:49" x14ac:dyDescent="0.25">
      <c r="A494" t="s">
        <v>541</v>
      </c>
      <c r="B494" t="s">
        <v>542</v>
      </c>
      <c r="C494">
        <v>4.7</v>
      </c>
      <c r="D494">
        <v>6169</v>
      </c>
      <c r="E494">
        <v>16</v>
      </c>
      <c r="F494">
        <v>2015</v>
      </c>
      <c r="G494" t="s">
        <v>8</v>
      </c>
      <c r="AT494">
        <v>4.7</v>
      </c>
      <c r="AU494">
        <v>6169</v>
      </c>
      <c r="AV494">
        <v>16</v>
      </c>
      <c r="AW494">
        <v>2015</v>
      </c>
    </row>
    <row r="495" spans="1:49" x14ac:dyDescent="0.25">
      <c r="A495" t="s">
        <v>543</v>
      </c>
      <c r="B495" t="s">
        <v>544</v>
      </c>
      <c r="C495">
        <v>4.7</v>
      </c>
      <c r="D495">
        <v>7034</v>
      </c>
      <c r="E495">
        <v>15</v>
      </c>
      <c r="F495">
        <v>2013</v>
      </c>
      <c r="G495" t="s">
        <v>8</v>
      </c>
      <c r="AT495">
        <v>4.7</v>
      </c>
      <c r="AU495">
        <v>7034</v>
      </c>
      <c r="AV495">
        <v>15</v>
      </c>
      <c r="AW495">
        <v>2013</v>
      </c>
    </row>
    <row r="496" spans="1:49" x14ac:dyDescent="0.25">
      <c r="A496" t="s">
        <v>545</v>
      </c>
      <c r="B496" t="s">
        <v>546</v>
      </c>
      <c r="C496">
        <v>4.5999999999999996</v>
      </c>
      <c r="D496">
        <v>11034</v>
      </c>
      <c r="E496">
        <v>19</v>
      </c>
      <c r="F496">
        <v>2011</v>
      </c>
      <c r="G496" t="s">
        <v>8</v>
      </c>
      <c r="AT496">
        <v>4.5999999999999996</v>
      </c>
      <c r="AU496">
        <v>11034</v>
      </c>
      <c r="AV496">
        <v>19</v>
      </c>
      <c r="AW496">
        <v>2011</v>
      </c>
    </row>
    <row r="497" spans="1:49" x14ac:dyDescent="0.25">
      <c r="A497" t="s">
        <v>545</v>
      </c>
      <c r="B497" t="s">
        <v>546</v>
      </c>
      <c r="C497">
        <v>4.5999999999999996</v>
      </c>
      <c r="D497">
        <v>11034</v>
      </c>
      <c r="E497">
        <v>19</v>
      </c>
      <c r="F497">
        <v>2012</v>
      </c>
      <c r="G497" t="s">
        <v>8</v>
      </c>
      <c r="AT497">
        <v>4.5999999999999996</v>
      </c>
      <c r="AU497">
        <v>11034</v>
      </c>
      <c r="AV497">
        <v>19</v>
      </c>
      <c r="AW497">
        <v>2012</v>
      </c>
    </row>
    <row r="498" spans="1:49" x14ac:dyDescent="0.25">
      <c r="A498" t="s">
        <v>547</v>
      </c>
      <c r="B498" t="s">
        <v>548</v>
      </c>
      <c r="C498">
        <v>4.5</v>
      </c>
      <c r="D498">
        <v>7932</v>
      </c>
      <c r="E498">
        <v>9</v>
      </c>
      <c r="F498">
        <v>2017</v>
      </c>
      <c r="G498" t="s">
        <v>10</v>
      </c>
      <c r="AT498">
        <v>4.5</v>
      </c>
      <c r="AU498">
        <v>7932</v>
      </c>
      <c r="AV498">
        <v>9</v>
      </c>
      <c r="AW498">
        <v>2017</v>
      </c>
    </row>
    <row r="499" spans="1:49" x14ac:dyDescent="0.25">
      <c r="A499" t="s">
        <v>549</v>
      </c>
      <c r="B499" t="s">
        <v>550</v>
      </c>
      <c r="C499">
        <v>4.5</v>
      </c>
      <c r="D499">
        <v>1904</v>
      </c>
      <c r="E499">
        <v>23</v>
      </c>
      <c r="F499">
        <v>2012</v>
      </c>
      <c r="G499" t="s">
        <v>8</v>
      </c>
      <c r="AT499">
        <v>4.5</v>
      </c>
      <c r="AU499">
        <v>1904</v>
      </c>
      <c r="AV499">
        <v>23</v>
      </c>
      <c r="AW499">
        <v>2012</v>
      </c>
    </row>
    <row r="500" spans="1:49" x14ac:dyDescent="0.25">
      <c r="A500" t="s">
        <v>551</v>
      </c>
      <c r="B500" t="s">
        <v>552</v>
      </c>
      <c r="C500">
        <v>4.3</v>
      </c>
      <c r="D500">
        <v>3319</v>
      </c>
      <c r="E500">
        <v>11</v>
      </c>
      <c r="F500">
        <v>2009</v>
      </c>
      <c r="G500" t="s">
        <v>8</v>
      </c>
      <c r="AT500">
        <v>4.3</v>
      </c>
      <c r="AU500">
        <v>3319</v>
      </c>
      <c r="AV500">
        <v>11</v>
      </c>
      <c r="AW500">
        <v>2009</v>
      </c>
    </row>
    <row r="501" spans="1:49" x14ac:dyDescent="0.25">
      <c r="A501" t="s">
        <v>551</v>
      </c>
      <c r="B501" t="s">
        <v>552</v>
      </c>
      <c r="C501">
        <v>4.3</v>
      </c>
      <c r="D501">
        <v>3319</v>
      </c>
      <c r="E501">
        <v>11</v>
      </c>
      <c r="F501">
        <v>2010</v>
      </c>
      <c r="G501" t="s">
        <v>8</v>
      </c>
      <c r="AT501">
        <v>4.3</v>
      </c>
      <c r="AU501">
        <v>3319</v>
      </c>
      <c r="AV501">
        <v>11</v>
      </c>
      <c r="AW501">
        <v>2010</v>
      </c>
    </row>
    <row r="502" spans="1:49" x14ac:dyDescent="0.25">
      <c r="A502" t="s">
        <v>553</v>
      </c>
      <c r="B502" t="s">
        <v>554</v>
      </c>
      <c r="C502">
        <v>4.5999999999999996</v>
      </c>
      <c r="D502">
        <v>11128</v>
      </c>
      <c r="E502">
        <v>23</v>
      </c>
      <c r="F502">
        <v>2014</v>
      </c>
      <c r="G502" t="s">
        <v>8</v>
      </c>
      <c r="AT502">
        <v>4.5999999999999996</v>
      </c>
      <c r="AU502">
        <v>11128</v>
      </c>
      <c r="AV502">
        <v>23</v>
      </c>
      <c r="AW502">
        <v>2014</v>
      </c>
    </row>
    <row r="503" spans="1:49" x14ac:dyDescent="0.25">
      <c r="A503" t="s">
        <v>553</v>
      </c>
      <c r="B503" t="s">
        <v>554</v>
      </c>
      <c r="C503">
        <v>4.5999999999999996</v>
      </c>
      <c r="D503">
        <v>11128</v>
      </c>
      <c r="E503">
        <v>23</v>
      </c>
      <c r="F503">
        <v>2015</v>
      </c>
      <c r="G503" t="s">
        <v>8</v>
      </c>
      <c r="AT503">
        <v>4.5999999999999996</v>
      </c>
      <c r="AU503">
        <v>11128</v>
      </c>
      <c r="AV503">
        <v>23</v>
      </c>
      <c r="AW503">
        <v>2015</v>
      </c>
    </row>
    <row r="504" spans="1:49" x14ac:dyDescent="0.25">
      <c r="A504" t="s">
        <v>553</v>
      </c>
      <c r="B504" t="s">
        <v>554</v>
      </c>
      <c r="C504">
        <v>4.5999999999999996</v>
      </c>
      <c r="D504">
        <v>11128</v>
      </c>
      <c r="E504">
        <v>23</v>
      </c>
      <c r="F504">
        <v>2016</v>
      </c>
      <c r="G504" t="s">
        <v>8</v>
      </c>
      <c r="AT504">
        <v>4.5999999999999996</v>
      </c>
      <c r="AU504">
        <v>11128</v>
      </c>
      <c r="AV504">
        <v>23</v>
      </c>
      <c r="AW504">
        <v>2016</v>
      </c>
    </row>
    <row r="505" spans="1:49" x14ac:dyDescent="0.25">
      <c r="A505" t="s">
        <v>553</v>
      </c>
      <c r="B505" t="s">
        <v>554</v>
      </c>
      <c r="C505">
        <v>4.5999999999999996</v>
      </c>
      <c r="D505">
        <v>11128</v>
      </c>
      <c r="E505">
        <v>23</v>
      </c>
      <c r="F505">
        <v>2017</v>
      </c>
      <c r="G505" t="s">
        <v>8</v>
      </c>
      <c r="AT505">
        <v>4.5999999999999996</v>
      </c>
      <c r="AU505">
        <v>11128</v>
      </c>
      <c r="AV505">
        <v>23</v>
      </c>
      <c r="AW505">
        <v>2017</v>
      </c>
    </row>
    <row r="506" spans="1:49" x14ac:dyDescent="0.25">
      <c r="A506" t="s">
        <v>555</v>
      </c>
      <c r="B506" t="s">
        <v>556</v>
      </c>
      <c r="C506">
        <v>4.3</v>
      </c>
      <c r="D506">
        <v>5977</v>
      </c>
      <c r="E506">
        <v>12</v>
      </c>
      <c r="F506">
        <v>2011</v>
      </c>
      <c r="G506" t="s">
        <v>8</v>
      </c>
      <c r="AT506">
        <v>4.3</v>
      </c>
      <c r="AU506">
        <v>5977</v>
      </c>
      <c r="AV506">
        <v>12</v>
      </c>
      <c r="AW506">
        <v>2011</v>
      </c>
    </row>
    <row r="507" spans="1:49" x14ac:dyDescent="0.25">
      <c r="A507" t="s">
        <v>557</v>
      </c>
      <c r="B507" t="s">
        <v>182</v>
      </c>
      <c r="C507">
        <v>4.8</v>
      </c>
      <c r="D507">
        <v>26234</v>
      </c>
      <c r="E507">
        <v>0</v>
      </c>
      <c r="F507">
        <v>2013</v>
      </c>
      <c r="G507" t="s">
        <v>10</v>
      </c>
      <c r="AT507">
        <v>4.8</v>
      </c>
      <c r="AU507">
        <v>26234</v>
      </c>
      <c r="AV507">
        <v>0</v>
      </c>
      <c r="AW507">
        <v>2013</v>
      </c>
    </row>
    <row r="508" spans="1:49" x14ac:dyDescent="0.25">
      <c r="A508" t="s">
        <v>557</v>
      </c>
      <c r="B508" t="s">
        <v>182</v>
      </c>
      <c r="C508">
        <v>4.8</v>
      </c>
      <c r="D508">
        <v>26234</v>
      </c>
      <c r="E508">
        <v>0</v>
      </c>
      <c r="F508">
        <v>2014</v>
      </c>
      <c r="G508" t="s">
        <v>10</v>
      </c>
      <c r="AT508">
        <v>4.8</v>
      </c>
      <c r="AU508">
        <v>26234</v>
      </c>
      <c r="AV508">
        <v>0</v>
      </c>
      <c r="AW508">
        <v>2014</v>
      </c>
    </row>
    <row r="509" spans="1:49" x14ac:dyDescent="0.25">
      <c r="A509" t="s">
        <v>557</v>
      </c>
      <c r="B509" t="s">
        <v>182</v>
      </c>
      <c r="C509">
        <v>4.8</v>
      </c>
      <c r="D509">
        <v>26234</v>
      </c>
      <c r="E509">
        <v>0</v>
      </c>
      <c r="F509">
        <v>2015</v>
      </c>
      <c r="G509" t="s">
        <v>10</v>
      </c>
      <c r="AT509">
        <v>4.8</v>
      </c>
      <c r="AU509">
        <v>26234</v>
      </c>
      <c r="AV509">
        <v>0</v>
      </c>
      <c r="AW509">
        <v>2015</v>
      </c>
    </row>
    <row r="510" spans="1:49" x14ac:dyDescent="0.25">
      <c r="A510" t="s">
        <v>557</v>
      </c>
      <c r="B510" t="s">
        <v>182</v>
      </c>
      <c r="C510">
        <v>4.8</v>
      </c>
      <c r="D510">
        <v>26234</v>
      </c>
      <c r="E510">
        <v>0</v>
      </c>
      <c r="F510">
        <v>2016</v>
      </c>
      <c r="G510" t="s">
        <v>10</v>
      </c>
      <c r="AT510">
        <v>4.8</v>
      </c>
      <c r="AU510">
        <v>26234</v>
      </c>
      <c r="AV510">
        <v>0</v>
      </c>
      <c r="AW510">
        <v>2016</v>
      </c>
    </row>
    <row r="511" spans="1:49" x14ac:dyDescent="0.25">
      <c r="A511" t="s">
        <v>557</v>
      </c>
      <c r="B511" t="s">
        <v>182</v>
      </c>
      <c r="C511">
        <v>4.8</v>
      </c>
      <c r="D511">
        <v>26234</v>
      </c>
      <c r="E511">
        <v>7</v>
      </c>
      <c r="F511">
        <v>2019</v>
      </c>
      <c r="G511" t="s">
        <v>10</v>
      </c>
      <c r="AT511">
        <v>4.8</v>
      </c>
      <c r="AU511">
        <v>26234</v>
      </c>
      <c r="AV511">
        <v>7</v>
      </c>
      <c r="AW511">
        <v>2019</v>
      </c>
    </row>
    <row r="512" spans="1:49" x14ac:dyDescent="0.25">
      <c r="A512" t="s">
        <v>558</v>
      </c>
      <c r="B512" t="s">
        <v>381</v>
      </c>
      <c r="C512">
        <v>4.5999999999999996</v>
      </c>
      <c r="D512">
        <v>4360</v>
      </c>
      <c r="E512">
        <v>21</v>
      </c>
      <c r="F512">
        <v>2017</v>
      </c>
      <c r="G512" t="s">
        <v>8</v>
      </c>
      <c r="AT512">
        <v>4.5999999999999996</v>
      </c>
      <c r="AU512">
        <v>4360</v>
      </c>
      <c r="AV512">
        <v>21</v>
      </c>
      <c r="AW512">
        <v>2017</v>
      </c>
    </row>
    <row r="513" spans="1:49" x14ac:dyDescent="0.25">
      <c r="A513" t="s">
        <v>559</v>
      </c>
      <c r="B513" t="s">
        <v>560</v>
      </c>
      <c r="C513">
        <v>4.8</v>
      </c>
      <c r="D513">
        <v>2282</v>
      </c>
      <c r="E513">
        <v>21</v>
      </c>
      <c r="F513">
        <v>2010</v>
      </c>
      <c r="G513" t="s">
        <v>10</v>
      </c>
      <c r="AT513">
        <v>4.8</v>
      </c>
      <c r="AU513">
        <v>2282</v>
      </c>
      <c r="AV513">
        <v>21</v>
      </c>
      <c r="AW513">
        <v>2010</v>
      </c>
    </row>
    <row r="514" spans="1:49" x14ac:dyDescent="0.25">
      <c r="A514" t="s">
        <v>561</v>
      </c>
      <c r="B514" t="s">
        <v>562</v>
      </c>
      <c r="C514">
        <v>4.5</v>
      </c>
      <c r="D514">
        <v>438</v>
      </c>
      <c r="E514">
        <v>15</v>
      </c>
      <c r="F514">
        <v>2009</v>
      </c>
      <c r="G514" t="s">
        <v>8</v>
      </c>
      <c r="AT514">
        <v>4.5</v>
      </c>
      <c r="AU514">
        <v>438</v>
      </c>
      <c r="AV514">
        <v>15</v>
      </c>
      <c r="AW514">
        <v>2009</v>
      </c>
    </row>
    <row r="515" spans="1:49" x14ac:dyDescent="0.25">
      <c r="A515" t="s">
        <v>563</v>
      </c>
      <c r="B515" t="s">
        <v>73</v>
      </c>
      <c r="C515">
        <v>4.7</v>
      </c>
      <c r="D515">
        <v>11676</v>
      </c>
      <c r="E515">
        <v>9</v>
      </c>
      <c r="F515">
        <v>2009</v>
      </c>
      <c r="G515" t="s">
        <v>10</v>
      </c>
      <c r="AT515">
        <v>4.7</v>
      </c>
      <c r="AU515">
        <v>11676</v>
      </c>
      <c r="AV515">
        <v>9</v>
      </c>
      <c r="AW515">
        <v>2009</v>
      </c>
    </row>
    <row r="516" spans="1:49" x14ac:dyDescent="0.25">
      <c r="A516" t="s">
        <v>564</v>
      </c>
      <c r="B516" t="s">
        <v>58</v>
      </c>
      <c r="C516">
        <v>4.5</v>
      </c>
      <c r="D516">
        <v>2586</v>
      </c>
      <c r="E516">
        <v>5</v>
      </c>
      <c r="F516">
        <v>2014</v>
      </c>
      <c r="G516" t="s">
        <v>10</v>
      </c>
      <c r="AT516">
        <v>4.5</v>
      </c>
      <c r="AU516">
        <v>2586</v>
      </c>
      <c r="AV516">
        <v>5</v>
      </c>
      <c r="AW516">
        <v>2014</v>
      </c>
    </row>
    <row r="517" spans="1:49" x14ac:dyDescent="0.25">
      <c r="A517" t="s">
        <v>565</v>
      </c>
      <c r="B517" t="s">
        <v>566</v>
      </c>
      <c r="C517">
        <v>4.8</v>
      </c>
      <c r="D517">
        <v>29673</v>
      </c>
      <c r="E517">
        <v>16</v>
      </c>
      <c r="F517">
        <v>2010</v>
      </c>
      <c r="G517" t="s">
        <v>8</v>
      </c>
      <c r="AT517">
        <v>4.8</v>
      </c>
      <c r="AU517">
        <v>29673</v>
      </c>
      <c r="AV517">
        <v>16</v>
      </c>
      <c r="AW517">
        <v>2010</v>
      </c>
    </row>
    <row r="518" spans="1:49" x14ac:dyDescent="0.25">
      <c r="A518" t="s">
        <v>565</v>
      </c>
      <c r="B518" t="s">
        <v>566</v>
      </c>
      <c r="C518">
        <v>4.8</v>
      </c>
      <c r="D518">
        <v>29673</v>
      </c>
      <c r="E518">
        <v>16</v>
      </c>
      <c r="F518">
        <v>2011</v>
      </c>
      <c r="G518" t="s">
        <v>8</v>
      </c>
      <c r="AT518">
        <v>4.8</v>
      </c>
      <c r="AU518">
        <v>29673</v>
      </c>
      <c r="AV518">
        <v>16</v>
      </c>
      <c r="AW518">
        <v>2011</v>
      </c>
    </row>
    <row r="519" spans="1:49" x14ac:dyDescent="0.25">
      <c r="A519" t="s">
        <v>565</v>
      </c>
      <c r="B519" t="s">
        <v>566</v>
      </c>
      <c r="C519">
        <v>4.8</v>
      </c>
      <c r="D519">
        <v>29673</v>
      </c>
      <c r="E519">
        <v>16</v>
      </c>
      <c r="F519">
        <v>2012</v>
      </c>
      <c r="G519" t="s">
        <v>8</v>
      </c>
      <c r="AT519">
        <v>4.8</v>
      </c>
      <c r="AU519">
        <v>29673</v>
      </c>
      <c r="AV519">
        <v>16</v>
      </c>
      <c r="AW519">
        <v>2012</v>
      </c>
    </row>
    <row r="520" spans="1:49" x14ac:dyDescent="0.25">
      <c r="A520" t="s">
        <v>565</v>
      </c>
      <c r="B520" t="s">
        <v>566</v>
      </c>
      <c r="C520">
        <v>4.8</v>
      </c>
      <c r="D520">
        <v>29673</v>
      </c>
      <c r="E520">
        <v>13</v>
      </c>
      <c r="F520">
        <v>2014</v>
      </c>
      <c r="G520" t="s">
        <v>8</v>
      </c>
      <c r="AT520">
        <v>4.8</v>
      </c>
      <c r="AU520">
        <v>29673</v>
      </c>
      <c r="AV520">
        <v>13</v>
      </c>
      <c r="AW520">
        <v>2014</v>
      </c>
    </row>
    <row r="521" spans="1:49" x14ac:dyDescent="0.25">
      <c r="A521" t="s">
        <v>565</v>
      </c>
      <c r="B521" t="s">
        <v>566</v>
      </c>
      <c r="C521">
        <v>4.8</v>
      </c>
      <c r="D521">
        <v>29673</v>
      </c>
      <c r="E521">
        <v>16</v>
      </c>
      <c r="F521">
        <v>2014</v>
      </c>
      <c r="G521" t="s">
        <v>8</v>
      </c>
      <c r="AT521">
        <v>4.8</v>
      </c>
      <c r="AU521">
        <v>29673</v>
      </c>
      <c r="AV521">
        <v>16</v>
      </c>
      <c r="AW521">
        <v>2014</v>
      </c>
    </row>
    <row r="522" spans="1:49" x14ac:dyDescent="0.25">
      <c r="A522" t="s">
        <v>567</v>
      </c>
      <c r="B522" t="s">
        <v>9</v>
      </c>
      <c r="C522">
        <v>4.3</v>
      </c>
      <c r="D522">
        <v>6740</v>
      </c>
      <c r="E522">
        <v>20</v>
      </c>
      <c r="F522">
        <v>2009</v>
      </c>
      <c r="G522" t="s">
        <v>10</v>
      </c>
      <c r="AT522">
        <v>4.3</v>
      </c>
      <c r="AU522">
        <v>6740</v>
      </c>
      <c r="AV522">
        <v>20</v>
      </c>
      <c r="AW522">
        <v>2009</v>
      </c>
    </row>
    <row r="523" spans="1:49" x14ac:dyDescent="0.25">
      <c r="A523" t="s">
        <v>568</v>
      </c>
      <c r="B523" t="s">
        <v>277</v>
      </c>
      <c r="C523">
        <v>4.9000000000000004</v>
      </c>
      <c r="D523">
        <v>5956</v>
      </c>
      <c r="E523">
        <v>11</v>
      </c>
      <c r="F523">
        <v>2019</v>
      </c>
      <c r="G523" t="s">
        <v>8</v>
      </c>
      <c r="AT523">
        <v>4.9000000000000004</v>
      </c>
      <c r="AU523">
        <v>5956</v>
      </c>
      <c r="AV523">
        <v>11</v>
      </c>
      <c r="AW523">
        <v>2019</v>
      </c>
    </row>
    <row r="524" spans="1:49" x14ac:dyDescent="0.25">
      <c r="A524" t="s">
        <v>569</v>
      </c>
      <c r="B524" t="s">
        <v>570</v>
      </c>
      <c r="C524">
        <v>4.8</v>
      </c>
      <c r="D524">
        <v>6108</v>
      </c>
      <c r="E524">
        <v>4</v>
      </c>
      <c r="F524">
        <v>2019</v>
      </c>
      <c r="G524" t="s">
        <v>8</v>
      </c>
      <c r="AT524">
        <v>4.8</v>
      </c>
      <c r="AU524">
        <v>6108</v>
      </c>
      <c r="AV524">
        <v>4</v>
      </c>
      <c r="AW524">
        <v>2019</v>
      </c>
    </row>
    <row r="525" spans="1:49" x14ac:dyDescent="0.25">
      <c r="A525" t="s">
        <v>571</v>
      </c>
      <c r="B525" t="s">
        <v>249</v>
      </c>
      <c r="C525">
        <v>4.7</v>
      </c>
      <c r="D525">
        <v>4585</v>
      </c>
      <c r="E525">
        <v>9</v>
      </c>
      <c r="F525">
        <v>2016</v>
      </c>
      <c r="G525" t="s">
        <v>8</v>
      </c>
      <c r="AT525">
        <v>4.7</v>
      </c>
      <c r="AU525">
        <v>4585</v>
      </c>
      <c r="AV525">
        <v>9</v>
      </c>
      <c r="AW525">
        <v>2016</v>
      </c>
    </row>
    <row r="526" spans="1:49" x14ac:dyDescent="0.25">
      <c r="A526" t="s">
        <v>572</v>
      </c>
      <c r="B526" t="s">
        <v>573</v>
      </c>
      <c r="C526">
        <v>4.8</v>
      </c>
      <c r="D526">
        <v>3829</v>
      </c>
      <c r="E526">
        <v>42</v>
      </c>
      <c r="F526">
        <v>2009</v>
      </c>
      <c r="G526" t="s">
        <v>10</v>
      </c>
      <c r="AT526">
        <v>4.8</v>
      </c>
      <c r="AU526">
        <v>3829</v>
      </c>
      <c r="AV526">
        <v>42</v>
      </c>
      <c r="AW526">
        <v>2009</v>
      </c>
    </row>
    <row r="527" spans="1:49" x14ac:dyDescent="0.25">
      <c r="A527" t="s">
        <v>574</v>
      </c>
      <c r="B527" t="s">
        <v>575</v>
      </c>
      <c r="C527">
        <v>4.5</v>
      </c>
      <c r="D527">
        <v>8958</v>
      </c>
      <c r="E527">
        <v>12</v>
      </c>
      <c r="F527">
        <v>2011</v>
      </c>
      <c r="G527" t="s">
        <v>10</v>
      </c>
      <c r="AT527">
        <v>4.5</v>
      </c>
      <c r="AU527">
        <v>8958</v>
      </c>
      <c r="AV527">
        <v>12</v>
      </c>
      <c r="AW527">
        <v>2011</v>
      </c>
    </row>
    <row r="528" spans="1:49" x14ac:dyDescent="0.25">
      <c r="A528" t="s">
        <v>576</v>
      </c>
      <c r="B528" t="s">
        <v>577</v>
      </c>
      <c r="C528">
        <v>4.5999999999999996</v>
      </c>
      <c r="D528">
        <v>5492</v>
      </c>
      <c r="E528">
        <v>18</v>
      </c>
      <c r="F528">
        <v>2017</v>
      </c>
      <c r="G528" t="s">
        <v>8</v>
      </c>
      <c r="AT528">
        <v>4.5999999999999996</v>
      </c>
      <c r="AU528">
        <v>5492</v>
      </c>
      <c r="AV528">
        <v>18</v>
      </c>
      <c r="AW528">
        <v>2017</v>
      </c>
    </row>
    <row r="529" spans="1:49" x14ac:dyDescent="0.25">
      <c r="A529" t="s">
        <v>578</v>
      </c>
      <c r="B529" t="s">
        <v>579</v>
      </c>
      <c r="C529">
        <v>4.7</v>
      </c>
      <c r="D529">
        <v>9292</v>
      </c>
      <c r="E529">
        <v>17</v>
      </c>
      <c r="F529">
        <v>2014</v>
      </c>
      <c r="G529" t="s">
        <v>8</v>
      </c>
      <c r="AT529">
        <v>4.7</v>
      </c>
      <c r="AU529">
        <v>9292</v>
      </c>
      <c r="AV529">
        <v>17</v>
      </c>
      <c r="AW529">
        <v>2014</v>
      </c>
    </row>
    <row r="530" spans="1:49" x14ac:dyDescent="0.25">
      <c r="A530" t="s">
        <v>580</v>
      </c>
      <c r="B530" t="s">
        <v>317</v>
      </c>
      <c r="C530">
        <v>4.7</v>
      </c>
      <c r="D530">
        <v>1873</v>
      </c>
      <c r="E530">
        <v>14</v>
      </c>
      <c r="F530">
        <v>2015</v>
      </c>
      <c r="G530" t="s">
        <v>10</v>
      </c>
      <c r="AT530">
        <v>4.7</v>
      </c>
      <c r="AU530">
        <v>1873</v>
      </c>
      <c r="AV530">
        <v>14</v>
      </c>
      <c r="AW530">
        <v>2015</v>
      </c>
    </row>
    <row r="531" spans="1:49" x14ac:dyDescent="0.25">
      <c r="A531" t="s">
        <v>581</v>
      </c>
      <c r="B531" t="s">
        <v>582</v>
      </c>
      <c r="C531">
        <v>4.8</v>
      </c>
      <c r="D531">
        <v>8170</v>
      </c>
      <c r="E531">
        <v>13</v>
      </c>
      <c r="F531">
        <v>2019</v>
      </c>
      <c r="G531" t="s">
        <v>10</v>
      </c>
      <c r="AT531">
        <v>4.8</v>
      </c>
      <c r="AU531">
        <v>8170</v>
      </c>
      <c r="AV531">
        <v>13</v>
      </c>
      <c r="AW531">
        <v>2019</v>
      </c>
    </row>
    <row r="532" spans="1:49" x14ac:dyDescent="0.25">
      <c r="A532" t="s">
        <v>583</v>
      </c>
      <c r="B532" t="s">
        <v>584</v>
      </c>
      <c r="C532">
        <v>4.4000000000000004</v>
      </c>
      <c r="D532">
        <v>3341</v>
      </c>
      <c r="E532">
        <v>9</v>
      </c>
      <c r="F532">
        <v>2011</v>
      </c>
      <c r="G532" t="s">
        <v>8</v>
      </c>
      <c r="AT532">
        <v>4.4000000000000004</v>
      </c>
      <c r="AU532">
        <v>3341</v>
      </c>
      <c r="AV532">
        <v>9</v>
      </c>
      <c r="AW532">
        <v>2011</v>
      </c>
    </row>
    <row r="533" spans="1:49" x14ac:dyDescent="0.25">
      <c r="A533" t="s">
        <v>585</v>
      </c>
      <c r="B533" t="s">
        <v>586</v>
      </c>
      <c r="C533">
        <v>4.4000000000000004</v>
      </c>
      <c r="D533">
        <v>7497</v>
      </c>
      <c r="E533">
        <v>6</v>
      </c>
      <c r="F533">
        <v>2012</v>
      </c>
      <c r="G533" t="s">
        <v>8</v>
      </c>
      <c r="AT533">
        <v>4.4000000000000004</v>
      </c>
      <c r="AU533">
        <v>7497</v>
      </c>
      <c r="AV533">
        <v>6</v>
      </c>
      <c r="AW533">
        <v>2012</v>
      </c>
    </row>
    <row r="534" spans="1:49" x14ac:dyDescent="0.25">
      <c r="A534" t="s">
        <v>585</v>
      </c>
      <c r="B534" t="s">
        <v>586</v>
      </c>
      <c r="C534">
        <v>4.4000000000000004</v>
      </c>
      <c r="D534">
        <v>7497</v>
      </c>
      <c r="E534">
        <v>6</v>
      </c>
      <c r="F534">
        <v>2013</v>
      </c>
      <c r="G534" t="s">
        <v>8</v>
      </c>
      <c r="AT534">
        <v>4.4000000000000004</v>
      </c>
      <c r="AU534">
        <v>7497</v>
      </c>
      <c r="AV534">
        <v>6</v>
      </c>
      <c r="AW534">
        <v>2013</v>
      </c>
    </row>
    <row r="535" spans="1:49" x14ac:dyDescent="0.25">
      <c r="A535" t="s">
        <v>587</v>
      </c>
      <c r="B535" t="s">
        <v>588</v>
      </c>
      <c r="C535">
        <v>4.8</v>
      </c>
      <c r="D535">
        <v>13779</v>
      </c>
      <c r="E535">
        <v>14</v>
      </c>
      <c r="F535">
        <v>2016</v>
      </c>
      <c r="G535" t="s">
        <v>8</v>
      </c>
      <c r="AT535">
        <v>4.8</v>
      </c>
      <c r="AU535">
        <v>13779</v>
      </c>
      <c r="AV535">
        <v>14</v>
      </c>
      <c r="AW535">
        <v>2016</v>
      </c>
    </row>
    <row r="536" spans="1:49" x14ac:dyDescent="0.25">
      <c r="A536" t="s">
        <v>589</v>
      </c>
      <c r="B536" t="s">
        <v>590</v>
      </c>
      <c r="C536">
        <v>4.8</v>
      </c>
      <c r="D536">
        <v>87841</v>
      </c>
      <c r="E536">
        <v>15</v>
      </c>
      <c r="F536">
        <v>2019</v>
      </c>
      <c r="G536" t="s">
        <v>10</v>
      </c>
      <c r="AT536">
        <v>4.8</v>
      </c>
      <c r="AU536">
        <v>87841</v>
      </c>
      <c r="AV536">
        <v>15</v>
      </c>
      <c r="AW536">
        <v>2019</v>
      </c>
    </row>
    <row r="537" spans="1:49" x14ac:dyDescent="0.25">
      <c r="A537" t="s">
        <v>591</v>
      </c>
      <c r="B537" t="s">
        <v>592</v>
      </c>
      <c r="C537">
        <v>4.8</v>
      </c>
      <c r="D537">
        <v>9967</v>
      </c>
      <c r="E537">
        <v>13</v>
      </c>
      <c r="F537">
        <v>2009</v>
      </c>
      <c r="G537" t="s">
        <v>10</v>
      </c>
      <c r="AT537">
        <v>4.8</v>
      </c>
      <c r="AU537">
        <v>9967</v>
      </c>
      <c r="AV537">
        <v>13</v>
      </c>
      <c r="AW537">
        <v>2009</v>
      </c>
    </row>
    <row r="538" spans="1:49" x14ac:dyDescent="0.25">
      <c r="A538" t="s">
        <v>593</v>
      </c>
      <c r="B538" t="s">
        <v>594</v>
      </c>
      <c r="C538">
        <v>4.5999999999999996</v>
      </c>
      <c r="D538">
        <v>6669</v>
      </c>
      <c r="E538">
        <v>12</v>
      </c>
      <c r="F538">
        <v>2018</v>
      </c>
      <c r="G538" t="s">
        <v>8</v>
      </c>
      <c r="AT538">
        <v>4.5999999999999996</v>
      </c>
      <c r="AU538">
        <v>6669</v>
      </c>
      <c r="AV538">
        <v>12</v>
      </c>
      <c r="AW538">
        <v>2018</v>
      </c>
    </row>
    <row r="539" spans="1:49" x14ac:dyDescent="0.25">
      <c r="A539" t="s">
        <v>595</v>
      </c>
      <c r="B539" t="s">
        <v>596</v>
      </c>
      <c r="C539">
        <v>4.4000000000000004</v>
      </c>
      <c r="D539">
        <v>17044</v>
      </c>
      <c r="E539">
        <v>18</v>
      </c>
      <c r="F539">
        <v>2012</v>
      </c>
      <c r="G539" t="s">
        <v>8</v>
      </c>
      <c r="AT539">
        <v>4.4000000000000004</v>
      </c>
      <c r="AU539">
        <v>17044</v>
      </c>
      <c r="AV539">
        <v>18</v>
      </c>
      <c r="AW539">
        <v>2012</v>
      </c>
    </row>
    <row r="540" spans="1:49" x14ac:dyDescent="0.25">
      <c r="A540" t="s">
        <v>597</v>
      </c>
      <c r="B540" t="s">
        <v>598</v>
      </c>
      <c r="C540">
        <v>4.5</v>
      </c>
      <c r="D540">
        <v>10760</v>
      </c>
      <c r="E540">
        <v>15</v>
      </c>
      <c r="F540">
        <v>2012</v>
      </c>
      <c r="G540" t="s">
        <v>10</v>
      </c>
      <c r="AT540">
        <v>4.5</v>
      </c>
      <c r="AU540">
        <v>10760</v>
      </c>
      <c r="AV540">
        <v>15</v>
      </c>
      <c r="AW540">
        <v>2012</v>
      </c>
    </row>
    <row r="541" spans="1:49" x14ac:dyDescent="0.25">
      <c r="A541" t="s">
        <v>599</v>
      </c>
      <c r="B541" t="s">
        <v>600</v>
      </c>
      <c r="C541">
        <v>4.2</v>
      </c>
      <c r="D541">
        <v>1302</v>
      </c>
      <c r="E541">
        <v>11</v>
      </c>
      <c r="F541">
        <v>2010</v>
      </c>
      <c r="G541" t="s">
        <v>8</v>
      </c>
      <c r="AT541">
        <v>4.2</v>
      </c>
      <c r="AU541">
        <v>1302</v>
      </c>
      <c r="AV541">
        <v>11</v>
      </c>
      <c r="AW541">
        <v>2010</v>
      </c>
    </row>
    <row r="542" spans="1:49" x14ac:dyDescent="0.25">
      <c r="A542" t="s">
        <v>601</v>
      </c>
      <c r="B542" t="s">
        <v>602</v>
      </c>
      <c r="C542">
        <v>4.8</v>
      </c>
      <c r="D542">
        <v>21625</v>
      </c>
      <c r="E542">
        <v>9</v>
      </c>
      <c r="F542">
        <v>2013</v>
      </c>
      <c r="G542" t="s">
        <v>10</v>
      </c>
      <c r="AT542">
        <v>4.8</v>
      </c>
      <c r="AU542">
        <v>21625</v>
      </c>
      <c r="AV542">
        <v>9</v>
      </c>
      <c r="AW542">
        <v>2013</v>
      </c>
    </row>
    <row r="543" spans="1:49" x14ac:dyDescent="0.25">
      <c r="A543" t="s">
        <v>601</v>
      </c>
      <c r="B543" t="s">
        <v>602</v>
      </c>
      <c r="C543">
        <v>4.8</v>
      </c>
      <c r="D543">
        <v>21625</v>
      </c>
      <c r="E543">
        <v>9</v>
      </c>
      <c r="F543">
        <v>2014</v>
      </c>
      <c r="G543" t="s">
        <v>10</v>
      </c>
      <c r="AT543">
        <v>4.8</v>
      </c>
      <c r="AU543">
        <v>21625</v>
      </c>
      <c r="AV543">
        <v>9</v>
      </c>
      <c r="AW543">
        <v>2014</v>
      </c>
    </row>
    <row r="544" spans="1:49" x14ac:dyDescent="0.25">
      <c r="A544" t="s">
        <v>601</v>
      </c>
      <c r="B544" t="s">
        <v>602</v>
      </c>
      <c r="C544">
        <v>4.8</v>
      </c>
      <c r="D544">
        <v>21625</v>
      </c>
      <c r="E544">
        <v>9</v>
      </c>
      <c r="F544">
        <v>2015</v>
      </c>
      <c r="G544" t="s">
        <v>10</v>
      </c>
      <c r="AT544">
        <v>4.8</v>
      </c>
      <c r="AU544">
        <v>21625</v>
      </c>
      <c r="AV544">
        <v>9</v>
      </c>
      <c r="AW544">
        <v>2015</v>
      </c>
    </row>
    <row r="545" spans="1:49" x14ac:dyDescent="0.25">
      <c r="A545" t="s">
        <v>601</v>
      </c>
      <c r="B545" t="s">
        <v>602</v>
      </c>
      <c r="C545">
        <v>4.8</v>
      </c>
      <c r="D545">
        <v>21625</v>
      </c>
      <c r="E545">
        <v>9</v>
      </c>
      <c r="F545">
        <v>2016</v>
      </c>
      <c r="G545" t="s">
        <v>10</v>
      </c>
      <c r="AT545">
        <v>4.8</v>
      </c>
      <c r="AU545">
        <v>21625</v>
      </c>
      <c r="AV545">
        <v>9</v>
      </c>
      <c r="AW545">
        <v>2016</v>
      </c>
    </row>
    <row r="546" spans="1:49" x14ac:dyDescent="0.25">
      <c r="A546" t="s">
        <v>601</v>
      </c>
      <c r="B546" t="s">
        <v>602</v>
      </c>
      <c r="C546">
        <v>4.8</v>
      </c>
      <c r="D546">
        <v>21625</v>
      </c>
      <c r="E546">
        <v>9</v>
      </c>
      <c r="F546">
        <v>2017</v>
      </c>
      <c r="G546" t="s">
        <v>10</v>
      </c>
      <c r="AT546">
        <v>4.8</v>
      </c>
      <c r="AU546">
        <v>21625</v>
      </c>
      <c r="AV546">
        <v>9</v>
      </c>
      <c r="AW546">
        <v>2017</v>
      </c>
    </row>
    <row r="547" spans="1:49" x14ac:dyDescent="0.25">
      <c r="A547" t="s">
        <v>603</v>
      </c>
      <c r="B547" t="s">
        <v>78</v>
      </c>
      <c r="C547">
        <v>4.9000000000000004</v>
      </c>
      <c r="D547">
        <v>9413</v>
      </c>
      <c r="E547">
        <v>8</v>
      </c>
      <c r="F547">
        <v>2019</v>
      </c>
      <c r="G547" t="s">
        <v>10</v>
      </c>
      <c r="AT547">
        <v>4.9000000000000004</v>
      </c>
      <c r="AU547">
        <v>9413</v>
      </c>
      <c r="AV547">
        <v>8</v>
      </c>
      <c r="AW547">
        <v>2019</v>
      </c>
    </row>
    <row r="548" spans="1:49" x14ac:dyDescent="0.25">
      <c r="A548" t="s">
        <v>604</v>
      </c>
      <c r="B548" t="s">
        <v>605</v>
      </c>
      <c r="C548">
        <v>4.7</v>
      </c>
      <c r="D548">
        <v>14331</v>
      </c>
      <c r="E548">
        <v>8</v>
      </c>
      <c r="F548">
        <v>2016</v>
      </c>
      <c r="G548" t="s">
        <v>8</v>
      </c>
      <c r="AT548">
        <v>4.7</v>
      </c>
      <c r="AU548">
        <v>14331</v>
      </c>
      <c r="AV548">
        <v>8</v>
      </c>
      <c r="AW548">
        <v>2016</v>
      </c>
    </row>
    <row r="549" spans="1:49" x14ac:dyDescent="0.25">
      <c r="A549" t="s">
        <v>604</v>
      </c>
      <c r="B549" t="s">
        <v>605</v>
      </c>
      <c r="C549">
        <v>4.7</v>
      </c>
      <c r="D549">
        <v>14331</v>
      </c>
      <c r="E549">
        <v>8</v>
      </c>
      <c r="F549">
        <v>2017</v>
      </c>
      <c r="G549" t="s">
        <v>8</v>
      </c>
      <c r="AT549">
        <v>4.7</v>
      </c>
      <c r="AU549">
        <v>14331</v>
      </c>
      <c r="AV549">
        <v>8</v>
      </c>
      <c r="AW549">
        <v>2017</v>
      </c>
    </row>
    <row r="550" spans="1:49" x14ac:dyDescent="0.25">
      <c r="A550" t="s">
        <v>604</v>
      </c>
      <c r="B550" t="s">
        <v>605</v>
      </c>
      <c r="C550">
        <v>4.7</v>
      </c>
      <c r="D550">
        <v>14331</v>
      </c>
      <c r="E550">
        <v>8</v>
      </c>
      <c r="F550">
        <v>2018</v>
      </c>
      <c r="G550" t="s">
        <v>8</v>
      </c>
      <c r="AT550">
        <v>4.7</v>
      </c>
      <c r="AU550">
        <v>14331</v>
      </c>
      <c r="AV550">
        <v>8</v>
      </c>
      <c r="AW550">
        <v>2018</v>
      </c>
    </row>
    <row r="551" spans="1:49" x14ac:dyDescent="0.25">
      <c r="A551" t="s">
        <v>604</v>
      </c>
      <c r="B551" t="s">
        <v>605</v>
      </c>
      <c r="C551">
        <v>4.7</v>
      </c>
      <c r="D551">
        <v>14331</v>
      </c>
      <c r="E551">
        <v>8</v>
      </c>
      <c r="F551">
        <v>2019</v>
      </c>
      <c r="G551" t="s">
        <v>8</v>
      </c>
      <c r="AT551">
        <v>4.7</v>
      </c>
      <c r="AU551">
        <v>14331</v>
      </c>
      <c r="AV551">
        <v>8</v>
      </c>
      <c r="AW551">
        <v>2019</v>
      </c>
    </row>
  </sheetData>
  <sortState xmlns:xlrd2="http://schemas.microsoft.com/office/spreadsheetml/2017/richdata2" ref="AY2:AY12">
    <sortCondition ref="AY1:AY12"/>
  </sortState>
  <conditionalFormatting sqref="D1:D551 D1186:D1048576">
    <cfRule type="cellIs" dxfId="3" priority="2" operator="lessThan">
      <formula>100</formula>
    </cfRule>
  </conditionalFormatting>
  <conditionalFormatting sqref="E2:E1048576">
    <cfRule type="cellIs" dxfId="2" priority="1" operator="notBetween">
      <formula>0</formula>
      <formula>54</formula>
    </cfRule>
  </conditionalFormatting>
  <pageMargins left="0.7" right="0.7" top="0.75" bottom="0.75" header="0.3" footer="0.3"/>
  <pageSetup orientation="portrait" r:id="rId2"/>
  <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1C02A-6C0E-488F-A3A5-2AA5D33BC091}">
  <dimension ref="A1:L552"/>
  <sheetViews>
    <sheetView topLeftCell="B1" zoomScaleNormal="100" workbookViewId="0">
      <selection activeCell="J11" sqref="J11"/>
    </sheetView>
  </sheetViews>
  <sheetFormatPr defaultRowHeight="15" x14ac:dyDescent="0.25"/>
  <cols>
    <col min="1" max="1" width="29.7109375" customWidth="1"/>
    <col min="2" max="2" width="33.42578125" customWidth="1"/>
    <col min="4" max="4" width="10.7109375" bestFit="1" customWidth="1"/>
    <col min="7" max="7" width="11.140625" bestFit="1" customWidth="1"/>
    <col min="8" max="8" width="11.140625" customWidth="1"/>
    <col min="9" max="9" width="11.5703125" bestFit="1" customWidth="1"/>
  </cols>
  <sheetData>
    <row r="1" spans="1:12" x14ac:dyDescent="0.25">
      <c r="A1" t="s">
        <v>0</v>
      </c>
      <c r="B1" t="s">
        <v>610</v>
      </c>
      <c r="C1" t="s">
        <v>1</v>
      </c>
      <c r="D1" t="s">
        <v>2</v>
      </c>
      <c r="E1" t="s">
        <v>3</v>
      </c>
      <c r="F1" t="s">
        <v>4</v>
      </c>
      <c r="G1" t="s">
        <v>5</v>
      </c>
    </row>
    <row r="2" spans="1:12" x14ac:dyDescent="0.25">
      <c r="A2" t="s">
        <v>589</v>
      </c>
      <c r="B2" t="s">
        <v>590</v>
      </c>
      <c r="C2">
        <v>4.8</v>
      </c>
      <c r="D2">
        <v>87841</v>
      </c>
      <c r="E2">
        <v>15</v>
      </c>
      <c r="F2">
        <v>2019</v>
      </c>
      <c r="G2" t="s">
        <v>10</v>
      </c>
      <c r="I2" s="9"/>
      <c r="J2">
        <v>1</v>
      </c>
      <c r="K2" t="s">
        <v>639</v>
      </c>
    </row>
    <row r="3" spans="1:12" x14ac:dyDescent="0.25">
      <c r="A3" t="s">
        <v>433</v>
      </c>
      <c r="B3" t="s">
        <v>434</v>
      </c>
      <c r="C3">
        <v>4.0999999999999996</v>
      </c>
      <c r="D3">
        <v>79446</v>
      </c>
      <c r="E3">
        <v>18</v>
      </c>
      <c r="F3">
        <v>2015</v>
      </c>
      <c r="G3" t="s">
        <v>10</v>
      </c>
      <c r="I3" s="9"/>
      <c r="J3">
        <v>2</v>
      </c>
      <c r="K3" t="s">
        <v>640</v>
      </c>
    </row>
    <row r="4" spans="1:12" x14ac:dyDescent="0.25">
      <c r="A4" t="s">
        <v>433</v>
      </c>
      <c r="B4" t="s">
        <v>434</v>
      </c>
      <c r="C4">
        <v>4.0999999999999996</v>
      </c>
      <c r="D4">
        <v>79446</v>
      </c>
      <c r="E4">
        <v>7</v>
      </c>
      <c r="F4">
        <v>2016</v>
      </c>
      <c r="G4" t="s">
        <v>10</v>
      </c>
      <c r="I4" s="9"/>
      <c r="K4" s="10" t="s">
        <v>641</v>
      </c>
      <c r="L4" t="s">
        <v>203</v>
      </c>
    </row>
    <row r="5" spans="1:12" x14ac:dyDescent="0.25">
      <c r="A5" t="s">
        <v>64</v>
      </c>
      <c r="B5" t="s">
        <v>65</v>
      </c>
      <c r="C5">
        <v>4.8</v>
      </c>
      <c r="D5">
        <v>61133</v>
      </c>
      <c r="E5">
        <v>11</v>
      </c>
      <c r="F5">
        <v>2018</v>
      </c>
      <c r="G5" t="s">
        <v>8</v>
      </c>
      <c r="I5" s="9"/>
      <c r="K5" s="10" t="s">
        <v>647</v>
      </c>
      <c r="L5" t="s">
        <v>315</v>
      </c>
    </row>
    <row r="6" spans="1:12" x14ac:dyDescent="0.25">
      <c r="A6" t="s">
        <v>64</v>
      </c>
      <c r="B6" t="s">
        <v>65</v>
      </c>
      <c r="C6">
        <v>4.8</v>
      </c>
      <c r="D6">
        <v>61133</v>
      </c>
      <c r="E6">
        <v>11</v>
      </c>
      <c r="F6">
        <v>2019</v>
      </c>
      <c r="G6" t="s">
        <v>8</v>
      </c>
      <c r="I6" s="9"/>
      <c r="K6" s="10" t="s">
        <v>648</v>
      </c>
      <c r="L6" t="s">
        <v>469</v>
      </c>
    </row>
    <row r="7" spans="1:12" x14ac:dyDescent="0.25">
      <c r="A7" t="s">
        <v>187</v>
      </c>
      <c r="B7" t="s">
        <v>188</v>
      </c>
      <c r="C7">
        <v>4</v>
      </c>
      <c r="D7">
        <v>57271</v>
      </c>
      <c r="E7">
        <v>10</v>
      </c>
      <c r="F7">
        <v>2012</v>
      </c>
      <c r="G7" t="s">
        <v>10</v>
      </c>
      <c r="I7" s="9"/>
      <c r="K7" s="10" t="s">
        <v>649</v>
      </c>
      <c r="L7" t="s">
        <v>268</v>
      </c>
    </row>
    <row r="8" spans="1:12" x14ac:dyDescent="0.25">
      <c r="A8" t="s">
        <v>187</v>
      </c>
      <c r="B8" t="s">
        <v>188</v>
      </c>
      <c r="C8">
        <v>4</v>
      </c>
      <c r="D8">
        <v>57271</v>
      </c>
      <c r="E8">
        <v>10</v>
      </c>
      <c r="F8">
        <v>2013</v>
      </c>
      <c r="G8" t="s">
        <v>10</v>
      </c>
      <c r="I8" s="9"/>
      <c r="K8" s="10" t="s">
        <v>646</v>
      </c>
      <c r="L8" t="s">
        <v>348</v>
      </c>
    </row>
    <row r="9" spans="1:12" x14ac:dyDescent="0.25">
      <c r="A9" t="s">
        <v>187</v>
      </c>
      <c r="B9" t="s">
        <v>188</v>
      </c>
      <c r="C9">
        <v>4</v>
      </c>
      <c r="D9">
        <v>57271</v>
      </c>
      <c r="E9">
        <v>9</v>
      </c>
      <c r="F9">
        <v>2014</v>
      </c>
      <c r="G9" t="s">
        <v>10</v>
      </c>
      <c r="I9" s="9"/>
      <c r="K9" s="10" t="s">
        <v>650</v>
      </c>
      <c r="L9" t="s">
        <v>538</v>
      </c>
    </row>
    <row r="10" spans="1:12" x14ac:dyDescent="0.25">
      <c r="A10" t="s">
        <v>426</v>
      </c>
      <c r="B10" t="s">
        <v>287</v>
      </c>
      <c r="C10">
        <v>4.7</v>
      </c>
      <c r="D10">
        <v>50482</v>
      </c>
      <c r="E10">
        <v>13</v>
      </c>
      <c r="F10">
        <v>2012</v>
      </c>
      <c r="G10" t="s">
        <v>10</v>
      </c>
      <c r="I10" s="9"/>
      <c r="K10" s="10" t="s">
        <v>651</v>
      </c>
      <c r="L10" t="s">
        <v>196</v>
      </c>
    </row>
    <row r="11" spans="1:12" x14ac:dyDescent="0.25">
      <c r="A11" t="s">
        <v>426</v>
      </c>
      <c r="B11" t="s">
        <v>287</v>
      </c>
      <c r="C11">
        <v>4.7</v>
      </c>
      <c r="D11">
        <v>50482</v>
      </c>
      <c r="E11">
        <v>13</v>
      </c>
      <c r="F11">
        <v>2013</v>
      </c>
      <c r="G11" t="s">
        <v>10</v>
      </c>
      <c r="I11" s="9"/>
      <c r="K11" s="10" t="s">
        <v>643</v>
      </c>
      <c r="L11" t="s">
        <v>367</v>
      </c>
    </row>
    <row r="12" spans="1:12" x14ac:dyDescent="0.25">
      <c r="A12" t="s">
        <v>426</v>
      </c>
      <c r="B12" t="s">
        <v>287</v>
      </c>
      <c r="C12">
        <v>4.7</v>
      </c>
      <c r="D12">
        <v>50482</v>
      </c>
      <c r="E12">
        <v>13</v>
      </c>
      <c r="F12">
        <v>2014</v>
      </c>
      <c r="G12" t="s">
        <v>10</v>
      </c>
      <c r="I12" s="9"/>
      <c r="K12" s="10" t="s">
        <v>644</v>
      </c>
      <c r="L12" t="s">
        <v>480</v>
      </c>
    </row>
    <row r="13" spans="1:12" x14ac:dyDescent="0.25">
      <c r="A13" t="s">
        <v>426</v>
      </c>
      <c r="B13" t="s">
        <v>287</v>
      </c>
      <c r="C13">
        <v>4.7</v>
      </c>
      <c r="D13">
        <v>50482</v>
      </c>
      <c r="E13">
        <v>7</v>
      </c>
      <c r="F13">
        <v>2014</v>
      </c>
      <c r="G13" t="s">
        <v>10</v>
      </c>
      <c r="I13" s="9"/>
      <c r="K13" s="10" t="s">
        <v>652</v>
      </c>
      <c r="L13" t="s">
        <v>76</v>
      </c>
    </row>
    <row r="14" spans="1:12" x14ac:dyDescent="0.25">
      <c r="A14" t="s">
        <v>489</v>
      </c>
      <c r="B14" t="s">
        <v>490</v>
      </c>
      <c r="C14">
        <v>4.8</v>
      </c>
      <c r="D14">
        <v>49288</v>
      </c>
      <c r="E14">
        <v>11</v>
      </c>
      <c r="F14">
        <v>2015</v>
      </c>
      <c r="G14" t="s">
        <v>10</v>
      </c>
      <c r="I14" s="9"/>
      <c r="K14" s="10" t="s">
        <v>653</v>
      </c>
      <c r="L14" t="s">
        <v>283</v>
      </c>
    </row>
    <row r="15" spans="1:12" x14ac:dyDescent="0.25">
      <c r="A15" t="s">
        <v>489</v>
      </c>
      <c r="B15" t="s">
        <v>490</v>
      </c>
      <c r="C15">
        <v>4.8</v>
      </c>
      <c r="D15">
        <v>49288</v>
      </c>
      <c r="E15">
        <v>11</v>
      </c>
      <c r="F15">
        <v>2016</v>
      </c>
      <c r="G15" t="s">
        <v>10</v>
      </c>
      <c r="I15" s="9"/>
      <c r="K15" s="10" t="s">
        <v>645</v>
      </c>
      <c r="L15" t="s">
        <v>251</v>
      </c>
    </row>
    <row r="16" spans="1:12" x14ac:dyDescent="0.25">
      <c r="A16" t="s">
        <v>157</v>
      </c>
      <c r="B16" t="s">
        <v>155</v>
      </c>
      <c r="C16">
        <v>3.8</v>
      </c>
      <c r="D16">
        <v>47265</v>
      </c>
      <c r="E16">
        <v>14</v>
      </c>
      <c r="F16">
        <v>2012</v>
      </c>
      <c r="G16" t="s">
        <v>10</v>
      </c>
      <c r="I16" s="9"/>
      <c r="K16" s="10" t="s">
        <v>642</v>
      </c>
      <c r="L16" t="s">
        <v>126</v>
      </c>
    </row>
    <row r="17" spans="1:12" x14ac:dyDescent="0.25">
      <c r="A17" t="s">
        <v>157</v>
      </c>
      <c r="B17" t="s">
        <v>155</v>
      </c>
      <c r="C17">
        <v>3.8</v>
      </c>
      <c r="D17">
        <v>47265</v>
      </c>
      <c r="E17">
        <v>14</v>
      </c>
      <c r="F17">
        <v>2013</v>
      </c>
      <c r="G17" t="s">
        <v>10</v>
      </c>
      <c r="I17" s="9"/>
      <c r="K17" s="10" t="s">
        <v>654</v>
      </c>
      <c r="L17" t="s">
        <v>534</v>
      </c>
    </row>
    <row r="18" spans="1:12" x14ac:dyDescent="0.25">
      <c r="A18" t="s">
        <v>482</v>
      </c>
      <c r="B18" t="s">
        <v>483</v>
      </c>
      <c r="C18">
        <v>4.7</v>
      </c>
      <c r="D18">
        <v>39459</v>
      </c>
      <c r="E18">
        <v>9</v>
      </c>
      <c r="F18">
        <v>2015</v>
      </c>
      <c r="G18" t="s">
        <v>10</v>
      </c>
      <c r="I18" s="9"/>
      <c r="J18">
        <v>3</v>
      </c>
      <c r="K18" s="6" t="s">
        <v>655</v>
      </c>
    </row>
    <row r="19" spans="1:12" x14ac:dyDescent="0.25">
      <c r="A19" t="s">
        <v>43</v>
      </c>
      <c r="B19" t="s">
        <v>44</v>
      </c>
      <c r="C19">
        <v>4.5999999999999996</v>
      </c>
      <c r="D19">
        <v>36348</v>
      </c>
      <c r="E19">
        <v>14</v>
      </c>
      <c r="F19">
        <v>2014</v>
      </c>
      <c r="G19" t="s">
        <v>10</v>
      </c>
      <c r="I19" s="9"/>
      <c r="J19">
        <v>4</v>
      </c>
      <c r="K19" s="6" t="s">
        <v>656</v>
      </c>
    </row>
    <row r="20" spans="1:12" x14ac:dyDescent="0.25">
      <c r="A20" t="s">
        <v>43</v>
      </c>
      <c r="B20" t="s">
        <v>44</v>
      </c>
      <c r="C20">
        <v>4.5999999999999996</v>
      </c>
      <c r="D20">
        <v>36348</v>
      </c>
      <c r="E20">
        <v>14</v>
      </c>
      <c r="F20">
        <v>2015</v>
      </c>
      <c r="G20" t="s">
        <v>10</v>
      </c>
      <c r="I20" s="9"/>
    </row>
    <row r="21" spans="1:12" x14ac:dyDescent="0.25">
      <c r="A21" t="s">
        <v>389</v>
      </c>
      <c r="B21" t="s">
        <v>390</v>
      </c>
      <c r="C21">
        <v>4.7</v>
      </c>
      <c r="D21">
        <v>35799</v>
      </c>
      <c r="E21">
        <v>39</v>
      </c>
      <c r="F21">
        <v>2014</v>
      </c>
      <c r="G21" t="s">
        <v>10</v>
      </c>
      <c r="I21" s="9"/>
    </row>
    <row r="22" spans="1:12" x14ac:dyDescent="0.25">
      <c r="A22" t="s">
        <v>442</v>
      </c>
      <c r="B22" t="s">
        <v>443</v>
      </c>
      <c r="C22">
        <v>3.9</v>
      </c>
      <c r="D22">
        <v>33844</v>
      </c>
      <c r="E22">
        <v>20</v>
      </c>
      <c r="F22">
        <v>2013</v>
      </c>
      <c r="G22" t="s">
        <v>10</v>
      </c>
      <c r="I22" s="9"/>
    </row>
    <row r="23" spans="1:12" x14ac:dyDescent="0.25">
      <c r="A23" t="s">
        <v>442</v>
      </c>
      <c r="B23" t="s">
        <v>443</v>
      </c>
      <c r="C23">
        <v>3.9</v>
      </c>
      <c r="D23">
        <v>33844</v>
      </c>
      <c r="E23">
        <v>20</v>
      </c>
      <c r="F23">
        <v>2014</v>
      </c>
      <c r="G23" t="s">
        <v>10</v>
      </c>
      <c r="I23" s="9"/>
    </row>
    <row r="24" spans="1:12" x14ac:dyDescent="0.25">
      <c r="A24" t="s">
        <v>458</v>
      </c>
      <c r="B24" t="s">
        <v>86</v>
      </c>
      <c r="C24">
        <v>4.7</v>
      </c>
      <c r="D24">
        <v>32122</v>
      </c>
      <c r="E24">
        <v>14</v>
      </c>
      <c r="F24">
        <v>2010</v>
      </c>
      <c r="G24" t="s">
        <v>10</v>
      </c>
      <c r="I24" s="9"/>
    </row>
    <row r="25" spans="1:12" x14ac:dyDescent="0.25">
      <c r="A25" t="s">
        <v>459</v>
      </c>
      <c r="B25" t="s">
        <v>86</v>
      </c>
      <c r="C25">
        <v>4.7</v>
      </c>
      <c r="D25">
        <v>32122</v>
      </c>
      <c r="E25">
        <v>8</v>
      </c>
      <c r="F25">
        <v>2011</v>
      </c>
      <c r="G25" t="s">
        <v>10</v>
      </c>
      <c r="I25" s="9"/>
    </row>
    <row r="26" spans="1:12" x14ac:dyDescent="0.25">
      <c r="A26" t="s">
        <v>459</v>
      </c>
      <c r="B26" t="s">
        <v>86</v>
      </c>
      <c r="C26">
        <v>4.7</v>
      </c>
      <c r="D26">
        <v>32122</v>
      </c>
      <c r="E26">
        <v>8</v>
      </c>
      <c r="F26">
        <v>2012</v>
      </c>
      <c r="G26" t="s">
        <v>10</v>
      </c>
      <c r="I26" s="9"/>
    </row>
    <row r="27" spans="1:12" x14ac:dyDescent="0.25">
      <c r="A27" t="s">
        <v>539</v>
      </c>
      <c r="B27" t="s">
        <v>540</v>
      </c>
      <c r="C27">
        <v>4.8</v>
      </c>
      <c r="D27">
        <v>30183</v>
      </c>
      <c r="E27">
        <v>4</v>
      </c>
      <c r="F27">
        <v>2018</v>
      </c>
      <c r="G27" t="s">
        <v>10</v>
      </c>
      <c r="I27" s="9"/>
    </row>
    <row r="28" spans="1:12" x14ac:dyDescent="0.25">
      <c r="A28" t="s">
        <v>539</v>
      </c>
      <c r="B28" t="s">
        <v>540</v>
      </c>
      <c r="C28">
        <v>4.8</v>
      </c>
      <c r="D28">
        <v>30183</v>
      </c>
      <c r="E28">
        <v>4</v>
      </c>
      <c r="F28">
        <v>2019</v>
      </c>
      <c r="G28" t="s">
        <v>10</v>
      </c>
      <c r="I28" s="9"/>
    </row>
    <row r="29" spans="1:12" x14ac:dyDescent="0.25">
      <c r="A29" t="s">
        <v>565</v>
      </c>
      <c r="B29" t="s">
        <v>566</v>
      </c>
      <c r="C29">
        <v>4.8</v>
      </c>
      <c r="D29">
        <v>29673</v>
      </c>
      <c r="E29">
        <v>16</v>
      </c>
      <c r="F29">
        <v>2010</v>
      </c>
      <c r="G29" t="s">
        <v>8</v>
      </c>
      <c r="I29" s="9"/>
    </row>
    <row r="30" spans="1:12" x14ac:dyDescent="0.25">
      <c r="A30" t="s">
        <v>565</v>
      </c>
      <c r="B30" t="s">
        <v>566</v>
      </c>
      <c r="C30">
        <v>4.8</v>
      </c>
      <c r="D30">
        <v>29673</v>
      </c>
      <c r="E30">
        <v>16</v>
      </c>
      <c r="F30">
        <v>2011</v>
      </c>
      <c r="G30" t="s">
        <v>8</v>
      </c>
      <c r="I30" s="9"/>
    </row>
    <row r="31" spans="1:12" x14ac:dyDescent="0.25">
      <c r="A31" t="s">
        <v>565</v>
      </c>
      <c r="B31" t="s">
        <v>566</v>
      </c>
      <c r="C31">
        <v>4.8</v>
      </c>
      <c r="D31">
        <v>29673</v>
      </c>
      <c r="E31">
        <v>16</v>
      </c>
      <c r="F31">
        <v>2012</v>
      </c>
      <c r="G31" t="s">
        <v>8</v>
      </c>
      <c r="I31" s="9"/>
    </row>
    <row r="32" spans="1:12" x14ac:dyDescent="0.25">
      <c r="A32" t="s">
        <v>565</v>
      </c>
      <c r="B32" t="s">
        <v>566</v>
      </c>
      <c r="C32">
        <v>4.8</v>
      </c>
      <c r="D32">
        <v>29673</v>
      </c>
      <c r="E32">
        <v>16</v>
      </c>
      <c r="F32">
        <v>2014</v>
      </c>
      <c r="G32" t="s">
        <v>8</v>
      </c>
      <c r="I32" s="9"/>
    </row>
    <row r="33" spans="1:9" x14ac:dyDescent="0.25">
      <c r="A33" t="s">
        <v>565</v>
      </c>
      <c r="B33" t="s">
        <v>566</v>
      </c>
      <c r="C33">
        <v>4.8</v>
      </c>
      <c r="D33">
        <v>29673</v>
      </c>
      <c r="E33">
        <v>13</v>
      </c>
      <c r="F33">
        <v>2014</v>
      </c>
      <c r="G33" t="s">
        <v>8</v>
      </c>
      <c r="I33" s="9"/>
    </row>
    <row r="34" spans="1:9" x14ac:dyDescent="0.25">
      <c r="A34" t="s">
        <v>242</v>
      </c>
      <c r="B34" t="s">
        <v>243</v>
      </c>
      <c r="C34">
        <v>4.0999999999999996</v>
      </c>
      <c r="D34">
        <v>29651</v>
      </c>
      <c r="E34">
        <v>14</v>
      </c>
      <c r="F34">
        <v>2013</v>
      </c>
      <c r="G34" t="s">
        <v>10</v>
      </c>
      <c r="I34" s="9"/>
    </row>
    <row r="35" spans="1:9" x14ac:dyDescent="0.25">
      <c r="A35" t="s">
        <v>449</v>
      </c>
      <c r="B35" t="s">
        <v>450</v>
      </c>
      <c r="C35">
        <v>4.3</v>
      </c>
      <c r="D35">
        <v>29442</v>
      </c>
      <c r="E35">
        <v>7</v>
      </c>
      <c r="F35">
        <v>2017</v>
      </c>
      <c r="G35" t="s">
        <v>10</v>
      </c>
      <c r="I35" s="9"/>
    </row>
    <row r="36" spans="1:9" x14ac:dyDescent="0.25">
      <c r="A36" t="s">
        <v>144</v>
      </c>
      <c r="B36" t="s">
        <v>145</v>
      </c>
      <c r="C36">
        <v>4.7</v>
      </c>
      <c r="D36">
        <v>28729</v>
      </c>
      <c r="E36">
        <v>15</v>
      </c>
      <c r="F36">
        <v>2018</v>
      </c>
      <c r="G36" t="s">
        <v>8</v>
      </c>
      <c r="I36" s="9"/>
    </row>
    <row r="37" spans="1:9" x14ac:dyDescent="0.25">
      <c r="A37" t="s">
        <v>144</v>
      </c>
      <c r="B37" t="s">
        <v>145</v>
      </c>
      <c r="C37">
        <v>4.7</v>
      </c>
      <c r="D37">
        <v>28729</v>
      </c>
      <c r="E37">
        <v>15</v>
      </c>
      <c r="F37">
        <v>2019</v>
      </c>
      <c r="G37" t="s">
        <v>8</v>
      </c>
      <c r="I37" s="9"/>
    </row>
    <row r="38" spans="1:9" x14ac:dyDescent="0.25">
      <c r="A38" t="s">
        <v>516</v>
      </c>
      <c r="B38" t="s">
        <v>517</v>
      </c>
      <c r="C38">
        <v>4.5</v>
      </c>
      <c r="D38">
        <v>27536</v>
      </c>
      <c r="E38">
        <v>14</v>
      </c>
      <c r="F38">
        <v>2019</v>
      </c>
      <c r="G38" t="s">
        <v>10</v>
      </c>
      <c r="I38" s="9"/>
    </row>
    <row r="39" spans="1:9" x14ac:dyDescent="0.25">
      <c r="A39" t="s">
        <v>119</v>
      </c>
      <c r="B39" t="s">
        <v>46</v>
      </c>
      <c r="C39">
        <v>4.5999999999999996</v>
      </c>
      <c r="D39">
        <v>27098</v>
      </c>
      <c r="E39">
        <v>15</v>
      </c>
      <c r="F39">
        <v>2013</v>
      </c>
      <c r="G39" t="s">
        <v>10</v>
      </c>
      <c r="I39" s="9"/>
    </row>
    <row r="40" spans="1:9" x14ac:dyDescent="0.25">
      <c r="A40" t="s">
        <v>119</v>
      </c>
      <c r="B40" t="s">
        <v>46</v>
      </c>
      <c r="C40">
        <v>4.5999999999999996</v>
      </c>
      <c r="D40">
        <v>27098</v>
      </c>
      <c r="E40">
        <v>15</v>
      </c>
      <c r="F40">
        <v>2014</v>
      </c>
      <c r="G40" t="s">
        <v>10</v>
      </c>
      <c r="I40" s="9"/>
    </row>
    <row r="41" spans="1:9" x14ac:dyDescent="0.25">
      <c r="A41" t="s">
        <v>304</v>
      </c>
      <c r="B41" t="s">
        <v>86</v>
      </c>
      <c r="C41">
        <v>4.5</v>
      </c>
      <c r="D41">
        <v>26741</v>
      </c>
      <c r="E41">
        <v>8</v>
      </c>
      <c r="F41">
        <v>2010</v>
      </c>
      <c r="G41" t="s">
        <v>10</v>
      </c>
      <c r="I41" s="9"/>
    </row>
    <row r="42" spans="1:9" x14ac:dyDescent="0.25">
      <c r="A42" t="s">
        <v>304</v>
      </c>
      <c r="B42" t="s">
        <v>86</v>
      </c>
      <c r="C42">
        <v>4.5</v>
      </c>
      <c r="D42">
        <v>26741</v>
      </c>
      <c r="E42">
        <v>8</v>
      </c>
      <c r="F42">
        <v>2011</v>
      </c>
      <c r="G42" t="s">
        <v>10</v>
      </c>
      <c r="I42" s="9"/>
    </row>
    <row r="43" spans="1:9" x14ac:dyDescent="0.25">
      <c r="A43" t="s">
        <v>304</v>
      </c>
      <c r="B43" t="s">
        <v>86</v>
      </c>
      <c r="C43">
        <v>4.5</v>
      </c>
      <c r="D43">
        <v>26741</v>
      </c>
      <c r="E43">
        <v>8</v>
      </c>
      <c r="F43">
        <v>2012</v>
      </c>
      <c r="G43" t="s">
        <v>10</v>
      </c>
      <c r="I43" s="9"/>
    </row>
    <row r="44" spans="1:9" x14ac:dyDescent="0.25">
      <c r="A44" t="s">
        <v>519</v>
      </c>
      <c r="B44" t="s">
        <v>520</v>
      </c>
      <c r="C44">
        <v>4.5999999999999996</v>
      </c>
      <c r="D44">
        <v>26490</v>
      </c>
      <c r="E44">
        <v>15</v>
      </c>
      <c r="F44">
        <v>2017</v>
      </c>
      <c r="G44" t="s">
        <v>8</v>
      </c>
      <c r="I44" s="9"/>
    </row>
    <row r="45" spans="1:9" x14ac:dyDescent="0.25">
      <c r="A45" t="s">
        <v>519</v>
      </c>
      <c r="B45" t="s">
        <v>520</v>
      </c>
      <c r="C45">
        <v>4.5999999999999996</v>
      </c>
      <c r="D45">
        <v>26490</v>
      </c>
      <c r="E45">
        <v>15</v>
      </c>
      <c r="F45">
        <v>2018</v>
      </c>
      <c r="G45" t="s">
        <v>8</v>
      </c>
      <c r="I45" s="9"/>
    </row>
    <row r="46" spans="1:9" x14ac:dyDescent="0.25">
      <c r="A46" t="s">
        <v>519</v>
      </c>
      <c r="B46" t="s">
        <v>520</v>
      </c>
      <c r="C46">
        <v>4.5999999999999996</v>
      </c>
      <c r="D46">
        <v>26490</v>
      </c>
      <c r="E46">
        <v>15</v>
      </c>
      <c r="F46">
        <v>2019</v>
      </c>
      <c r="G46" t="s">
        <v>8</v>
      </c>
      <c r="I46" s="9"/>
    </row>
    <row r="47" spans="1:9" x14ac:dyDescent="0.25">
      <c r="A47" t="s">
        <v>557</v>
      </c>
      <c r="B47" t="s">
        <v>182</v>
      </c>
      <c r="C47">
        <v>4.8</v>
      </c>
      <c r="D47">
        <v>26234</v>
      </c>
      <c r="E47">
        <v>0</v>
      </c>
      <c r="F47">
        <v>2013</v>
      </c>
      <c r="G47" t="s">
        <v>10</v>
      </c>
      <c r="I47" s="9"/>
    </row>
    <row r="48" spans="1:9" x14ac:dyDescent="0.25">
      <c r="A48" t="s">
        <v>557</v>
      </c>
      <c r="B48" t="s">
        <v>182</v>
      </c>
      <c r="C48">
        <v>4.8</v>
      </c>
      <c r="D48">
        <v>26234</v>
      </c>
      <c r="E48">
        <v>0</v>
      </c>
      <c r="F48">
        <v>2014</v>
      </c>
      <c r="G48" t="s">
        <v>10</v>
      </c>
      <c r="I48" s="9"/>
    </row>
    <row r="49" spans="1:9" x14ac:dyDescent="0.25">
      <c r="A49" t="s">
        <v>557</v>
      </c>
      <c r="B49" t="s">
        <v>182</v>
      </c>
      <c r="C49">
        <v>4.8</v>
      </c>
      <c r="D49">
        <v>26234</v>
      </c>
      <c r="E49">
        <v>0</v>
      </c>
      <c r="F49">
        <v>2015</v>
      </c>
      <c r="G49" t="s">
        <v>10</v>
      </c>
      <c r="I49" s="9"/>
    </row>
    <row r="50" spans="1:9" x14ac:dyDescent="0.25">
      <c r="A50" t="s">
        <v>557</v>
      </c>
      <c r="B50" t="s">
        <v>182</v>
      </c>
      <c r="C50">
        <v>4.8</v>
      </c>
      <c r="D50">
        <v>26234</v>
      </c>
      <c r="E50">
        <v>0</v>
      </c>
      <c r="F50">
        <v>2016</v>
      </c>
      <c r="G50" t="s">
        <v>10</v>
      </c>
      <c r="I50" s="9"/>
    </row>
    <row r="51" spans="1:9" x14ac:dyDescent="0.25">
      <c r="A51" t="s">
        <v>557</v>
      </c>
      <c r="B51" t="s">
        <v>182</v>
      </c>
      <c r="C51">
        <v>4.8</v>
      </c>
      <c r="D51">
        <v>26234</v>
      </c>
      <c r="E51">
        <v>7</v>
      </c>
      <c r="F51">
        <v>2019</v>
      </c>
      <c r="G51" t="s">
        <v>10</v>
      </c>
      <c r="I51" s="9"/>
    </row>
    <row r="52" spans="1:9" x14ac:dyDescent="0.25">
      <c r="A52" t="s">
        <v>284</v>
      </c>
      <c r="B52" t="s">
        <v>285</v>
      </c>
      <c r="C52">
        <v>4.5</v>
      </c>
      <c r="D52">
        <v>25706</v>
      </c>
      <c r="E52">
        <v>12</v>
      </c>
      <c r="F52">
        <v>2018</v>
      </c>
      <c r="G52" t="s">
        <v>10</v>
      </c>
      <c r="I52" s="9"/>
    </row>
    <row r="53" spans="1:9" x14ac:dyDescent="0.25">
      <c r="A53" t="s">
        <v>199</v>
      </c>
      <c r="B53" t="s">
        <v>155</v>
      </c>
      <c r="C53">
        <v>4.4000000000000004</v>
      </c>
      <c r="D53">
        <v>25624</v>
      </c>
      <c r="E53">
        <v>14</v>
      </c>
      <c r="F53">
        <v>2015</v>
      </c>
      <c r="G53" t="s">
        <v>10</v>
      </c>
      <c r="I53" s="9"/>
    </row>
    <row r="54" spans="1:9" x14ac:dyDescent="0.25">
      <c r="A54" t="s">
        <v>384</v>
      </c>
      <c r="B54" t="s">
        <v>383</v>
      </c>
      <c r="C54">
        <v>4.8</v>
      </c>
      <c r="D54">
        <v>25554</v>
      </c>
      <c r="E54">
        <v>8</v>
      </c>
      <c r="F54">
        <v>2015</v>
      </c>
      <c r="G54" t="s">
        <v>8</v>
      </c>
      <c r="I54" s="9"/>
    </row>
    <row r="55" spans="1:9" x14ac:dyDescent="0.25">
      <c r="A55" t="s">
        <v>384</v>
      </c>
      <c r="B55" t="s">
        <v>383</v>
      </c>
      <c r="C55">
        <v>4.8</v>
      </c>
      <c r="D55">
        <v>25554</v>
      </c>
      <c r="E55">
        <v>8</v>
      </c>
      <c r="F55">
        <v>2016</v>
      </c>
      <c r="G55" t="s">
        <v>8</v>
      </c>
      <c r="I55" s="9"/>
    </row>
    <row r="56" spans="1:9" x14ac:dyDescent="0.25">
      <c r="A56" t="s">
        <v>384</v>
      </c>
      <c r="B56" t="s">
        <v>383</v>
      </c>
      <c r="C56">
        <v>4.8</v>
      </c>
      <c r="D56">
        <v>25554</v>
      </c>
      <c r="E56">
        <v>8</v>
      </c>
      <c r="F56">
        <v>2017</v>
      </c>
      <c r="G56" t="s">
        <v>8</v>
      </c>
      <c r="I56" s="9"/>
    </row>
    <row r="57" spans="1:9" x14ac:dyDescent="0.25">
      <c r="A57" t="s">
        <v>384</v>
      </c>
      <c r="B57" t="s">
        <v>383</v>
      </c>
      <c r="C57">
        <v>4.8</v>
      </c>
      <c r="D57">
        <v>25554</v>
      </c>
      <c r="E57">
        <v>8</v>
      </c>
      <c r="F57">
        <v>2018</v>
      </c>
      <c r="G57" t="s">
        <v>8</v>
      </c>
      <c r="I57" s="9"/>
    </row>
    <row r="58" spans="1:9" x14ac:dyDescent="0.25">
      <c r="A58" t="s">
        <v>384</v>
      </c>
      <c r="B58" t="s">
        <v>383</v>
      </c>
      <c r="C58">
        <v>4.8</v>
      </c>
      <c r="D58">
        <v>25554</v>
      </c>
      <c r="E58">
        <v>8</v>
      </c>
      <c r="F58">
        <v>2019</v>
      </c>
      <c r="G58" t="s">
        <v>8</v>
      </c>
      <c r="I58" s="9"/>
    </row>
    <row r="59" spans="1:9" x14ac:dyDescent="0.25">
      <c r="A59" t="s">
        <v>223</v>
      </c>
      <c r="B59" t="s">
        <v>224</v>
      </c>
      <c r="C59">
        <v>4.7</v>
      </c>
      <c r="D59">
        <v>25001</v>
      </c>
      <c r="E59">
        <v>11</v>
      </c>
      <c r="F59">
        <v>2014</v>
      </c>
      <c r="G59" t="s">
        <v>8</v>
      </c>
      <c r="I59" s="9"/>
    </row>
    <row r="60" spans="1:9" x14ac:dyDescent="0.25">
      <c r="A60" t="s">
        <v>223</v>
      </c>
      <c r="B60" t="s">
        <v>224</v>
      </c>
      <c r="C60">
        <v>4.7</v>
      </c>
      <c r="D60">
        <v>25001</v>
      </c>
      <c r="E60">
        <v>11</v>
      </c>
      <c r="F60">
        <v>2015</v>
      </c>
      <c r="G60" t="s">
        <v>8</v>
      </c>
      <c r="I60" s="9"/>
    </row>
    <row r="61" spans="1:9" x14ac:dyDescent="0.25">
      <c r="A61" t="s">
        <v>223</v>
      </c>
      <c r="B61" t="s">
        <v>224</v>
      </c>
      <c r="C61">
        <v>4.7</v>
      </c>
      <c r="D61">
        <v>25001</v>
      </c>
      <c r="E61">
        <v>11</v>
      </c>
      <c r="F61">
        <v>2016</v>
      </c>
      <c r="G61" t="s">
        <v>8</v>
      </c>
      <c r="I61" s="9"/>
    </row>
    <row r="62" spans="1:9" x14ac:dyDescent="0.25">
      <c r="A62" t="s">
        <v>223</v>
      </c>
      <c r="B62" t="s">
        <v>224</v>
      </c>
      <c r="C62">
        <v>4.7</v>
      </c>
      <c r="D62">
        <v>25001</v>
      </c>
      <c r="E62">
        <v>11</v>
      </c>
      <c r="F62">
        <v>2017</v>
      </c>
      <c r="G62" t="s">
        <v>8</v>
      </c>
      <c r="I62" s="9"/>
    </row>
    <row r="63" spans="1:9" x14ac:dyDescent="0.25">
      <c r="A63" t="s">
        <v>223</v>
      </c>
      <c r="B63" t="s">
        <v>224</v>
      </c>
      <c r="C63">
        <v>4.7</v>
      </c>
      <c r="D63">
        <v>25001</v>
      </c>
      <c r="E63">
        <v>11</v>
      </c>
      <c r="F63">
        <v>2018</v>
      </c>
      <c r="G63" t="s">
        <v>8</v>
      </c>
      <c r="I63" s="9"/>
    </row>
    <row r="64" spans="1:9" x14ac:dyDescent="0.25">
      <c r="A64" t="s">
        <v>207</v>
      </c>
      <c r="B64" t="s">
        <v>151</v>
      </c>
      <c r="C64">
        <v>4</v>
      </c>
      <c r="D64">
        <v>23973</v>
      </c>
      <c r="E64">
        <v>12</v>
      </c>
      <c r="F64">
        <v>2016</v>
      </c>
      <c r="G64" t="s">
        <v>10</v>
      </c>
      <c r="I64" s="9"/>
    </row>
    <row r="65" spans="1:9" x14ac:dyDescent="0.25">
      <c r="A65" t="s">
        <v>24</v>
      </c>
      <c r="B65" t="s">
        <v>25</v>
      </c>
      <c r="C65">
        <v>4.5999999999999996</v>
      </c>
      <c r="D65">
        <v>23848</v>
      </c>
      <c r="E65">
        <v>8</v>
      </c>
      <c r="F65">
        <v>2016</v>
      </c>
      <c r="G65" t="s">
        <v>10</v>
      </c>
      <c r="I65" s="9"/>
    </row>
    <row r="66" spans="1:9" x14ac:dyDescent="0.25">
      <c r="A66" t="s">
        <v>24</v>
      </c>
      <c r="B66" t="s">
        <v>25</v>
      </c>
      <c r="C66">
        <v>4.5999999999999996</v>
      </c>
      <c r="D66">
        <v>23848</v>
      </c>
      <c r="E66">
        <v>8</v>
      </c>
      <c r="F66">
        <v>2017</v>
      </c>
      <c r="G66" t="s">
        <v>10</v>
      </c>
      <c r="I66" s="9"/>
    </row>
    <row r="67" spans="1:9" x14ac:dyDescent="0.25">
      <c r="A67" t="s">
        <v>154</v>
      </c>
      <c r="B67" t="s">
        <v>155</v>
      </c>
      <c r="C67">
        <v>4.4000000000000004</v>
      </c>
      <c r="D67">
        <v>23631</v>
      </c>
      <c r="E67">
        <v>7</v>
      </c>
      <c r="F67">
        <v>2012</v>
      </c>
      <c r="G67" t="s">
        <v>10</v>
      </c>
      <c r="I67" s="9"/>
    </row>
    <row r="68" spans="1:9" x14ac:dyDescent="0.25">
      <c r="A68" t="s">
        <v>408</v>
      </c>
      <c r="B68" t="s">
        <v>409</v>
      </c>
      <c r="C68">
        <v>4.8</v>
      </c>
      <c r="D68">
        <v>23358</v>
      </c>
      <c r="E68">
        <v>12</v>
      </c>
      <c r="F68">
        <v>2014</v>
      </c>
      <c r="G68" t="s">
        <v>8</v>
      </c>
      <c r="I68" s="9"/>
    </row>
    <row r="69" spans="1:9" x14ac:dyDescent="0.25">
      <c r="A69" t="s">
        <v>408</v>
      </c>
      <c r="B69" t="s">
        <v>409</v>
      </c>
      <c r="C69">
        <v>4.8</v>
      </c>
      <c r="D69">
        <v>23358</v>
      </c>
      <c r="E69">
        <v>12</v>
      </c>
      <c r="F69">
        <v>2015</v>
      </c>
      <c r="G69" t="s">
        <v>8</v>
      </c>
      <c r="I69" s="9"/>
    </row>
    <row r="70" spans="1:9" x14ac:dyDescent="0.25">
      <c r="A70" t="s">
        <v>430</v>
      </c>
      <c r="B70" t="s">
        <v>431</v>
      </c>
      <c r="C70">
        <v>4.7</v>
      </c>
      <c r="D70">
        <v>23308</v>
      </c>
      <c r="E70">
        <v>6</v>
      </c>
      <c r="F70">
        <v>2013</v>
      </c>
      <c r="G70" t="s">
        <v>8</v>
      </c>
      <c r="I70" s="9"/>
    </row>
    <row r="71" spans="1:9" x14ac:dyDescent="0.25">
      <c r="A71" t="s">
        <v>430</v>
      </c>
      <c r="B71" t="s">
        <v>431</v>
      </c>
      <c r="C71">
        <v>4.7</v>
      </c>
      <c r="D71">
        <v>23308</v>
      </c>
      <c r="E71">
        <v>6</v>
      </c>
      <c r="F71">
        <v>2015</v>
      </c>
      <c r="G71" t="s">
        <v>8</v>
      </c>
      <c r="I71" s="9"/>
    </row>
    <row r="72" spans="1:9" x14ac:dyDescent="0.25">
      <c r="A72" t="s">
        <v>430</v>
      </c>
      <c r="B72" t="s">
        <v>431</v>
      </c>
      <c r="C72">
        <v>4.7</v>
      </c>
      <c r="D72">
        <v>23308</v>
      </c>
      <c r="E72">
        <v>6</v>
      </c>
      <c r="F72">
        <v>2016</v>
      </c>
      <c r="G72" t="s">
        <v>8</v>
      </c>
      <c r="I72" s="9"/>
    </row>
    <row r="73" spans="1:9" x14ac:dyDescent="0.25">
      <c r="A73" t="s">
        <v>430</v>
      </c>
      <c r="B73" t="s">
        <v>431</v>
      </c>
      <c r="C73">
        <v>4.7</v>
      </c>
      <c r="D73">
        <v>23308</v>
      </c>
      <c r="E73">
        <v>6</v>
      </c>
      <c r="F73">
        <v>2017</v>
      </c>
      <c r="G73" t="s">
        <v>8</v>
      </c>
      <c r="I73" s="9"/>
    </row>
    <row r="74" spans="1:9" x14ac:dyDescent="0.25">
      <c r="A74" t="s">
        <v>430</v>
      </c>
      <c r="B74" t="s">
        <v>431</v>
      </c>
      <c r="C74">
        <v>4.7</v>
      </c>
      <c r="D74">
        <v>23308</v>
      </c>
      <c r="E74">
        <v>6</v>
      </c>
      <c r="F74">
        <v>2018</v>
      </c>
      <c r="G74" t="s">
        <v>8</v>
      </c>
      <c r="I74" s="9"/>
    </row>
    <row r="75" spans="1:9" x14ac:dyDescent="0.25">
      <c r="A75" t="s">
        <v>430</v>
      </c>
      <c r="B75" t="s">
        <v>431</v>
      </c>
      <c r="C75">
        <v>4.7</v>
      </c>
      <c r="D75">
        <v>23308</v>
      </c>
      <c r="E75">
        <v>6</v>
      </c>
      <c r="F75">
        <v>2019</v>
      </c>
      <c r="G75" t="s">
        <v>8</v>
      </c>
      <c r="I75" s="9"/>
    </row>
    <row r="76" spans="1:9" x14ac:dyDescent="0.25">
      <c r="A76" t="s">
        <v>404</v>
      </c>
      <c r="B76" t="s">
        <v>405</v>
      </c>
      <c r="C76">
        <v>4.5999999999999996</v>
      </c>
      <c r="D76">
        <v>23148</v>
      </c>
      <c r="E76">
        <v>6</v>
      </c>
      <c r="F76">
        <v>2013</v>
      </c>
      <c r="G76" t="s">
        <v>10</v>
      </c>
      <c r="I76" s="9"/>
    </row>
    <row r="77" spans="1:9" x14ac:dyDescent="0.25">
      <c r="A77" t="s">
        <v>404</v>
      </c>
      <c r="B77" t="s">
        <v>405</v>
      </c>
      <c r="C77">
        <v>4.5999999999999996</v>
      </c>
      <c r="D77">
        <v>23148</v>
      </c>
      <c r="E77">
        <v>6</v>
      </c>
      <c r="F77">
        <v>2014</v>
      </c>
      <c r="G77" t="s">
        <v>10</v>
      </c>
      <c r="I77" s="9"/>
    </row>
    <row r="78" spans="1:9" x14ac:dyDescent="0.25">
      <c r="A78" t="s">
        <v>374</v>
      </c>
      <c r="B78" t="s">
        <v>375</v>
      </c>
      <c r="C78">
        <v>4.5</v>
      </c>
      <c r="D78">
        <v>23114</v>
      </c>
      <c r="E78">
        <v>18</v>
      </c>
      <c r="F78">
        <v>2013</v>
      </c>
      <c r="G78" t="s">
        <v>10</v>
      </c>
      <c r="I78" s="9"/>
    </row>
    <row r="79" spans="1:9" x14ac:dyDescent="0.25">
      <c r="A79" t="s">
        <v>354</v>
      </c>
      <c r="B79" t="s">
        <v>355</v>
      </c>
      <c r="C79">
        <v>4.8</v>
      </c>
      <c r="D79">
        <v>23047</v>
      </c>
      <c r="E79">
        <v>6</v>
      </c>
      <c r="F79">
        <v>2018</v>
      </c>
      <c r="G79" t="s">
        <v>8</v>
      </c>
      <c r="I79" s="9"/>
    </row>
    <row r="80" spans="1:9" x14ac:dyDescent="0.25">
      <c r="A80" t="s">
        <v>354</v>
      </c>
      <c r="B80" t="s">
        <v>355</v>
      </c>
      <c r="C80">
        <v>4.8</v>
      </c>
      <c r="D80">
        <v>23047</v>
      </c>
      <c r="E80">
        <v>6</v>
      </c>
      <c r="F80">
        <v>2019</v>
      </c>
      <c r="G80" t="s">
        <v>8</v>
      </c>
      <c r="I80" s="9"/>
    </row>
    <row r="81" spans="1:9" x14ac:dyDescent="0.25">
      <c r="A81" t="s">
        <v>472</v>
      </c>
      <c r="B81" t="s">
        <v>473</v>
      </c>
      <c r="C81">
        <v>4.5</v>
      </c>
      <c r="D81">
        <v>22641</v>
      </c>
      <c r="E81">
        <v>11</v>
      </c>
      <c r="F81">
        <v>2015</v>
      </c>
      <c r="G81" t="s">
        <v>8</v>
      </c>
      <c r="I81" s="9"/>
    </row>
    <row r="82" spans="1:9" x14ac:dyDescent="0.25">
      <c r="A82" t="s">
        <v>472</v>
      </c>
      <c r="B82" t="s">
        <v>473</v>
      </c>
      <c r="C82">
        <v>4.5</v>
      </c>
      <c r="D82">
        <v>22641</v>
      </c>
      <c r="E82">
        <v>11</v>
      </c>
      <c r="F82">
        <v>2016</v>
      </c>
      <c r="G82" t="s">
        <v>8</v>
      </c>
      <c r="I82" s="9"/>
    </row>
    <row r="83" spans="1:9" x14ac:dyDescent="0.25">
      <c r="A83" t="s">
        <v>472</v>
      </c>
      <c r="B83" t="s">
        <v>473</v>
      </c>
      <c r="C83">
        <v>4.5</v>
      </c>
      <c r="D83">
        <v>22641</v>
      </c>
      <c r="E83">
        <v>11</v>
      </c>
      <c r="F83">
        <v>2017</v>
      </c>
      <c r="G83" t="s">
        <v>8</v>
      </c>
      <c r="I83" s="9"/>
    </row>
    <row r="84" spans="1:9" x14ac:dyDescent="0.25">
      <c r="A84" t="s">
        <v>472</v>
      </c>
      <c r="B84" t="s">
        <v>473</v>
      </c>
      <c r="C84">
        <v>4.5</v>
      </c>
      <c r="D84">
        <v>22641</v>
      </c>
      <c r="E84">
        <v>11</v>
      </c>
      <c r="F84">
        <v>2019</v>
      </c>
      <c r="G84" t="s">
        <v>8</v>
      </c>
      <c r="I84" s="9"/>
    </row>
    <row r="85" spans="1:9" x14ac:dyDescent="0.25">
      <c r="A85" t="s">
        <v>85</v>
      </c>
      <c r="B85" t="s">
        <v>86</v>
      </c>
      <c r="C85">
        <v>4.7</v>
      </c>
      <c r="D85">
        <v>22614</v>
      </c>
      <c r="E85">
        <v>11</v>
      </c>
      <c r="F85">
        <v>2010</v>
      </c>
      <c r="G85" t="s">
        <v>10</v>
      </c>
      <c r="I85" s="9"/>
    </row>
    <row r="86" spans="1:9" x14ac:dyDescent="0.25">
      <c r="A86" t="s">
        <v>85</v>
      </c>
      <c r="B86" t="s">
        <v>86</v>
      </c>
      <c r="C86">
        <v>4.7</v>
      </c>
      <c r="D86">
        <v>22614</v>
      </c>
      <c r="E86">
        <v>11</v>
      </c>
      <c r="F86">
        <v>2011</v>
      </c>
      <c r="G86" t="s">
        <v>10</v>
      </c>
      <c r="I86" s="9"/>
    </row>
    <row r="87" spans="1:9" x14ac:dyDescent="0.25">
      <c r="A87" t="s">
        <v>85</v>
      </c>
      <c r="B87" t="s">
        <v>86</v>
      </c>
      <c r="C87">
        <v>4.7</v>
      </c>
      <c r="D87">
        <v>22614</v>
      </c>
      <c r="E87">
        <v>11</v>
      </c>
      <c r="F87">
        <v>2012</v>
      </c>
      <c r="G87" t="s">
        <v>10</v>
      </c>
      <c r="I87" s="9"/>
    </row>
    <row r="88" spans="1:9" x14ac:dyDescent="0.25">
      <c r="A88" t="s">
        <v>345</v>
      </c>
      <c r="B88" t="s">
        <v>346</v>
      </c>
      <c r="C88">
        <v>4.5999999999999996</v>
      </c>
      <c r="D88">
        <v>22536</v>
      </c>
      <c r="E88">
        <v>12</v>
      </c>
      <c r="F88">
        <v>2017</v>
      </c>
      <c r="G88" t="s">
        <v>10</v>
      </c>
      <c r="I88" s="9"/>
    </row>
    <row r="89" spans="1:9" x14ac:dyDescent="0.25">
      <c r="A89" t="s">
        <v>345</v>
      </c>
      <c r="B89" t="s">
        <v>346</v>
      </c>
      <c r="C89">
        <v>4.5999999999999996</v>
      </c>
      <c r="D89">
        <v>22536</v>
      </c>
      <c r="E89">
        <v>12</v>
      </c>
      <c r="F89">
        <v>2018</v>
      </c>
      <c r="G89" t="s">
        <v>10</v>
      </c>
      <c r="I89" s="9"/>
    </row>
    <row r="90" spans="1:9" x14ac:dyDescent="0.25">
      <c r="A90" t="s">
        <v>179</v>
      </c>
      <c r="B90" t="s">
        <v>178</v>
      </c>
      <c r="C90">
        <v>4.5999999999999996</v>
      </c>
      <c r="D90">
        <v>22288</v>
      </c>
      <c r="E90">
        <v>12</v>
      </c>
      <c r="F90">
        <v>2018</v>
      </c>
      <c r="G90" t="s">
        <v>8</v>
      </c>
      <c r="I90" s="9"/>
    </row>
    <row r="91" spans="1:9" x14ac:dyDescent="0.25">
      <c r="A91" t="s">
        <v>179</v>
      </c>
      <c r="B91" t="s">
        <v>178</v>
      </c>
      <c r="C91">
        <v>4.5999999999999996</v>
      </c>
      <c r="D91">
        <v>22288</v>
      </c>
      <c r="E91">
        <v>12</v>
      </c>
      <c r="F91">
        <v>2019</v>
      </c>
      <c r="G91" t="s">
        <v>8</v>
      </c>
      <c r="I91" s="9"/>
    </row>
    <row r="92" spans="1:9" x14ac:dyDescent="0.25">
      <c r="A92" t="s">
        <v>325</v>
      </c>
      <c r="B92" t="s">
        <v>326</v>
      </c>
      <c r="C92">
        <v>4.5999999999999996</v>
      </c>
      <c r="D92">
        <v>21930</v>
      </c>
      <c r="E92">
        <v>11</v>
      </c>
      <c r="F92">
        <v>2014</v>
      </c>
      <c r="G92" t="s">
        <v>10</v>
      </c>
      <c r="I92" s="9"/>
    </row>
    <row r="93" spans="1:9" x14ac:dyDescent="0.25">
      <c r="A93" t="s">
        <v>316</v>
      </c>
      <c r="B93" t="s">
        <v>317</v>
      </c>
      <c r="C93">
        <v>4.9000000000000004</v>
      </c>
      <c r="D93">
        <v>21834</v>
      </c>
      <c r="E93">
        <v>8</v>
      </c>
      <c r="F93">
        <v>2012</v>
      </c>
      <c r="G93" t="s">
        <v>10</v>
      </c>
      <c r="I93" s="9"/>
    </row>
    <row r="94" spans="1:9" x14ac:dyDescent="0.25">
      <c r="A94" t="s">
        <v>316</v>
      </c>
      <c r="B94" t="s">
        <v>317</v>
      </c>
      <c r="C94">
        <v>4.9000000000000004</v>
      </c>
      <c r="D94">
        <v>21834</v>
      </c>
      <c r="E94">
        <v>8</v>
      </c>
      <c r="F94">
        <v>2013</v>
      </c>
      <c r="G94" t="s">
        <v>10</v>
      </c>
      <c r="I94" s="9"/>
    </row>
    <row r="95" spans="1:9" x14ac:dyDescent="0.25">
      <c r="A95" t="s">
        <v>316</v>
      </c>
      <c r="B95" t="s">
        <v>317</v>
      </c>
      <c r="C95">
        <v>4.9000000000000004</v>
      </c>
      <c r="D95">
        <v>21834</v>
      </c>
      <c r="E95">
        <v>8</v>
      </c>
      <c r="F95">
        <v>2014</v>
      </c>
      <c r="G95" t="s">
        <v>10</v>
      </c>
      <c r="I95" s="9"/>
    </row>
    <row r="96" spans="1:9" x14ac:dyDescent="0.25">
      <c r="A96" t="s">
        <v>316</v>
      </c>
      <c r="B96" t="s">
        <v>317</v>
      </c>
      <c r="C96">
        <v>4.9000000000000004</v>
      </c>
      <c r="D96">
        <v>21834</v>
      </c>
      <c r="E96">
        <v>8</v>
      </c>
      <c r="F96">
        <v>2015</v>
      </c>
      <c r="G96" t="s">
        <v>10</v>
      </c>
      <c r="I96" s="9"/>
    </row>
    <row r="97" spans="1:9" x14ac:dyDescent="0.25">
      <c r="A97" t="s">
        <v>316</v>
      </c>
      <c r="B97" t="s">
        <v>317</v>
      </c>
      <c r="C97">
        <v>4.9000000000000004</v>
      </c>
      <c r="D97">
        <v>21834</v>
      </c>
      <c r="E97">
        <v>8</v>
      </c>
      <c r="F97">
        <v>2016</v>
      </c>
      <c r="G97" t="s">
        <v>10</v>
      </c>
      <c r="I97" s="9"/>
    </row>
    <row r="98" spans="1:9" x14ac:dyDescent="0.25">
      <c r="A98" t="s">
        <v>316</v>
      </c>
      <c r="B98" t="s">
        <v>317</v>
      </c>
      <c r="C98">
        <v>4.9000000000000004</v>
      </c>
      <c r="D98">
        <v>21834</v>
      </c>
      <c r="E98">
        <v>8</v>
      </c>
      <c r="F98">
        <v>2017</v>
      </c>
      <c r="G98" t="s">
        <v>10</v>
      </c>
      <c r="I98" s="9"/>
    </row>
    <row r="99" spans="1:9" x14ac:dyDescent="0.25">
      <c r="A99" t="s">
        <v>316</v>
      </c>
      <c r="B99" t="s">
        <v>317</v>
      </c>
      <c r="C99">
        <v>4.9000000000000004</v>
      </c>
      <c r="D99">
        <v>21834</v>
      </c>
      <c r="E99">
        <v>8</v>
      </c>
      <c r="F99">
        <v>2018</v>
      </c>
      <c r="G99" t="s">
        <v>10</v>
      </c>
      <c r="I99" s="9"/>
    </row>
    <row r="100" spans="1:9" x14ac:dyDescent="0.25">
      <c r="A100" t="s">
        <v>316</v>
      </c>
      <c r="B100" t="s">
        <v>317</v>
      </c>
      <c r="C100">
        <v>4.9000000000000004</v>
      </c>
      <c r="D100">
        <v>21834</v>
      </c>
      <c r="E100">
        <v>8</v>
      </c>
      <c r="F100">
        <v>2019</v>
      </c>
      <c r="G100" t="s">
        <v>10</v>
      </c>
      <c r="I100" s="9"/>
    </row>
    <row r="101" spans="1:9" x14ac:dyDescent="0.25">
      <c r="A101" t="s">
        <v>601</v>
      </c>
      <c r="B101" t="s">
        <v>602</v>
      </c>
      <c r="C101">
        <v>4.8</v>
      </c>
      <c r="D101">
        <v>21625</v>
      </c>
      <c r="E101">
        <v>9</v>
      </c>
      <c r="F101">
        <v>2013</v>
      </c>
      <c r="G101" t="s">
        <v>10</v>
      </c>
      <c r="I101" s="9"/>
    </row>
    <row r="102" spans="1:9" x14ac:dyDescent="0.25">
      <c r="A102" t="s">
        <v>601</v>
      </c>
      <c r="B102" t="s">
        <v>602</v>
      </c>
      <c r="C102">
        <v>4.8</v>
      </c>
      <c r="D102">
        <v>21625</v>
      </c>
      <c r="E102">
        <v>9</v>
      </c>
      <c r="F102">
        <v>2014</v>
      </c>
      <c r="G102" t="s">
        <v>10</v>
      </c>
      <c r="I102" s="9"/>
    </row>
    <row r="103" spans="1:9" x14ac:dyDescent="0.25">
      <c r="A103" t="s">
        <v>601</v>
      </c>
      <c r="B103" t="s">
        <v>602</v>
      </c>
      <c r="C103">
        <v>4.8</v>
      </c>
      <c r="D103">
        <v>21625</v>
      </c>
      <c r="E103">
        <v>9</v>
      </c>
      <c r="F103">
        <v>2015</v>
      </c>
      <c r="G103" t="s">
        <v>10</v>
      </c>
      <c r="I103" s="9"/>
    </row>
    <row r="104" spans="1:9" x14ac:dyDescent="0.25">
      <c r="A104" t="s">
        <v>601</v>
      </c>
      <c r="B104" t="s">
        <v>602</v>
      </c>
      <c r="C104">
        <v>4.8</v>
      </c>
      <c r="D104">
        <v>21625</v>
      </c>
      <c r="E104">
        <v>9</v>
      </c>
      <c r="F104">
        <v>2016</v>
      </c>
      <c r="G104" t="s">
        <v>10</v>
      </c>
      <c r="I104" s="9"/>
    </row>
    <row r="105" spans="1:9" x14ac:dyDescent="0.25">
      <c r="A105" t="s">
        <v>601</v>
      </c>
      <c r="B105" t="s">
        <v>602</v>
      </c>
      <c r="C105">
        <v>4.8</v>
      </c>
      <c r="D105">
        <v>21625</v>
      </c>
      <c r="E105">
        <v>9</v>
      </c>
      <c r="F105">
        <v>2017</v>
      </c>
      <c r="G105" t="s">
        <v>10</v>
      </c>
      <c r="I105" s="9"/>
    </row>
    <row r="106" spans="1:9" x14ac:dyDescent="0.25">
      <c r="A106" t="s">
        <v>13</v>
      </c>
      <c r="B106" t="s">
        <v>14</v>
      </c>
      <c r="C106">
        <v>4.7</v>
      </c>
      <c r="D106">
        <v>21424</v>
      </c>
      <c r="E106">
        <v>6</v>
      </c>
      <c r="F106">
        <v>2017</v>
      </c>
      <c r="G106" t="s">
        <v>10</v>
      </c>
      <c r="I106" s="9"/>
    </row>
    <row r="107" spans="1:9" x14ac:dyDescent="0.25">
      <c r="A107" t="s">
        <v>156</v>
      </c>
      <c r="B107" t="s">
        <v>155</v>
      </c>
      <c r="C107">
        <v>4.5</v>
      </c>
      <c r="D107">
        <v>20262</v>
      </c>
      <c r="E107">
        <v>11</v>
      </c>
      <c r="F107">
        <v>2012</v>
      </c>
      <c r="G107" t="s">
        <v>10</v>
      </c>
      <c r="I107" s="9"/>
    </row>
    <row r="108" spans="1:9" x14ac:dyDescent="0.25">
      <c r="A108" t="s">
        <v>19</v>
      </c>
      <c r="B108" t="s">
        <v>18</v>
      </c>
      <c r="C108">
        <v>4.7</v>
      </c>
      <c r="D108">
        <v>19735</v>
      </c>
      <c r="E108">
        <v>30</v>
      </c>
      <c r="F108">
        <v>2014</v>
      </c>
      <c r="G108" t="s">
        <v>10</v>
      </c>
      <c r="I108" s="9"/>
    </row>
    <row r="109" spans="1:9" x14ac:dyDescent="0.25">
      <c r="A109" t="s">
        <v>513</v>
      </c>
      <c r="B109" t="s">
        <v>514</v>
      </c>
      <c r="C109">
        <v>4.5999999999999996</v>
      </c>
      <c r="D109">
        <v>19720</v>
      </c>
      <c r="E109">
        <v>8</v>
      </c>
      <c r="F109">
        <v>2009</v>
      </c>
      <c r="G109" t="s">
        <v>10</v>
      </c>
      <c r="I109" s="9"/>
    </row>
    <row r="110" spans="1:9" x14ac:dyDescent="0.25">
      <c r="A110" t="s">
        <v>513</v>
      </c>
      <c r="B110" t="s">
        <v>514</v>
      </c>
      <c r="C110">
        <v>4.5999999999999996</v>
      </c>
      <c r="D110">
        <v>19720</v>
      </c>
      <c r="E110">
        <v>8</v>
      </c>
      <c r="F110">
        <v>2017</v>
      </c>
      <c r="G110" t="s">
        <v>10</v>
      </c>
      <c r="I110" s="9"/>
    </row>
    <row r="111" spans="1:9" x14ac:dyDescent="0.25">
      <c r="A111" t="s">
        <v>20</v>
      </c>
      <c r="B111" t="s">
        <v>21</v>
      </c>
      <c r="C111">
        <v>4.7</v>
      </c>
      <c r="D111">
        <v>19699</v>
      </c>
      <c r="E111">
        <v>15</v>
      </c>
      <c r="F111">
        <v>2017</v>
      </c>
      <c r="G111" t="s">
        <v>10</v>
      </c>
      <c r="I111" s="9"/>
    </row>
    <row r="112" spans="1:9" x14ac:dyDescent="0.25">
      <c r="A112" t="s">
        <v>206</v>
      </c>
      <c r="B112" t="s">
        <v>151</v>
      </c>
      <c r="C112">
        <v>4.9000000000000004</v>
      </c>
      <c r="D112">
        <v>19622</v>
      </c>
      <c r="E112">
        <v>30</v>
      </c>
      <c r="F112">
        <v>2016</v>
      </c>
      <c r="G112" t="s">
        <v>10</v>
      </c>
      <c r="I112" s="9"/>
    </row>
    <row r="113" spans="1:9" x14ac:dyDescent="0.25">
      <c r="A113" t="s">
        <v>250</v>
      </c>
      <c r="B113" t="s">
        <v>251</v>
      </c>
      <c r="C113">
        <v>4.9000000000000004</v>
      </c>
      <c r="D113">
        <v>19576</v>
      </c>
      <c r="E113">
        <v>8</v>
      </c>
      <c r="F113">
        <v>2011</v>
      </c>
      <c r="G113" t="s">
        <v>8</v>
      </c>
      <c r="I113" s="9"/>
    </row>
    <row r="114" spans="1:9" x14ac:dyDescent="0.25">
      <c r="A114" t="s">
        <v>250</v>
      </c>
      <c r="B114" t="s">
        <v>251</v>
      </c>
      <c r="C114">
        <v>4.9000000000000004</v>
      </c>
      <c r="D114">
        <v>19576</v>
      </c>
      <c r="E114">
        <v>8</v>
      </c>
      <c r="F114">
        <v>2012</v>
      </c>
      <c r="G114" t="s">
        <v>8</v>
      </c>
      <c r="I114" s="9"/>
    </row>
    <row r="115" spans="1:9" x14ac:dyDescent="0.25">
      <c r="A115" t="s">
        <v>250</v>
      </c>
      <c r="B115" t="s">
        <v>251</v>
      </c>
      <c r="C115">
        <v>4.9000000000000004</v>
      </c>
      <c r="D115">
        <v>19576</v>
      </c>
      <c r="E115">
        <v>8</v>
      </c>
      <c r="F115">
        <v>2013</v>
      </c>
      <c r="G115" t="s">
        <v>8</v>
      </c>
      <c r="I115" s="9"/>
    </row>
    <row r="116" spans="1:9" x14ac:dyDescent="0.25">
      <c r="A116" t="s">
        <v>250</v>
      </c>
      <c r="B116" t="s">
        <v>251</v>
      </c>
      <c r="C116">
        <v>4.9000000000000004</v>
      </c>
      <c r="D116">
        <v>19576</v>
      </c>
      <c r="E116">
        <v>8</v>
      </c>
      <c r="F116">
        <v>2014</v>
      </c>
      <c r="G116" t="s">
        <v>8</v>
      </c>
      <c r="I116" s="9"/>
    </row>
    <row r="117" spans="1:9" x14ac:dyDescent="0.25">
      <c r="A117" t="s">
        <v>250</v>
      </c>
      <c r="B117" t="s">
        <v>251</v>
      </c>
      <c r="C117">
        <v>4.9000000000000004</v>
      </c>
      <c r="D117">
        <v>19576</v>
      </c>
      <c r="E117">
        <v>8</v>
      </c>
      <c r="F117">
        <v>2015</v>
      </c>
      <c r="G117" t="s">
        <v>8</v>
      </c>
      <c r="I117" s="9"/>
    </row>
    <row r="118" spans="1:9" x14ac:dyDescent="0.25">
      <c r="A118" t="s">
        <v>250</v>
      </c>
      <c r="B118" t="s">
        <v>251</v>
      </c>
      <c r="C118">
        <v>4.9000000000000004</v>
      </c>
      <c r="D118">
        <v>19576</v>
      </c>
      <c r="E118">
        <v>8</v>
      </c>
      <c r="F118">
        <v>2016</v>
      </c>
      <c r="G118" t="s">
        <v>8</v>
      </c>
      <c r="I118" s="9"/>
    </row>
    <row r="119" spans="1:9" x14ac:dyDescent="0.25">
      <c r="A119" t="s">
        <v>533</v>
      </c>
      <c r="B119" t="s">
        <v>534</v>
      </c>
      <c r="C119">
        <v>4.9000000000000004</v>
      </c>
      <c r="D119">
        <v>19546</v>
      </c>
      <c r="E119">
        <v>5</v>
      </c>
      <c r="F119">
        <v>2013</v>
      </c>
      <c r="G119" t="s">
        <v>10</v>
      </c>
      <c r="I119" s="9"/>
    </row>
    <row r="120" spans="1:9" x14ac:dyDescent="0.25">
      <c r="A120" t="s">
        <v>533</v>
      </c>
      <c r="B120" t="s">
        <v>534</v>
      </c>
      <c r="C120">
        <v>4.9000000000000004</v>
      </c>
      <c r="D120">
        <v>19546</v>
      </c>
      <c r="E120">
        <v>5</v>
      </c>
      <c r="F120">
        <v>2014</v>
      </c>
      <c r="G120" t="s">
        <v>10</v>
      </c>
      <c r="I120" s="9"/>
    </row>
    <row r="121" spans="1:9" x14ac:dyDescent="0.25">
      <c r="A121" t="s">
        <v>533</v>
      </c>
      <c r="B121" t="s">
        <v>534</v>
      </c>
      <c r="C121">
        <v>4.9000000000000004</v>
      </c>
      <c r="D121">
        <v>19546</v>
      </c>
      <c r="E121">
        <v>5</v>
      </c>
      <c r="F121">
        <v>2015</v>
      </c>
      <c r="G121" t="s">
        <v>10</v>
      </c>
      <c r="I121" s="9"/>
    </row>
    <row r="122" spans="1:9" x14ac:dyDescent="0.25">
      <c r="A122" t="s">
        <v>533</v>
      </c>
      <c r="B122" t="s">
        <v>534</v>
      </c>
      <c r="C122">
        <v>4.9000000000000004</v>
      </c>
      <c r="D122">
        <v>19546</v>
      </c>
      <c r="E122">
        <v>5</v>
      </c>
      <c r="F122">
        <v>2016</v>
      </c>
      <c r="G122" t="s">
        <v>10</v>
      </c>
      <c r="I122" s="9"/>
    </row>
    <row r="123" spans="1:9" x14ac:dyDescent="0.25">
      <c r="A123" t="s">
        <v>533</v>
      </c>
      <c r="B123" t="s">
        <v>534</v>
      </c>
      <c r="C123">
        <v>4.9000000000000004</v>
      </c>
      <c r="D123">
        <v>19546</v>
      </c>
      <c r="E123">
        <v>5</v>
      </c>
      <c r="F123">
        <v>2017</v>
      </c>
      <c r="G123" t="s">
        <v>10</v>
      </c>
      <c r="I123" s="9"/>
    </row>
    <row r="124" spans="1:9" x14ac:dyDescent="0.25">
      <c r="A124" t="s">
        <v>533</v>
      </c>
      <c r="B124" t="s">
        <v>534</v>
      </c>
      <c r="C124">
        <v>4.9000000000000004</v>
      </c>
      <c r="D124">
        <v>19546</v>
      </c>
      <c r="E124">
        <v>5</v>
      </c>
      <c r="F124">
        <v>2018</v>
      </c>
      <c r="G124" t="s">
        <v>10</v>
      </c>
      <c r="I124" s="9"/>
    </row>
    <row r="125" spans="1:9" x14ac:dyDescent="0.25">
      <c r="A125" t="s">
        <v>533</v>
      </c>
      <c r="B125" t="s">
        <v>534</v>
      </c>
      <c r="C125">
        <v>4.9000000000000004</v>
      </c>
      <c r="D125">
        <v>19546</v>
      </c>
      <c r="E125">
        <v>5</v>
      </c>
      <c r="F125">
        <v>2019</v>
      </c>
      <c r="G125" t="s">
        <v>10</v>
      </c>
      <c r="I125" s="9"/>
    </row>
    <row r="126" spans="1:9" x14ac:dyDescent="0.25">
      <c r="A126" t="s">
        <v>11</v>
      </c>
      <c r="B126" t="s">
        <v>12</v>
      </c>
      <c r="C126">
        <v>4.7</v>
      </c>
      <c r="D126">
        <v>18979</v>
      </c>
      <c r="E126">
        <v>15</v>
      </c>
      <c r="F126">
        <v>2018</v>
      </c>
      <c r="G126" t="s">
        <v>8</v>
      </c>
      <c r="I126" s="9"/>
    </row>
    <row r="127" spans="1:9" x14ac:dyDescent="0.25">
      <c r="A127" t="s">
        <v>324</v>
      </c>
      <c r="B127" t="s">
        <v>243</v>
      </c>
      <c r="C127">
        <v>4.3</v>
      </c>
      <c r="D127">
        <v>18904</v>
      </c>
      <c r="E127">
        <v>13</v>
      </c>
      <c r="F127">
        <v>2017</v>
      </c>
      <c r="G127" t="s">
        <v>10</v>
      </c>
      <c r="I127" s="9"/>
    </row>
    <row r="128" spans="1:9" x14ac:dyDescent="0.25">
      <c r="A128" t="s">
        <v>290</v>
      </c>
      <c r="B128" t="s">
        <v>291</v>
      </c>
      <c r="C128">
        <v>4.8</v>
      </c>
      <c r="D128">
        <v>18613</v>
      </c>
      <c r="E128">
        <v>5</v>
      </c>
      <c r="F128">
        <v>2014</v>
      </c>
      <c r="G128" t="s">
        <v>10</v>
      </c>
      <c r="I128" s="9"/>
    </row>
    <row r="129" spans="1:9" x14ac:dyDescent="0.25">
      <c r="A129" t="s">
        <v>290</v>
      </c>
      <c r="B129" t="s">
        <v>291</v>
      </c>
      <c r="C129">
        <v>4.8</v>
      </c>
      <c r="D129">
        <v>18613</v>
      </c>
      <c r="E129">
        <v>5</v>
      </c>
      <c r="F129">
        <v>2015</v>
      </c>
      <c r="G129" t="s">
        <v>10</v>
      </c>
      <c r="I129" s="9"/>
    </row>
    <row r="130" spans="1:9" x14ac:dyDescent="0.25">
      <c r="A130" t="s">
        <v>298</v>
      </c>
      <c r="B130" t="s">
        <v>299</v>
      </c>
      <c r="C130">
        <v>4.7</v>
      </c>
      <c r="D130">
        <v>17739</v>
      </c>
      <c r="E130">
        <v>8</v>
      </c>
      <c r="F130">
        <v>2016</v>
      </c>
      <c r="G130" t="s">
        <v>8</v>
      </c>
      <c r="I130" s="9"/>
    </row>
    <row r="131" spans="1:9" x14ac:dyDescent="0.25">
      <c r="A131" t="s">
        <v>298</v>
      </c>
      <c r="B131" t="s">
        <v>299</v>
      </c>
      <c r="C131">
        <v>4.7</v>
      </c>
      <c r="D131">
        <v>17739</v>
      </c>
      <c r="E131">
        <v>8</v>
      </c>
      <c r="F131">
        <v>2017</v>
      </c>
      <c r="G131" t="s">
        <v>8</v>
      </c>
      <c r="I131" s="9"/>
    </row>
    <row r="132" spans="1:9" x14ac:dyDescent="0.25">
      <c r="A132" t="s">
        <v>298</v>
      </c>
      <c r="B132" t="s">
        <v>299</v>
      </c>
      <c r="C132">
        <v>4.7</v>
      </c>
      <c r="D132">
        <v>17739</v>
      </c>
      <c r="E132">
        <v>8</v>
      </c>
      <c r="F132">
        <v>2018</v>
      </c>
      <c r="G132" t="s">
        <v>8</v>
      </c>
      <c r="I132" s="9"/>
    </row>
    <row r="133" spans="1:9" x14ac:dyDescent="0.25">
      <c r="A133" t="s">
        <v>120</v>
      </c>
      <c r="B133" t="s">
        <v>46</v>
      </c>
      <c r="C133">
        <v>4.5</v>
      </c>
      <c r="D133">
        <v>17684</v>
      </c>
      <c r="E133">
        <v>6</v>
      </c>
      <c r="F133">
        <v>2014</v>
      </c>
      <c r="G133" t="s">
        <v>10</v>
      </c>
      <c r="I133" s="9"/>
    </row>
    <row r="134" spans="1:9" x14ac:dyDescent="0.25">
      <c r="A134" t="s">
        <v>6</v>
      </c>
      <c r="B134" t="s">
        <v>7</v>
      </c>
      <c r="C134">
        <v>4.7</v>
      </c>
      <c r="D134">
        <v>17350</v>
      </c>
      <c r="E134">
        <v>8</v>
      </c>
      <c r="F134">
        <v>2016</v>
      </c>
      <c r="G134" t="s">
        <v>8</v>
      </c>
      <c r="I134" s="9"/>
    </row>
    <row r="135" spans="1:9" x14ac:dyDescent="0.25">
      <c r="A135" t="s">
        <v>161</v>
      </c>
      <c r="B135" t="s">
        <v>162</v>
      </c>
      <c r="C135">
        <v>4.7</v>
      </c>
      <c r="D135">
        <v>17323</v>
      </c>
      <c r="E135">
        <v>4</v>
      </c>
      <c r="F135">
        <v>2014</v>
      </c>
      <c r="G135" t="s">
        <v>8</v>
      </c>
      <c r="I135" s="9"/>
    </row>
    <row r="136" spans="1:9" x14ac:dyDescent="0.25">
      <c r="A136" t="s">
        <v>161</v>
      </c>
      <c r="B136" t="s">
        <v>162</v>
      </c>
      <c r="C136">
        <v>4.7</v>
      </c>
      <c r="D136">
        <v>17323</v>
      </c>
      <c r="E136">
        <v>4</v>
      </c>
      <c r="F136">
        <v>2015</v>
      </c>
      <c r="G136" t="s">
        <v>8</v>
      </c>
      <c r="I136" s="9"/>
    </row>
    <row r="137" spans="1:9" x14ac:dyDescent="0.25">
      <c r="A137" t="s">
        <v>161</v>
      </c>
      <c r="B137" t="s">
        <v>162</v>
      </c>
      <c r="C137">
        <v>4.7</v>
      </c>
      <c r="D137">
        <v>17323</v>
      </c>
      <c r="E137">
        <v>4</v>
      </c>
      <c r="F137">
        <v>2016</v>
      </c>
      <c r="G137" t="s">
        <v>8</v>
      </c>
      <c r="I137" s="9"/>
    </row>
    <row r="138" spans="1:9" x14ac:dyDescent="0.25">
      <c r="A138" t="s">
        <v>161</v>
      </c>
      <c r="B138" t="s">
        <v>162</v>
      </c>
      <c r="C138">
        <v>4.7</v>
      </c>
      <c r="D138">
        <v>17323</v>
      </c>
      <c r="E138">
        <v>4</v>
      </c>
      <c r="F138">
        <v>2017</v>
      </c>
      <c r="G138" t="s">
        <v>8</v>
      </c>
      <c r="I138" s="9"/>
    </row>
    <row r="139" spans="1:9" x14ac:dyDescent="0.25">
      <c r="A139" t="s">
        <v>161</v>
      </c>
      <c r="B139" t="s">
        <v>162</v>
      </c>
      <c r="C139">
        <v>4.7</v>
      </c>
      <c r="D139">
        <v>17323</v>
      </c>
      <c r="E139">
        <v>4</v>
      </c>
      <c r="F139">
        <v>2018</v>
      </c>
      <c r="G139" t="s">
        <v>8</v>
      </c>
      <c r="I139" s="9"/>
    </row>
    <row r="140" spans="1:9" x14ac:dyDescent="0.25">
      <c r="A140" t="s">
        <v>595</v>
      </c>
      <c r="B140" t="s">
        <v>596</v>
      </c>
      <c r="C140">
        <v>4.4000000000000004</v>
      </c>
      <c r="D140">
        <v>17044</v>
      </c>
      <c r="E140">
        <v>18</v>
      </c>
      <c r="F140">
        <v>2012</v>
      </c>
      <c r="G140" t="s">
        <v>8</v>
      </c>
      <c r="I140" s="9"/>
    </row>
    <row r="141" spans="1:9" x14ac:dyDescent="0.25">
      <c r="A141" t="s">
        <v>332</v>
      </c>
      <c r="B141" t="s">
        <v>333</v>
      </c>
      <c r="C141">
        <v>4.8</v>
      </c>
      <c r="D141">
        <v>16990</v>
      </c>
      <c r="E141">
        <v>27</v>
      </c>
      <c r="F141">
        <v>2017</v>
      </c>
      <c r="G141" t="s">
        <v>10</v>
      </c>
      <c r="I141" s="9"/>
    </row>
    <row r="142" spans="1:9" x14ac:dyDescent="0.25">
      <c r="A142" t="s">
        <v>332</v>
      </c>
      <c r="B142" t="s">
        <v>333</v>
      </c>
      <c r="C142">
        <v>4.8</v>
      </c>
      <c r="D142">
        <v>16990</v>
      </c>
      <c r="E142">
        <v>27</v>
      </c>
      <c r="F142">
        <v>2018</v>
      </c>
      <c r="G142" t="s">
        <v>10</v>
      </c>
      <c r="I142" s="9"/>
    </row>
    <row r="143" spans="1:9" x14ac:dyDescent="0.25">
      <c r="A143" t="s">
        <v>332</v>
      </c>
      <c r="B143" t="s">
        <v>333</v>
      </c>
      <c r="C143">
        <v>4.8</v>
      </c>
      <c r="D143">
        <v>16990</v>
      </c>
      <c r="E143">
        <v>27</v>
      </c>
      <c r="F143">
        <v>2019</v>
      </c>
      <c r="G143" t="s">
        <v>10</v>
      </c>
      <c r="I143" s="9"/>
    </row>
    <row r="144" spans="1:9" x14ac:dyDescent="0.25">
      <c r="A144" t="s">
        <v>460</v>
      </c>
      <c r="B144" t="s">
        <v>86</v>
      </c>
      <c r="C144">
        <v>4.8</v>
      </c>
      <c r="D144">
        <v>16949</v>
      </c>
      <c r="E144">
        <v>30</v>
      </c>
      <c r="F144">
        <v>2011</v>
      </c>
      <c r="G144" t="s">
        <v>10</v>
      </c>
      <c r="I144" s="9"/>
    </row>
    <row r="145" spans="1:9" x14ac:dyDescent="0.25">
      <c r="A145" t="s">
        <v>460</v>
      </c>
      <c r="B145" t="s">
        <v>86</v>
      </c>
      <c r="C145">
        <v>4.8</v>
      </c>
      <c r="D145">
        <v>16949</v>
      </c>
      <c r="E145">
        <v>30</v>
      </c>
      <c r="F145">
        <v>2012</v>
      </c>
      <c r="G145" t="s">
        <v>10</v>
      </c>
      <c r="I145" s="9"/>
    </row>
    <row r="146" spans="1:9" x14ac:dyDescent="0.25">
      <c r="A146" t="s">
        <v>236</v>
      </c>
      <c r="B146" t="s">
        <v>237</v>
      </c>
      <c r="C146">
        <v>4.8</v>
      </c>
      <c r="D146">
        <v>16643</v>
      </c>
      <c r="E146">
        <v>4</v>
      </c>
      <c r="F146">
        <v>2017</v>
      </c>
      <c r="G146" t="s">
        <v>10</v>
      </c>
      <c r="I146" s="9"/>
    </row>
    <row r="147" spans="1:9" x14ac:dyDescent="0.25">
      <c r="A147" t="s">
        <v>236</v>
      </c>
      <c r="B147" t="s">
        <v>237</v>
      </c>
      <c r="C147">
        <v>4.8</v>
      </c>
      <c r="D147">
        <v>16643</v>
      </c>
      <c r="E147">
        <v>4</v>
      </c>
      <c r="F147">
        <v>2019</v>
      </c>
      <c r="G147" t="s">
        <v>10</v>
      </c>
      <c r="I147" s="9"/>
    </row>
    <row r="148" spans="1:9" x14ac:dyDescent="0.25">
      <c r="A148" t="s">
        <v>81</v>
      </c>
      <c r="B148" t="s">
        <v>82</v>
      </c>
      <c r="C148">
        <v>4.8</v>
      </c>
      <c r="D148">
        <v>16244</v>
      </c>
      <c r="E148">
        <v>18</v>
      </c>
      <c r="F148">
        <v>2019</v>
      </c>
      <c r="G148" t="s">
        <v>8</v>
      </c>
      <c r="I148" s="9"/>
    </row>
    <row r="149" spans="1:9" x14ac:dyDescent="0.25">
      <c r="A149" t="s">
        <v>47</v>
      </c>
      <c r="B149" t="s">
        <v>48</v>
      </c>
      <c r="C149">
        <v>4.5999999999999996</v>
      </c>
      <c r="D149">
        <v>15921</v>
      </c>
      <c r="E149">
        <v>9</v>
      </c>
      <c r="F149">
        <v>2015</v>
      </c>
      <c r="G149" t="s">
        <v>8</v>
      </c>
      <c r="I149" s="9"/>
    </row>
    <row r="150" spans="1:9" x14ac:dyDescent="0.25">
      <c r="A150" t="s">
        <v>123</v>
      </c>
      <c r="B150" t="s">
        <v>9</v>
      </c>
      <c r="C150">
        <v>4.7</v>
      </c>
      <c r="D150">
        <v>15845</v>
      </c>
      <c r="E150">
        <v>13</v>
      </c>
      <c r="F150">
        <v>2013</v>
      </c>
      <c r="G150" t="s">
        <v>10</v>
      </c>
      <c r="I150" s="9"/>
    </row>
    <row r="151" spans="1:9" x14ac:dyDescent="0.25">
      <c r="A151" t="s">
        <v>217</v>
      </c>
      <c r="B151" t="s">
        <v>218</v>
      </c>
      <c r="C151">
        <v>4.7</v>
      </c>
      <c r="D151">
        <v>15779</v>
      </c>
      <c r="E151">
        <v>10</v>
      </c>
      <c r="F151">
        <v>2011</v>
      </c>
      <c r="G151" t="s">
        <v>8</v>
      </c>
      <c r="I151" s="9"/>
    </row>
    <row r="152" spans="1:9" x14ac:dyDescent="0.25">
      <c r="A152" t="s">
        <v>217</v>
      </c>
      <c r="B152" t="s">
        <v>218</v>
      </c>
      <c r="C152">
        <v>4.7</v>
      </c>
      <c r="D152">
        <v>15779</v>
      </c>
      <c r="E152">
        <v>10</v>
      </c>
      <c r="F152">
        <v>2012</v>
      </c>
      <c r="G152" t="s">
        <v>8</v>
      </c>
      <c r="I152" s="9"/>
    </row>
    <row r="153" spans="1:9" x14ac:dyDescent="0.25">
      <c r="A153" t="s">
        <v>219</v>
      </c>
      <c r="B153" t="s">
        <v>220</v>
      </c>
      <c r="C153">
        <v>4.4000000000000004</v>
      </c>
      <c r="D153">
        <v>15526</v>
      </c>
      <c r="E153">
        <v>14</v>
      </c>
      <c r="F153">
        <v>2016</v>
      </c>
      <c r="G153" t="s">
        <v>8</v>
      </c>
      <c r="I153" s="9"/>
    </row>
    <row r="154" spans="1:9" x14ac:dyDescent="0.25">
      <c r="A154" t="s">
        <v>219</v>
      </c>
      <c r="B154" t="s">
        <v>220</v>
      </c>
      <c r="C154">
        <v>4.4000000000000004</v>
      </c>
      <c r="D154">
        <v>15526</v>
      </c>
      <c r="E154">
        <v>14</v>
      </c>
      <c r="F154">
        <v>2017</v>
      </c>
      <c r="G154" t="s">
        <v>8</v>
      </c>
      <c r="I154" s="9"/>
    </row>
    <row r="155" spans="1:9" x14ac:dyDescent="0.25">
      <c r="A155" t="s">
        <v>181</v>
      </c>
      <c r="B155" t="s">
        <v>182</v>
      </c>
      <c r="C155">
        <v>3.6</v>
      </c>
      <c r="D155">
        <v>14982</v>
      </c>
      <c r="E155">
        <v>19</v>
      </c>
      <c r="F155">
        <v>2015</v>
      </c>
      <c r="G155" t="s">
        <v>10</v>
      </c>
      <c r="I155" s="9"/>
    </row>
    <row r="156" spans="1:9" x14ac:dyDescent="0.25">
      <c r="A156" t="s">
        <v>508</v>
      </c>
      <c r="B156" t="s">
        <v>375</v>
      </c>
      <c r="C156">
        <v>4.3</v>
      </c>
      <c r="D156">
        <v>14493</v>
      </c>
      <c r="E156">
        <v>18</v>
      </c>
      <c r="F156">
        <v>2012</v>
      </c>
      <c r="G156" t="s">
        <v>10</v>
      </c>
      <c r="I156" s="9"/>
    </row>
    <row r="157" spans="1:9" x14ac:dyDescent="0.25">
      <c r="A157" t="s">
        <v>75</v>
      </c>
      <c r="B157" t="s">
        <v>76</v>
      </c>
      <c r="C157">
        <v>4.9000000000000004</v>
      </c>
      <c r="D157">
        <v>14344</v>
      </c>
      <c r="E157">
        <v>5</v>
      </c>
      <c r="F157">
        <v>2017</v>
      </c>
      <c r="G157" t="s">
        <v>10</v>
      </c>
      <c r="I157" s="9"/>
    </row>
    <row r="158" spans="1:9" x14ac:dyDescent="0.25">
      <c r="A158" t="s">
        <v>75</v>
      </c>
      <c r="B158" t="s">
        <v>76</v>
      </c>
      <c r="C158">
        <v>4.9000000000000004</v>
      </c>
      <c r="D158">
        <v>14344</v>
      </c>
      <c r="E158">
        <v>5</v>
      </c>
      <c r="F158">
        <v>2019</v>
      </c>
      <c r="G158" t="s">
        <v>10</v>
      </c>
      <c r="I158" s="9"/>
    </row>
    <row r="159" spans="1:9" x14ac:dyDescent="0.25">
      <c r="A159" t="s">
        <v>604</v>
      </c>
      <c r="B159" t="s">
        <v>605</v>
      </c>
      <c r="C159">
        <v>4.7</v>
      </c>
      <c r="D159">
        <v>14331</v>
      </c>
      <c r="E159">
        <v>8</v>
      </c>
      <c r="F159">
        <v>2016</v>
      </c>
      <c r="G159" t="s">
        <v>8</v>
      </c>
      <c r="I159" s="9"/>
    </row>
    <row r="160" spans="1:9" x14ac:dyDescent="0.25">
      <c r="A160" t="s">
        <v>604</v>
      </c>
      <c r="B160" t="s">
        <v>605</v>
      </c>
      <c r="C160">
        <v>4.7</v>
      </c>
      <c r="D160">
        <v>14331</v>
      </c>
      <c r="E160">
        <v>8</v>
      </c>
      <c r="F160">
        <v>2017</v>
      </c>
      <c r="G160" t="s">
        <v>8</v>
      </c>
      <c r="I160" s="9"/>
    </row>
    <row r="161" spans="1:9" x14ac:dyDescent="0.25">
      <c r="A161" t="s">
        <v>604</v>
      </c>
      <c r="B161" t="s">
        <v>605</v>
      </c>
      <c r="C161">
        <v>4.7</v>
      </c>
      <c r="D161">
        <v>14331</v>
      </c>
      <c r="E161">
        <v>8</v>
      </c>
      <c r="F161">
        <v>2018</v>
      </c>
      <c r="G161" t="s">
        <v>8</v>
      </c>
      <c r="I161" s="9"/>
    </row>
    <row r="162" spans="1:9" x14ac:dyDescent="0.25">
      <c r="A162" t="s">
        <v>604</v>
      </c>
      <c r="B162" t="s">
        <v>605</v>
      </c>
      <c r="C162">
        <v>4.7</v>
      </c>
      <c r="D162">
        <v>14331</v>
      </c>
      <c r="E162">
        <v>8</v>
      </c>
      <c r="F162">
        <v>2019</v>
      </c>
      <c r="G162" t="s">
        <v>8</v>
      </c>
      <c r="I162" s="9"/>
    </row>
    <row r="163" spans="1:9" x14ac:dyDescent="0.25">
      <c r="A163" t="s">
        <v>175</v>
      </c>
      <c r="B163" t="s">
        <v>176</v>
      </c>
      <c r="C163">
        <v>4.8</v>
      </c>
      <c r="D163">
        <v>14038</v>
      </c>
      <c r="E163">
        <v>4</v>
      </c>
      <c r="F163">
        <v>2015</v>
      </c>
      <c r="G163" t="s">
        <v>10</v>
      </c>
      <c r="I163" s="9"/>
    </row>
    <row r="164" spans="1:9" x14ac:dyDescent="0.25">
      <c r="A164" t="s">
        <v>175</v>
      </c>
      <c r="B164" t="s">
        <v>176</v>
      </c>
      <c r="C164">
        <v>4.8</v>
      </c>
      <c r="D164">
        <v>14038</v>
      </c>
      <c r="E164">
        <v>4</v>
      </c>
      <c r="F164">
        <v>2016</v>
      </c>
      <c r="G164" t="s">
        <v>10</v>
      </c>
      <c r="I164" s="9"/>
    </row>
    <row r="165" spans="1:9" x14ac:dyDescent="0.25">
      <c r="A165" t="s">
        <v>175</v>
      </c>
      <c r="B165" t="s">
        <v>176</v>
      </c>
      <c r="C165">
        <v>4.8</v>
      </c>
      <c r="D165">
        <v>14038</v>
      </c>
      <c r="E165">
        <v>4</v>
      </c>
      <c r="F165">
        <v>2017</v>
      </c>
      <c r="G165" t="s">
        <v>10</v>
      </c>
      <c r="I165" s="9"/>
    </row>
    <row r="166" spans="1:9" x14ac:dyDescent="0.25">
      <c r="A166" t="s">
        <v>175</v>
      </c>
      <c r="B166" t="s">
        <v>176</v>
      </c>
      <c r="C166">
        <v>4.8</v>
      </c>
      <c r="D166">
        <v>14038</v>
      </c>
      <c r="E166">
        <v>4</v>
      </c>
      <c r="F166">
        <v>2018</v>
      </c>
      <c r="G166" t="s">
        <v>10</v>
      </c>
      <c r="I166" s="9"/>
    </row>
    <row r="167" spans="1:9" x14ac:dyDescent="0.25">
      <c r="A167" t="s">
        <v>175</v>
      </c>
      <c r="B167" t="s">
        <v>176</v>
      </c>
      <c r="C167">
        <v>4.8</v>
      </c>
      <c r="D167">
        <v>14038</v>
      </c>
      <c r="E167">
        <v>4</v>
      </c>
      <c r="F167">
        <v>2019</v>
      </c>
      <c r="G167" t="s">
        <v>10</v>
      </c>
      <c r="I167" s="9"/>
    </row>
    <row r="168" spans="1:9" x14ac:dyDescent="0.25">
      <c r="A168" t="s">
        <v>158</v>
      </c>
      <c r="B168" t="s">
        <v>155</v>
      </c>
      <c r="C168">
        <v>4.5</v>
      </c>
      <c r="D168">
        <v>13964</v>
      </c>
      <c r="E168">
        <v>32</v>
      </c>
      <c r="F168">
        <v>2012</v>
      </c>
      <c r="G168" t="s">
        <v>10</v>
      </c>
      <c r="I168" s="9"/>
    </row>
    <row r="169" spans="1:9" x14ac:dyDescent="0.25">
      <c r="A169" t="s">
        <v>455</v>
      </c>
      <c r="B169" t="s">
        <v>456</v>
      </c>
      <c r="C169">
        <v>4.8</v>
      </c>
      <c r="D169">
        <v>13871</v>
      </c>
      <c r="E169">
        <v>6</v>
      </c>
      <c r="F169">
        <v>2009</v>
      </c>
      <c r="G169" t="s">
        <v>10</v>
      </c>
      <c r="I169" s="9"/>
    </row>
    <row r="170" spans="1:9" x14ac:dyDescent="0.25">
      <c r="A170" t="s">
        <v>455</v>
      </c>
      <c r="B170" t="s">
        <v>456</v>
      </c>
      <c r="C170">
        <v>4.8</v>
      </c>
      <c r="D170">
        <v>13871</v>
      </c>
      <c r="E170">
        <v>6</v>
      </c>
      <c r="F170">
        <v>2010</v>
      </c>
      <c r="G170" t="s">
        <v>10</v>
      </c>
      <c r="I170" s="9"/>
    </row>
    <row r="171" spans="1:9" x14ac:dyDescent="0.25">
      <c r="A171" t="s">
        <v>455</v>
      </c>
      <c r="B171" t="s">
        <v>456</v>
      </c>
      <c r="C171">
        <v>4.8</v>
      </c>
      <c r="D171">
        <v>13871</v>
      </c>
      <c r="E171">
        <v>8</v>
      </c>
      <c r="F171">
        <v>2011</v>
      </c>
      <c r="G171" t="s">
        <v>10</v>
      </c>
      <c r="I171" s="9"/>
    </row>
    <row r="172" spans="1:9" x14ac:dyDescent="0.25">
      <c r="A172" t="s">
        <v>455</v>
      </c>
      <c r="B172" t="s">
        <v>456</v>
      </c>
      <c r="C172">
        <v>4.8</v>
      </c>
      <c r="D172">
        <v>13871</v>
      </c>
      <c r="E172">
        <v>7</v>
      </c>
      <c r="F172">
        <v>2011</v>
      </c>
      <c r="G172" t="s">
        <v>10</v>
      </c>
      <c r="I172" s="9"/>
    </row>
    <row r="173" spans="1:9" x14ac:dyDescent="0.25">
      <c r="A173" t="s">
        <v>587</v>
      </c>
      <c r="B173" t="s">
        <v>588</v>
      </c>
      <c r="C173">
        <v>4.8</v>
      </c>
      <c r="D173">
        <v>13779</v>
      </c>
      <c r="E173">
        <v>14</v>
      </c>
      <c r="F173">
        <v>2016</v>
      </c>
      <c r="G173" t="s">
        <v>8</v>
      </c>
      <c r="I173" s="9"/>
    </row>
    <row r="174" spans="1:9" x14ac:dyDescent="0.25">
      <c r="A174" t="s">
        <v>159</v>
      </c>
      <c r="B174" t="s">
        <v>160</v>
      </c>
      <c r="C174">
        <v>4.2</v>
      </c>
      <c r="D174">
        <v>13677</v>
      </c>
      <c r="E174">
        <v>6</v>
      </c>
      <c r="F174">
        <v>2018</v>
      </c>
      <c r="G174" t="s">
        <v>8</v>
      </c>
      <c r="I174" s="9"/>
    </row>
    <row r="175" spans="1:9" x14ac:dyDescent="0.25">
      <c r="A175" t="s">
        <v>335</v>
      </c>
      <c r="B175" t="s">
        <v>336</v>
      </c>
      <c r="C175">
        <v>4.3</v>
      </c>
      <c r="D175">
        <v>13616</v>
      </c>
      <c r="E175">
        <v>10</v>
      </c>
      <c r="F175">
        <v>2012</v>
      </c>
      <c r="G175" t="s">
        <v>8</v>
      </c>
      <c r="I175" s="9"/>
    </row>
    <row r="176" spans="1:9" x14ac:dyDescent="0.25">
      <c r="A176" t="s">
        <v>335</v>
      </c>
      <c r="B176" t="s">
        <v>336</v>
      </c>
      <c r="C176">
        <v>4.3</v>
      </c>
      <c r="D176">
        <v>13616</v>
      </c>
      <c r="E176">
        <v>10</v>
      </c>
      <c r="F176">
        <v>2013</v>
      </c>
      <c r="G176" t="s">
        <v>8</v>
      </c>
      <c r="I176" s="9"/>
    </row>
    <row r="177" spans="1:9" x14ac:dyDescent="0.25">
      <c r="A177" t="s">
        <v>446</v>
      </c>
      <c r="B177" t="s">
        <v>375</v>
      </c>
      <c r="C177">
        <v>4.5</v>
      </c>
      <c r="D177">
        <v>13609</v>
      </c>
      <c r="E177">
        <v>14</v>
      </c>
      <c r="F177">
        <v>2019</v>
      </c>
      <c r="G177" t="s">
        <v>10</v>
      </c>
      <c r="I177" s="9"/>
    </row>
    <row r="178" spans="1:9" x14ac:dyDescent="0.25">
      <c r="A178" t="s">
        <v>214</v>
      </c>
      <c r="B178" t="s">
        <v>209</v>
      </c>
      <c r="C178">
        <v>4.8</v>
      </c>
      <c r="D178">
        <v>13471</v>
      </c>
      <c r="E178">
        <v>52</v>
      </c>
      <c r="F178">
        <v>2016</v>
      </c>
      <c r="G178" t="s">
        <v>10</v>
      </c>
      <c r="I178" s="9"/>
    </row>
    <row r="179" spans="1:9" x14ac:dyDescent="0.25">
      <c r="A179" t="s">
        <v>413</v>
      </c>
      <c r="B179" t="s">
        <v>414</v>
      </c>
      <c r="C179">
        <v>4.3</v>
      </c>
      <c r="D179">
        <v>13061</v>
      </c>
      <c r="E179">
        <v>6</v>
      </c>
      <c r="F179">
        <v>2018</v>
      </c>
      <c r="G179" t="s">
        <v>8</v>
      </c>
      <c r="I179" s="9"/>
    </row>
    <row r="180" spans="1:9" x14ac:dyDescent="0.25">
      <c r="A180" t="s">
        <v>413</v>
      </c>
      <c r="B180" t="s">
        <v>414</v>
      </c>
      <c r="C180">
        <v>4.3</v>
      </c>
      <c r="D180">
        <v>13061</v>
      </c>
      <c r="E180">
        <v>6</v>
      </c>
      <c r="F180">
        <v>2019</v>
      </c>
      <c r="G180" t="s">
        <v>8</v>
      </c>
      <c r="I180" s="9"/>
    </row>
    <row r="181" spans="1:9" x14ac:dyDescent="0.25">
      <c r="A181" t="s">
        <v>17</v>
      </c>
      <c r="B181" t="s">
        <v>18</v>
      </c>
      <c r="C181">
        <v>4.4000000000000004</v>
      </c>
      <c r="D181">
        <v>12643</v>
      </c>
      <c r="E181">
        <v>11</v>
      </c>
      <c r="F181">
        <v>2011</v>
      </c>
      <c r="G181" t="s">
        <v>10</v>
      </c>
      <c r="I181" s="9"/>
    </row>
    <row r="182" spans="1:9" x14ac:dyDescent="0.25">
      <c r="A182" t="s">
        <v>129</v>
      </c>
      <c r="B182" t="s">
        <v>126</v>
      </c>
      <c r="C182">
        <v>4.9000000000000004</v>
      </c>
      <c r="D182">
        <v>12619</v>
      </c>
      <c r="E182">
        <v>8</v>
      </c>
      <c r="F182">
        <v>2019</v>
      </c>
      <c r="G182" t="s">
        <v>10</v>
      </c>
      <c r="I182" s="9"/>
    </row>
    <row r="183" spans="1:9" x14ac:dyDescent="0.25">
      <c r="A183" t="s">
        <v>400</v>
      </c>
      <c r="B183" t="s">
        <v>401</v>
      </c>
      <c r="C183">
        <v>4.8</v>
      </c>
      <c r="D183">
        <v>12361</v>
      </c>
      <c r="E183">
        <v>12</v>
      </c>
      <c r="F183">
        <v>2019</v>
      </c>
      <c r="G183" t="s">
        <v>8</v>
      </c>
      <c r="I183" s="9"/>
    </row>
    <row r="184" spans="1:9" x14ac:dyDescent="0.25">
      <c r="A184" t="s">
        <v>49</v>
      </c>
      <c r="B184" t="s">
        <v>50</v>
      </c>
      <c r="C184">
        <v>4.3</v>
      </c>
      <c r="D184">
        <v>12159</v>
      </c>
      <c r="E184">
        <v>13</v>
      </c>
      <c r="F184">
        <v>2013</v>
      </c>
      <c r="G184" t="s">
        <v>10</v>
      </c>
      <c r="I184" s="9"/>
    </row>
    <row r="185" spans="1:9" x14ac:dyDescent="0.25">
      <c r="A185" t="s">
        <v>267</v>
      </c>
      <c r="B185" t="s">
        <v>268</v>
      </c>
      <c r="C185">
        <v>4.9000000000000004</v>
      </c>
      <c r="D185">
        <v>11881</v>
      </c>
      <c r="E185">
        <v>13</v>
      </c>
      <c r="F185">
        <v>2018</v>
      </c>
      <c r="G185" t="s">
        <v>10</v>
      </c>
      <c r="I185" s="9"/>
    </row>
    <row r="186" spans="1:9" x14ac:dyDescent="0.25">
      <c r="A186" t="s">
        <v>393</v>
      </c>
      <c r="B186" t="s">
        <v>394</v>
      </c>
      <c r="C186">
        <v>4.7</v>
      </c>
      <c r="D186">
        <v>11813</v>
      </c>
      <c r="E186">
        <v>10</v>
      </c>
      <c r="F186">
        <v>2010</v>
      </c>
      <c r="G186" t="s">
        <v>10</v>
      </c>
      <c r="I186" s="9"/>
    </row>
    <row r="187" spans="1:9" x14ac:dyDescent="0.25">
      <c r="A187" t="s">
        <v>393</v>
      </c>
      <c r="B187" t="s">
        <v>394</v>
      </c>
      <c r="C187">
        <v>4.7</v>
      </c>
      <c r="D187">
        <v>11813</v>
      </c>
      <c r="E187">
        <v>10</v>
      </c>
      <c r="F187">
        <v>2011</v>
      </c>
      <c r="G187" t="s">
        <v>10</v>
      </c>
      <c r="I187" s="9"/>
    </row>
    <row r="188" spans="1:9" x14ac:dyDescent="0.25">
      <c r="A188" t="s">
        <v>563</v>
      </c>
      <c r="B188" t="s">
        <v>73</v>
      </c>
      <c r="C188">
        <v>4.7</v>
      </c>
      <c r="D188">
        <v>11676</v>
      </c>
      <c r="E188">
        <v>9</v>
      </c>
      <c r="F188">
        <v>2009</v>
      </c>
      <c r="G188" t="s">
        <v>10</v>
      </c>
      <c r="I188" s="9"/>
    </row>
    <row r="189" spans="1:9" x14ac:dyDescent="0.25">
      <c r="A189" t="s">
        <v>444</v>
      </c>
      <c r="B189" t="s">
        <v>445</v>
      </c>
      <c r="C189">
        <v>4.4000000000000004</v>
      </c>
      <c r="D189">
        <v>11616</v>
      </c>
      <c r="E189">
        <v>7</v>
      </c>
      <c r="F189">
        <v>2012</v>
      </c>
      <c r="G189" t="s">
        <v>10</v>
      </c>
      <c r="I189" s="9"/>
    </row>
    <row r="190" spans="1:9" x14ac:dyDescent="0.25">
      <c r="A190" t="s">
        <v>444</v>
      </c>
      <c r="B190" t="s">
        <v>445</v>
      </c>
      <c r="C190">
        <v>4.4000000000000004</v>
      </c>
      <c r="D190">
        <v>11616</v>
      </c>
      <c r="E190">
        <v>7</v>
      </c>
      <c r="F190">
        <v>2013</v>
      </c>
      <c r="G190" t="s">
        <v>10</v>
      </c>
      <c r="I190" s="9"/>
    </row>
    <row r="191" spans="1:9" x14ac:dyDescent="0.25">
      <c r="A191" t="s">
        <v>444</v>
      </c>
      <c r="B191" t="s">
        <v>445</v>
      </c>
      <c r="C191">
        <v>4.4000000000000004</v>
      </c>
      <c r="D191">
        <v>11616</v>
      </c>
      <c r="E191">
        <v>7</v>
      </c>
      <c r="F191">
        <v>2014</v>
      </c>
      <c r="G191" t="s">
        <v>10</v>
      </c>
      <c r="I191" s="9"/>
    </row>
    <row r="192" spans="1:9" x14ac:dyDescent="0.25">
      <c r="A192" t="s">
        <v>527</v>
      </c>
      <c r="B192" t="s">
        <v>528</v>
      </c>
      <c r="C192">
        <v>4.7</v>
      </c>
      <c r="D192">
        <v>11550</v>
      </c>
      <c r="E192">
        <v>10</v>
      </c>
      <c r="F192">
        <v>2019</v>
      </c>
      <c r="G192" t="s">
        <v>8</v>
      </c>
      <c r="I192" s="9"/>
    </row>
    <row r="193" spans="1:9" x14ac:dyDescent="0.25">
      <c r="A193" t="s">
        <v>256</v>
      </c>
      <c r="B193" t="s">
        <v>257</v>
      </c>
      <c r="C193">
        <v>4.5</v>
      </c>
      <c r="D193">
        <v>11391</v>
      </c>
      <c r="E193">
        <v>12</v>
      </c>
      <c r="F193">
        <v>2013</v>
      </c>
      <c r="G193" t="s">
        <v>8</v>
      </c>
      <c r="I193" s="9"/>
    </row>
    <row r="194" spans="1:9" x14ac:dyDescent="0.25">
      <c r="A194" t="s">
        <v>553</v>
      </c>
      <c r="B194" t="s">
        <v>554</v>
      </c>
      <c r="C194">
        <v>4.5999999999999996</v>
      </c>
      <c r="D194">
        <v>11128</v>
      </c>
      <c r="E194">
        <v>23</v>
      </c>
      <c r="F194">
        <v>2014</v>
      </c>
      <c r="G194" t="s">
        <v>8</v>
      </c>
      <c r="I194" s="9"/>
    </row>
    <row r="195" spans="1:9" x14ac:dyDescent="0.25">
      <c r="A195" t="s">
        <v>553</v>
      </c>
      <c r="B195" t="s">
        <v>554</v>
      </c>
      <c r="C195">
        <v>4.5999999999999996</v>
      </c>
      <c r="D195">
        <v>11128</v>
      </c>
      <c r="E195">
        <v>23</v>
      </c>
      <c r="F195">
        <v>2015</v>
      </c>
      <c r="G195" t="s">
        <v>8</v>
      </c>
      <c r="I195" s="9"/>
    </row>
    <row r="196" spans="1:9" x14ac:dyDescent="0.25">
      <c r="A196" t="s">
        <v>553</v>
      </c>
      <c r="B196" t="s">
        <v>554</v>
      </c>
      <c r="C196">
        <v>4.5999999999999996</v>
      </c>
      <c r="D196">
        <v>11128</v>
      </c>
      <c r="E196">
        <v>23</v>
      </c>
      <c r="F196">
        <v>2016</v>
      </c>
      <c r="G196" t="s">
        <v>8</v>
      </c>
      <c r="I196" s="9"/>
    </row>
    <row r="197" spans="1:9" x14ac:dyDescent="0.25">
      <c r="A197" t="s">
        <v>553</v>
      </c>
      <c r="B197" t="s">
        <v>554</v>
      </c>
      <c r="C197">
        <v>4.5999999999999996</v>
      </c>
      <c r="D197">
        <v>11128</v>
      </c>
      <c r="E197">
        <v>23</v>
      </c>
      <c r="F197">
        <v>2017</v>
      </c>
      <c r="G197" t="s">
        <v>8</v>
      </c>
      <c r="I197" s="9"/>
    </row>
    <row r="198" spans="1:9" x14ac:dyDescent="0.25">
      <c r="A198" t="s">
        <v>66</v>
      </c>
      <c r="B198" t="s">
        <v>67</v>
      </c>
      <c r="C198">
        <v>4.8</v>
      </c>
      <c r="D198">
        <v>11113</v>
      </c>
      <c r="E198">
        <v>15</v>
      </c>
      <c r="F198">
        <v>2015</v>
      </c>
      <c r="G198" t="s">
        <v>8</v>
      </c>
      <c r="I198" s="9"/>
    </row>
    <row r="199" spans="1:9" x14ac:dyDescent="0.25">
      <c r="A199" t="s">
        <v>451</v>
      </c>
      <c r="B199" t="s">
        <v>452</v>
      </c>
      <c r="C199">
        <v>4.5999999999999996</v>
      </c>
      <c r="D199">
        <v>11098</v>
      </c>
      <c r="E199">
        <v>13</v>
      </c>
      <c r="F199">
        <v>2012</v>
      </c>
      <c r="G199" t="s">
        <v>10</v>
      </c>
      <c r="I199" s="9"/>
    </row>
    <row r="200" spans="1:9" x14ac:dyDescent="0.25">
      <c r="A200" t="s">
        <v>545</v>
      </c>
      <c r="B200" t="s">
        <v>546</v>
      </c>
      <c r="C200">
        <v>4.5999999999999996</v>
      </c>
      <c r="D200">
        <v>11034</v>
      </c>
      <c r="E200">
        <v>19</v>
      </c>
      <c r="F200">
        <v>2011</v>
      </c>
      <c r="G200" t="s">
        <v>8</v>
      </c>
      <c r="I200" s="9"/>
    </row>
    <row r="201" spans="1:9" x14ac:dyDescent="0.25">
      <c r="A201" t="s">
        <v>545</v>
      </c>
      <c r="B201" t="s">
        <v>546</v>
      </c>
      <c r="C201">
        <v>4.5999999999999996</v>
      </c>
      <c r="D201">
        <v>11034</v>
      </c>
      <c r="E201">
        <v>19</v>
      </c>
      <c r="F201">
        <v>2012</v>
      </c>
      <c r="G201" t="s">
        <v>8</v>
      </c>
      <c r="I201" s="9"/>
    </row>
    <row r="202" spans="1:9" x14ac:dyDescent="0.25">
      <c r="A202" t="s">
        <v>260</v>
      </c>
      <c r="B202" t="s">
        <v>257</v>
      </c>
      <c r="C202">
        <v>4.5999999999999996</v>
      </c>
      <c r="D202">
        <v>10927</v>
      </c>
      <c r="E202">
        <v>6</v>
      </c>
      <c r="F202">
        <v>2014</v>
      </c>
      <c r="G202" t="s">
        <v>8</v>
      </c>
      <c r="I202" s="9"/>
    </row>
    <row r="203" spans="1:9" x14ac:dyDescent="0.25">
      <c r="A203" t="s">
        <v>106</v>
      </c>
      <c r="B203" t="s">
        <v>107</v>
      </c>
      <c r="C203">
        <v>4.8</v>
      </c>
      <c r="D203">
        <v>10922</v>
      </c>
      <c r="E203">
        <v>5</v>
      </c>
      <c r="F203">
        <v>2015</v>
      </c>
      <c r="G203" t="s">
        <v>10</v>
      </c>
      <c r="I203" s="9"/>
    </row>
    <row r="204" spans="1:9" x14ac:dyDescent="0.25">
      <c r="A204" t="s">
        <v>106</v>
      </c>
      <c r="B204" t="s">
        <v>107</v>
      </c>
      <c r="C204">
        <v>4.8</v>
      </c>
      <c r="D204">
        <v>10922</v>
      </c>
      <c r="E204">
        <v>5</v>
      </c>
      <c r="F204">
        <v>2016</v>
      </c>
      <c r="G204" t="s">
        <v>10</v>
      </c>
      <c r="I204" s="9"/>
    </row>
    <row r="205" spans="1:9" x14ac:dyDescent="0.25">
      <c r="A205" t="s">
        <v>106</v>
      </c>
      <c r="B205" t="s">
        <v>107</v>
      </c>
      <c r="C205">
        <v>4.8</v>
      </c>
      <c r="D205">
        <v>10922</v>
      </c>
      <c r="E205">
        <v>5</v>
      </c>
      <c r="F205">
        <v>2017</v>
      </c>
      <c r="G205" t="s">
        <v>10</v>
      </c>
      <c r="I205" s="9"/>
    </row>
    <row r="206" spans="1:9" x14ac:dyDescent="0.25">
      <c r="A206" t="s">
        <v>106</v>
      </c>
      <c r="B206" t="s">
        <v>107</v>
      </c>
      <c r="C206">
        <v>4.8</v>
      </c>
      <c r="D206">
        <v>10922</v>
      </c>
      <c r="E206">
        <v>5</v>
      </c>
      <c r="F206">
        <v>2018</v>
      </c>
      <c r="G206" t="s">
        <v>10</v>
      </c>
      <c r="I206" s="9"/>
    </row>
    <row r="207" spans="1:9" x14ac:dyDescent="0.25">
      <c r="A207" t="s">
        <v>328</v>
      </c>
      <c r="B207" t="s">
        <v>329</v>
      </c>
      <c r="C207">
        <v>4.7</v>
      </c>
      <c r="D207">
        <v>10820</v>
      </c>
      <c r="E207">
        <v>5</v>
      </c>
      <c r="F207">
        <v>2018</v>
      </c>
      <c r="G207" t="s">
        <v>8</v>
      </c>
      <c r="I207" s="9"/>
    </row>
    <row r="208" spans="1:9" x14ac:dyDescent="0.25">
      <c r="A208" t="s">
        <v>328</v>
      </c>
      <c r="B208" t="s">
        <v>329</v>
      </c>
      <c r="C208">
        <v>4.7</v>
      </c>
      <c r="D208">
        <v>10820</v>
      </c>
      <c r="E208">
        <v>5</v>
      </c>
      <c r="F208">
        <v>2019</v>
      </c>
      <c r="G208" t="s">
        <v>8</v>
      </c>
      <c r="I208" s="9"/>
    </row>
    <row r="209" spans="1:9" x14ac:dyDescent="0.25">
      <c r="A209" t="s">
        <v>505</v>
      </c>
      <c r="B209" t="s">
        <v>506</v>
      </c>
      <c r="C209">
        <v>4.5999999999999996</v>
      </c>
      <c r="D209">
        <v>10795</v>
      </c>
      <c r="E209">
        <v>21</v>
      </c>
      <c r="F209">
        <v>2012</v>
      </c>
      <c r="G209" t="s">
        <v>8</v>
      </c>
      <c r="I209" s="9"/>
    </row>
    <row r="210" spans="1:9" x14ac:dyDescent="0.25">
      <c r="A210" t="s">
        <v>597</v>
      </c>
      <c r="B210" t="s">
        <v>598</v>
      </c>
      <c r="C210">
        <v>4.5</v>
      </c>
      <c r="D210">
        <v>10760</v>
      </c>
      <c r="E210">
        <v>15</v>
      </c>
      <c r="F210">
        <v>2012</v>
      </c>
      <c r="G210" t="s">
        <v>10</v>
      </c>
      <c r="I210" s="9"/>
    </row>
    <row r="211" spans="1:9" x14ac:dyDescent="0.25">
      <c r="A211" t="s">
        <v>148</v>
      </c>
      <c r="B211" t="s">
        <v>149</v>
      </c>
      <c r="C211">
        <v>4.5999999999999996</v>
      </c>
      <c r="D211">
        <v>10721</v>
      </c>
      <c r="E211">
        <v>8</v>
      </c>
      <c r="F211">
        <v>2016</v>
      </c>
      <c r="G211" t="s">
        <v>10</v>
      </c>
      <c r="I211" s="9"/>
    </row>
    <row r="212" spans="1:9" x14ac:dyDescent="0.25">
      <c r="A212" t="s">
        <v>148</v>
      </c>
      <c r="B212" t="s">
        <v>149</v>
      </c>
      <c r="C212">
        <v>4.5999999999999996</v>
      </c>
      <c r="D212">
        <v>10721</v>
      </c>
      <c r="E212">
        <v>8</v>
      </c>
      <c r="F212">
        <v>2018</v>
      </c>
      <c r="G212" t="s">
        <v>10</v>
      </c>
      <c r="I212" s="9"/>
    </row>
    <row r="213" spans="1:9" x14ac:dyDescent="0.25">
      <c r="A213" t="s">
        <v>439</v>
      </c>
      <c r="B213" t="s">
        <v>436</v>
      </c>
      <c r="C213">
        <v>4.4000000000000004</v>
      </c>
      <c r="D213">
        <v>10559</v>
      </c>
      <c r="E213">
        <v>2</v>
      </c>
      <c r="F213">
        <v>2009</v>
      </c>
      <c r="G213" t="s">
        <v>10</v>
      </c>
      <c r="I213" s="9"/>
    </row>
    <row r="214" spans="1:9" x14ac:dyDescent="0.25">
      <c r="A214" t="s">
        <v>439</v>
      </c>
      <c r="B214" t="s">
        <v>436</v>
      </c>
      <c r="C214">
        <v>4.4000000000000004</v>
      </c>
      <c r="D214">
        <v>10559</v>
      </c>
      <c r="E214">
        <v>2</v>
      </c>
      <c r="F214">
        <v>2010</v>
      </c>
      <c r="G214" t="s">
        <v>10</v>
      </c>
      <c r="I214" s="9"/>
    </row>
    <row r="215" spans="1:9" x14ac:dyDescent="0.25">
      <c r="A215" t="s">
        <v>327</v>
      </c>
      <c r="B215" t="s">
        <v>101</v>
      </c>
      <c r="C215">
        <v>4.5999999999999996</v>
      </c>
      <c r="D215">
        <v>10426</v>
      </c>
      <c r="E215">
        <v>20</v>
      </c>
      <c r="F215">
        <v>2009</v>
      </c>
      <c r="G215" t="s">
        <v>8</v>
      </c>
      <c r="I215" s="9"/>
    </row>
    <row r="216" spans="1:9" x14ac:dyDescent="0.25">
      <c r="A216" t="s">
        <v>327</v>
      </c>
      <c r="B216" t="s">
        <v>101</v>
      </c>
      <c r="C216">
        <v>4.5999999999999996</v>
      </c>
      <c r="D216">
        <v>10426</v>
      </c>
      <c r="E216">
        <v>20</v>
      </c>
      <c r="F216">
        <v>2010</v>
      </c>
      <c r="G216" t="s">
        <v>8</v>
      </c>
      <c r="I216" s="9"/>
    </row>
    <row r="217" spans="1:9" x14ac:dyDescent="0.25">
      <c r="A217" t="s">
        <v>79</v>
      </c>
      <c r="B217" t="s">
        <v>80</v>
      </c>
      <c r="C217">
        <v>4.5999999999999996</v>
      </c>
      <c r="D217">
        <v>10369</v>
      </c>
      <c r="E217">
        <v>4</v>
      </c>
      <c r="F217">
        <v>2016</v>
      </c>
      <c r="G217" t="s">
        <v>8</v>
      </c>
      <c r="I217" s="9"/>
    </row>
    <row r="218" spans="1:9" x14ac:dyDescent="0.25">
      <c r="A218" t="s">
        <v>294</v>
      </c>
      <c r="B218" t="s">
        <v>295</v>
      </c>
      <c r="C218">
        <v>4.7</v>
      </c>
      <c r="D218">
        <v>10199</v>
      </c>
      <c r="E218">
        <v>11</v>
      </c>
      <c r="F218">
        <v>2017</v>
      </c>
      <c r="G218" t="s">
        <v>8</v>
      </c>
      <c r="I218" s="9"/>
    </row>
    <row r="219" spans="1:9" x14ac:dyDescent="0.25">
      <c r="A219" t="s">
        <v>507</v>
      </c>
      <c r="B219" t="s">
        <v>235</v>
      </c>
      <c r="C219">
        <v>4.3</v>
      </c>
      <c r="D219">
        <v>10191</v>
      </c>
      <c r="E219">
        <v>18</v>
      </c>
      <c r="F219">
        <v>2018</v>
      </c>
      <c r="G219" t="s">
        <v>10</v>
      </c>
      <c r="I219" s="9"/>
    </row>
    <row r="220" spans="1:9" x14ac:dyDescent="0.25">
      <c r="A220" t="s">
        <v>189</v>
      </c>
      <c r="B220" t="s">
        <v>190</v>
      </c>
      <c r="C220">
        <v>4.5999999999999996</v>
      </c>
      <c r="D220">
        <v>10141</v>
      </c>
      <c r="E220">
        <v>6</v>
      </c>
      <c r="F220">
        <v>2019</v>
      </c>
      <c r="G220" t="s">
        <v>8</v>
      </c>
      <c r="I220" s="9"/>
    </row>
    <row r="221" spans="1:9" x14ac:dyDescent="0.25">
      <c r="A221" t="s">
        <v>484</v>
      </c>
      <c r="B221" t="s">
        <v>485</v>
      </c>
      <c r="C221">
        <v>4.5</v>
      </c>
      <c r="D221">
        <v>10101</v>
      </c>
      <c r="E221">
        <v>8</v>
      </c>
      <c r="F221">
        <v>2014</v>
      </c>
      <c r="G221" t="s">
        <v>10</v>
      </c>
      <c r="I221" s="9"/>
    </row>
    <row r="222" spans="1:9" x14ac:dyDescent="0.25">
      <c r="A222" t="s">
        <v>68</v>
      </c>
      <c r="B222" t="s">
        <v>69</v>
      </c>
      <c r="C222">
        <v>4.7</v>
      </c>
      <c r="D222">
        <v>10070</v>
      </c>
      <c r="E222">
        <v>13</v>
      </c>
      <c r="F222">
        <v>2015</v>
      </c>
      <c r="G222" t="s">
        <v>8</v>
      </c>
      <c r="I222" s="9"/>
    </row>
    <row r="223" spans="1:9" x14ac:dyDescent="0.25">
      <c r="A223" t="s">
        <v>68</v>
      </c>
      <c r="B223" t="s">
        <v>69</v>
      </c>
      <c r="C223">
        <v>4.7</v>
      </c>
      <c r="D223">
        <v>10070</v>
      </c>
      <c r="E223">
        <v>13</v>
      </c>
      <c r="F223">
        <v>2016</v>
      </c>
      <c r="G223" t="s">
        <v>8</v>
      </c>
      <c r="I223" s="9"/>
    </row>
    <row r="224" spans="1:9" x14ac:dyDescent="0.25">
      <c r="A224" t="s">
        <v>211</v>
      </c>
      <c r="B224" t="s">
        <v>151</v>
      </c>
      <c r="C224">
        <v>4.9000000000000004</v>
      </c>
      <c r="D224">
        <v>10052</v>
      </c>
      <c r="E224">
        <v>22</v>
      </c>
      <c r="F224">
        <v>2016</v>
      </c>
      <c r="G224" t="s">
        <v>10</v>
      </c>
      <c r="I224" s="9"/>
    </row>
    <row r="225" spans="1:9" x14ac:dyDescent="0.25">
      <c r="A225" t="s">
        <v>341</v>
      </c>
      <c r="B225" t="s">
        <v>342</v>
      </c>
      <c r="C225">
        <v>4.5999999999999996</v>
      </c>
      <c r="D225">
        <v>10009</v>
      </c>
      <c r="E225">
        <v>20</v>
      </c>
      <c r="F225">
        <v>2012</v>
      </c>
      <c r="G225" t="s">
        <v>8</v>
      </c>
      <c r="I225" s="9"/>
    </row>
    <row r="226" spans="1:9" x14ac:dyDescent="0.25">
      <c r="A226" t="s">
        <v>341</v>
      </c>
      <c r="B226" t="s">
        <v>342</v>
      </c>
      <c r="C226">
        <v>4.5999999999999996</v>
      </c>
      <c r="D226">
        <v>10009</v>
      </c>
      <c r="E226">
        <v>7</v>
      </c>
      <c r="F226">
        <v>2013</v>
      </c>
      <c r="G226" t="s">
        <v>8</v>
      </c>
      <c r="I226" s="9"/>
    </row>
    <row r="227" spans="1:9" x14ac:dyDescent="0.25">
      <c r="A227" t="s">
        <v>591</v>
      </c>
      <c r="B227" t="s">
        <v>592</v>
      </c>
      <c r="C227">
        <v>4.8</v>
      </c>
      <c r="D227">
        <v>9967</v>
      </c>
      <c r="E227">
        <v>13</v>
      </c>
      <c r="F227">
        <v>2009</v>
      </c>
      <c r="G227" t="s">
        <v>10</v>
      </c>
      <c r="I227" s="9"/>
    </row>
    <row r="228" spans="1:9" x14ac:dyDescent="0.25">
      <c r="A228" t="s">
        <v>453</v>
      </c>
      <c r="B228" t="s">
        <v>454</v>
      </c>
      <c r="C228">
        <v>4.8</v>
      </c>
      <c r="D228">
        <v>9947</v>
      </c>
      <c r="E228">
        <v>11</v>
      </c>
      <c r="F228">
        <v>2018</v>
      </c>
      <c r="G228" t="s">
        <v>10</v>
      </c>
      <c r="I228" s="9"/>
    </row>
    <row r="229" spans="1:9" x14ac:dyDescent="0.25">
      <c r="A229" t="s">
        <v>292</v>
      </c>
      <c r="B229" t="s">
        <v>222</v>
      </c>
      <c r="C229">
        <v>4.8</v>
      </c>
      <c r="D229">
        <v>9867</v>
      </c>
      <c r="E229">
        <v>16</v>
      </c>
      <c r="F229">
        <v>2018</v>
      </c>
      <c r="G229" t="s">
        <v>8</v>
      </c>
      <c r="I229" s="9"/>
    </row>
    <row r="230" spans="1:9" x14ac:dyDescent="0.25">
      <c r="A230" t="s">
        <v>503</v>
      </c>
      <c r="B230" t="s">
        <v>504</v>
      </c>
      <c r="C230">
        <v>4.8</v>
      </c>
      <c r="D230">
        <v>9784</v>
      </c>
      <c r="E230">
        <v>5</v>
      </c>
      <c r="F230">
        <v>2017</v>
      </c>
      <c r="G230" t="s">
        <v>10</v>
      </c>
      <c r="I230" s="9"/>
    </row>
    <row r="231" spans="1:9" x14ac:dyDescent="0.25">
      <c r="A231" t="s">
        <v>503</v>
      </c>
      <c r="B231" t="s">
        <v>504</v>
      </c>
      <c r="C231">
        <v>4.8</v>
      </c>
      <c r="D231">
        <v>9784</v>
      </c>
      <c r="E231">
        <v>5</v>
      </c>
      <c r="F231">
        <v>2018</v>
      </c>
      <c r="G231" t="s">
        <v>10</v>
      </c>
      <c r="I231" s="9"/>
    </row>
    <row r="232" spans="1:9" x14ac:dyDescent="0.25">
      <c r="A232" t="s">
        <v>72</v>
      </c>
      <c r="B232" t="s">
        <v>73</v>
      </c>
      <c r="C232">
        <v>4.5999999999999996</v>
      </c>
      <c r="D232">
        <v>9769</v>
      </c>
      <c r="E232">
        <v>13</v>
      </c>
      <c r="F232">
        <v>2009</v>
      </c>
      <c r="G232" t="s">
        <v>10</v>
      </c>
      <c r="I232" s="9"/>
    </row>
    <row r="233" spans="1:9" x14ac:dyDescent="0.25">
      <c r="A233" t="s">
        <v>232</v>
      </c>
      <c r="B233" t="s">
        <v>233</v>
      </c>
      <c r="C233">
        <v>4.8</v>
      </c>
      <c r="D233">
        <v>9737</v>
      </c>
      <c r="E233">
        <v>7</v>
      </c>
      <c r="F233">
        <v>2019</v>
      </c>
      <c r="G233" t="s">
        <v>8</v>
      </c>
      <c r="I233" s="9"/>
    </row>
    <row r="234" spans="1:9" x14ac:dyDescent="0.25">
      <c r="A234" t="s">
        <v>183</v>
      </c>
      <c r="B234" t="s">
        <v>184</v>
      </c>
      <c r="C234">
        <v>4.8</v>
      </c>
      <c r="D234">
        <v>9568</v>
      </c>
      <c r="E234">
        <v>9</v>
      </c>
      <c r="F234">
        <v>2011</v>
      </c>
      <c r="G234" t="s">
        <v>10</v>
      </c>
      <c r="I234" s="9"/>
    </row>
    <row r="235" spans="1:9" x14ac:dyDescent="0.25">
      <c r="A235" t="s">
        <v>603</v>
      </c>
      <c r="B235" t="s">
        <v>78</v>
      </c>
      <c r="C235">
        <v>4.9000000000000004</v>
      </c>
      <c r="D235">
        <v>9413</v>
      </c>
      <c r="E235">
        <v>8</v>
      </c>
      <c r="F235">
        <v>2019</v>
      </c>
      <c r="G235" t="s">
        <v>10</v>
      </c>
      <c r="I235" s="9"/>
    </row>
    <row r="236" spans="1:9" x14ac:dyDescent="0.25">
      <c r="A236" t="s">
        <v>366</v>
      </c>
      <c r="B236" t="s">
        <v>367</v>
      </c>
      <c r="C236">
        <v>4.9000000000000004</v>
      </c>
      <c r="D236">
        <v>9382</v>
      </c>
      <c r="E236">
        <v>6</v>
      </c>
      <c r="F236">
        <v>2019</v>
      </c>
      <c r="G236" t="s">
        <v>10</v>
      </c>
      <c r="I236" s="9"/>
    </row>
    <row r="237" spans="1:9" x14ac:dyDescent="0.25">
      <c r="A237" t="s">
        <v>53</v>
      </c>
      <c r="B237" t="s">
        <v>54</v>
      </c>
      <c r="C237">
        <v>4.7</v>
      </c>
      <c r="D237">
        <v>9374</v>
      </c>
      <c r="E237">
        <v>9</v>
      </c>
      <c r="F237">
        <v>2017</v>
      </c>
      <c r="G237" t="s">
        <v>8</v>
      </c>
      <c r="I237" s="9"/>
    </row>
    <row r="238" spans="1:9" x14ac:dyDescent="0.25">
      <c r="A238" t="s">
        <v>410</v>
      </c>
      <c r="B238" t="s">
        <v>151</v>
      </c>
      <c r="C238">
        <v>3.3</v>
      </c>
      <c r="D238">
        <v>9372</v>
      </c>
      <c r="E238">
        <v>12</v>
      </c>
      <c r="F238">
        <v>2012</v>
      </c>
      <c r="G238" t="s">
        <v>10</v>
      </c>
      <c r="I238" s="9"/>
    </row>
    <row r="239" spans="1:9" x14ac:dyDescent="0.25">
      <c r="A239" t="s">
        <v>356</v>
      </c>
      <c r="B239" t="s">
        <v>147</v>
      </c>
      <c r="C239">
        <v>4.7</v>
      </c>
      <c r="D239">
        <v>9366</v>
      </c>
      <c r="E239">
        <v>9</v>
      </c>
      <c r="F239">
        <v>2015</v>
      </c>
      <c r="G239" t="s">
        <v>8</v>
      </c>
      <c r="I239" s="9"/>
    </row>
    <row r="240" spans="1:9" x14ac:dyDescent="0.25">
      <c r="A240" t="s">
        <v>259</v>
      </c>
      <c r="B240" t="s">
        <v>257</v>
      </c>
      <c r="C240">
        <v>4.7</v>
      </c>
      <c r="D240">
        <v>9342</v>
      </c>
      <c r="E240">
        <v>10</v>
      </c>
      <c r="F240">
        <v>2011</v>
      </c>
      <c r="G240" t="s">
        <v>8</v>
      </c>
      <c r="I240" s="9"/>
    </row>
    <row r="241" spans="1:9" x14ac:dyDescent="0.25">
      <c r="A241" t="s">
        <v>259</v>
      </c>
      <c r="B241" t="s">
        <v>257</v>
      </c>
      <c r="C241">
        <v>4.7</v>
      </c>
      <c r="D241">
        <v>9342</v>
      </c>
      <c r="E241">
        <v>10</v>
      </c>
      <c r="F241">
        <v>2012</v>
      </c>
      <c r="G241" t="s">
        <v>8</v>
      </c>
      <c r="I241" s="9"/>
    </row>
    <row r="242" spans="1:9" x14ac:dyDescent="0.25">
      <c r="A242" t="s">
        <v>387</v>
      </c>
      <c r="B242" t="s">
        <v>388</v>
      </c>
      <c r="C242">
        <v>4.5999999999999996</v>
      </c>
      <c r="D242">
        <v>9325</v>
      </c>
      <c r="E242">
        <v>24</v>
      </c>
      <c r="F242">
        <v>2009</v>
      </c>
      <c r="G242" t="s">
        <v>8</v>
      </c>
      <c r="I242" s="9"/>
    </row>
    <row r="243" spans="1:9" x14ac:dyDescent="0.25">
      <c r="A243" t="s">
        <v>387</v>
      </c>
      <c r="B243" t="s">
        <v>388</v>
      </c>
      <c r="C243">
        <v>4.5999999999999996</v>
      </c>
      <c r="D243">
        <v>9325</v>
      </c>
      <c r="E243">
        <v>24</v>
      </c>
      <c r="F243">
        <v>2011</v>
      </c>
      <c r="G243" t="s">
        <v>8</v>
      </c>
      <c r="I243" s="9"/>
    </row>
    <row r="244" spans="1:9" x14ac:dyDescent="0.25">
      <c r="A244" t="s">
        <v>387</v>
      </c>
      <c r="B244" t="s">
        <v>388</v>
      </c>
      <c r="C244">
        <v>4.5999999999999996</v>
      </c>
      <c r="D244">
        <v>9325</v>
      </c>
      <c r="E244">
        <v>24</v>
      </c>
      <c r="F244">
        <v>2012</v>
      </c>
      <c r="G244" t="s">
        <v>8</v>
      </c>
      <c r="I244" s="9"/>
    </row>
    <row r="245" spans="1:9" x14ac:dyDescent="0.25">
      <c r="A245" t="s">
        <v>387</v>
      </c>
      <c r="B245" t="s">
        <v>388</v>
      </c>
      <c r="C245">
        <v>4.5999999999999996</v>
      </c>
      <c r="D245">
        <v>9325</v>
      </c>
      <c r="E245">
        <v>24</v>
      </c>
      <c r="F245">
        <v>2013</v>
      </c>
      <c r="G245" t="s">
        <v>8</v>
      </c>
      <c r="I245" s="9"/>
    </row>
    <row r="246" spans="1:9" x14ac:dyDescent="0.25">
      <c r="A246" t="s">
        <v>578</v>
      </c>
      <c r="B246" t="s">
        <v>579</v>
      </c>
      <c r="C246">
        <v>4.7</v>
      </c>
      <c r="D246">
        <v>9292</v>
      </c>
      <c r="E246">
        <v>17</v>
      </c>
      <c r="F246">
        <v>2014</v>
      </c>
      <c r="G246" t="s">
        <v>8</v>
      </c>
      <c r="I246" s="9"/>
    </row>
    <row r="247" spans="1:9" x14ac:dyDescent="0.25">
      <c r="A247" t="s">
        <v>461</v>
      </c>
      <c r="B247" t="s">
        <v>462</v>
      </c>
      <c r="C247">
        <v>4.7</v>
      </c>
      <c r="D247">
        <v>9289</v>
      </c>
      <c r="E247">
        <v>13</v>
      </c>
      <c r="F247">
        <v>2010</v>
      </c>
      <c r="G247" t="s">
        <v>8</v>
      </c>
      <c r="I247" s="9"/>
    </row>
    <row r="248" spans="1:9" x14ac:dyDescent="0.25">
      <c r="A248" t="s">
        <v>461</v>
      </c>
      <c r="B248" t="s">
        <v>462</v>
      </c>
      <c r="C248">
        <v>4.7</v>
      </c>
      <c r="D248">
        <v>9289</v>
      </c>
      <c r="E248">
        <v>9</v>
      </c>
      <c r="F248">
        <v>2011</v>
      </c>
      <c r="G248" t="s">
        <v>8</v>
      </c>
      <c r="I248" s="9"/>
    </row>
    <row r="249" spans="1:9" x14ac:dyDescent="0.25">
      <c r="A249" t="s">
        <v>461</v>
      </c>
      <c r="B249" t="s">
        <v>462</v>
      </c>
      <c r="C249">
        <v>4.7</v>
      </c>
      <c r="D249">
        <v>9289</v>
      </c>
      <c r="E249">
        <v>9</v>
      </c>
      <c r="F249">
        <v>2012</v>
      </c>
      <c r="G249" t="s">
        <v>8</v>
      </c>
      <c r="I249" s="9"/>
    </row>
    <row r="250" spans="1:9" x14ac:dyDescent="0.25">
      <c r="A250" t="s">
        <v>41</v>
      </c>
      <c r="B250" t="s">
        <v>42</v>
      </c>
      <c r="C250">
        <v>4.8</v>
      </c>
      <c r="D250">
        <v>9198</v>
      </c>
      <c r="E250">
        <v>13</v>
      </c>
      <c r="F250">
        <v>2016</v>
      </c>
      <c r="G250" t="s">
        <v>8</v>
      </c>
      <c r="I250" s="8"/>
    </row>
    <row r="251" spans="1:9" x14ac:dyDescent="0.25">
      <c r="A251" t="s">
        <v>130</v>
      </c>
      <c r="B251" t="s">
        <v>126</v>
      </c>
      <c r="C251">
        <v>4.9000000000000004</v>
      </c>
      <c r="D251">
        <v>9089</v>
      </c>
      <c r="E251">
        <v>8</v>
      </c>
      <c r="F251">
        <v>2019</v>
      </c>
      <c r="G251" t="s">
        <v>10</v>
      </c>
      <c r="I251" s="8"/>
    </row>
    <row r="252" spans="1:9" x14ac:dyDescent="0.25">
      <c r="A252" t="s">
        <v>531</v>
      </c>
      <c r="B252" t="s">
        <v>532</v>
      </c>
      <c r="C252">
        <v>4.7</v>
      </c>
      <c r="D252">
        <v>9030</v>
      </c>
      <c r="E252">
        <v>10</v>
      </c>
      <c r="F252">
        <v>2019</v>
      </c>
      <c r="G252" t="s">
        <v>8</v>
      </c>
      <c r="I252" s="8"/>
    </row>
    <row r="253" spans="1:9" x14ac:dyDescent="0.25">
      <c r="A253" t="s">
        <v>574</v>
      </c>
      <c r="B253" t="s">
        <v>575</v>
      </c>
      <c r="C253">
        <v>4.5</v>
      </c>
      <c r="D253">
        <v>8958</v>
      </c>
      <c r="E253">
        <v>12</v>
      </c>
      <c r="F253">
        <v>2011</v>
      </c>
      <c r="G253" t="s">
        <v>10</v>
      </c>
      <c r="I253" s="8"/>
    </row>
    <row r="254" spans="1:9" x14ac:dyDescent="0.25">
      <c r="A254" t="s">
        <v>420</v>
      </c>
      <c r="B254" t="s">
        <v>421</v>
      </c>
      <c r="C254">
        <v>4.8</v>
      </c>
      <c r="D254">
        <v>8922</v>
      </c>
      <c r="E254">
        <v>9</v>
      </c>
      <c r="F254">
        <v>2013</v>
      </c>
      <c r="G254" t="s">
        <v>10</v>
      </c>
      <c r="I254" s="8"/>
    </row>
    <row r="255" spans="1:9" x14ac:dyDescent="0.25">
      <c r="A255" t="s">
        <v>420</v>
      </c>
      <c r="B255" t="s">
        <v>421</v>
      </c>
      <c r="C255">
        <v>4.8</v>
      </c>
      <c r="D255">
        <v>8922</v>
      </c>
      <c r="E255">
        <v>9</v>
      </c>
      <c r="F255">
        <v>2014</v>
      </c>
      <c r="G255" t="s">
        <v>10</v>
      </c>
      <c r="I255" s="8"/>
    </row>
    <row r="256" spans="1:9" x14ac:dyDescent="0.25">
      <c r="A256" t="s">
        <v>420</v>
      </c>
      <c r="B256" t="s">
        <v>421</v>
      </c>
      <c r="C256">
        <v>4.8</v>
      </c>
      <c r="D256">
        <v>8922</v>
      </c>
      <c r="E256">
        <v>9</v>
      </c>
      <c r="F256">
        <v>2015</v>
      </c>
      <c r="G256" t="s">
        <v>10</v>
      </c>
      <c r="I256" s="8"/>
    </row>
    <row r="257" spans="1:9" x14ac:dyDescent="0.25">
      <c r="A257" t="s">
        <v>262</v>
      </c>
      <c r="B257" t="s">
        <v>257</v>
      </c>
      <c r="C257">
        <v>4.8</v>
      </c>
      <c r="D257">
        <v>8916</v>
      </c>
      <c r="E257">
        <v>6</v>
      </c>
      <c r="F257">
        <v>2016</v>
      </c>
      <c r="G257" t="s">
        <v>8</v>
      </c>
      <c r="I257" s="8"/>
    </row>
    <row r="258" spans="1:9" x14ac:dyDescent="0.25">
      <c r="A258" t="s">
        <v>537</v>
      </c>
      <c r="B258" t="s">
        <v>538</v>
      </c>
      <c r="C258">
        <v>4.9000000000000004</v>
      </c>
      <c r="D258">
        <v>8842</v>
      </c>
      <c r="E258">
        <v>10</v>
      </c>
      <c r="F258">
        <v>2016</v>
      </c>
      <c r="G258" t="s">
        <v>10</v>
      </c>
      <c r="I258" s="8"/>
    </row>
    <row r="259" spans="1:9" x14ac:dyDescent="0.25">
      <c r="A259" t="s">
        <v>537</v>
      </c>
      <c r="B259" t="s">
        <v>538</v>
      </c>
      <c r="C259">
        <v>4.9000000000000004</v>
      </c>
      <c r="D259">
        <v>8842</v>
      </c>
      <c r="E259">
        <v>10</v>
      </c>
      <c r="F259">
        <v>2017</v>
      </c>
      <c r="G259" t="s">
        <v>10</v>
      </c>
      <c r="I259" s="8"/>
    </row>
    <row r="260" spans="1:9" x14ac:dyDescent="0.25">
      <c r="A260" t="s">
        <v>537</v>
      </c>
      <c r="B260" t="s">
        <v>538</v>
      </c>
      <c r="C260">
        <v>4.9000000000000004</v>
      </c>
      <c r="D260">
        <v>8842</v>
      </c>
      <c r="E260">
        <v>10</v>
      </c>
      <c r="F260">
        <v>2018</v>
      </c>
      <c r="G260" t="s">
        <v>10</v>
      </c>
      <c r="I260" s="8"/>
    </row>
    <row r="261" spans="1:9" x14ac:dyDescent="0.25">
      <c r="A261" t="s">
        <v>537</v>
      </c>
      <c r="B261" t="s">
        <v>538</v>
      </c>
      <c r="C261">
        <v>4.9000000000000004</v>
      </c>
      <c r="D261">
        <v>8842</v>
      </c>
      <c r="E261">
        <v>10</v>
      </c>
      <c r="F261">
        <v>2019</v>
      </c>
      <c r="G261" t="s">
        <v>10</v>
      </c>
      <c r="I261" s="8"/>
    </row>
    <row r="262" spans="1:9" x14ac:dyDescent="0.25">
      <c r="A262" t="s">
        <v>193</v>
      </c>
      <c r="B262" t="s">
        <v>194</v>
      </c>
      <c r="C262">
        <v>4.8</v>
      </c>
      <c r="D262">
        <v>8837</v>
      </c>
      <c r="E262">
        <v>5</v>
      </c>
      <c r="F262">
        <v>2017</v>
      </c>
      <c r="G262" t="s">
        <v>10</v>
      </c>
      <c r="I262" s="8"/>
    </row>
    <row r="263" spans="1:9" x14ac:dyDescent="0.25">
      <c r="A263" t="s">
        <v>193</v>
      </c>
      <c r="B263" t="s">
        <v>194</v>
      </c>
      <c r="C263">
        <v>4.8</v>
      </c>
      <c r="D263">
        <v>8837</v>
      </c>
      <c r="E263">
        <v>5</v>
      </c>
      <c r="F263">
        <v>2018</v>
      </c>
      <c r="G263" t="s">
        <v>10</v>
      </c>
      <c r="I263" s="8"/>
    </row>
    <row r="264" spans="1:9" x14ac:dyDescent="0.25">
      <c r="A264" t="s">
        <v>193</v>
      </c>
      <c r="B264" t="s">
        <v>194</v>
      </c>
      <c r="C264">
        <v>4.8</v>
      </c>
      <c r="D264">
        <v>8837</v>
      </c>
      <c r="E264">
        <v>5</v>
      </c>
      <c r="F264">
        <v>2019</v>
      </c>
      <c r="G264" t="s">
        <v>10</v>
      </c>
      <c r="I264" s="8"/>
    </row>
    <row r="265" spans="1:9" x14ac:dyDescent="0.25">
      <c r="A265" t="s">
        <v>476</v>
      </c>
      <c r="B265" t="s">
        <v>243</v>
      </c>
      <c r="C265">
        <v>4.2</v>
      </c>
      <c r="D265">
        <v>8747</v>
      </c>
      <c r="E265">
        <v>19</v>
      </c>
      <c r="F265">
        <v>2009</v>
      </c>
      <c r="G265" t="s">
        <v>10</v>
      </c>
      <c r="I265" s="8"/>
    </row>
    <row r="266" spans="1:9" x14ac:dyDescent="0.25">
      <c r="A266" t="s">
        <v>258</v>
      </c>
      <c r="B266" t="s">
        <v>257</v>
      </c>
      <c r="C266">
        <v>4.5999999999999996</v>
      </c>
      <c r="D266">
        <v>8634</v>
      </c>
      <c r="E266">
        <v>25</v>
      </c>
      <c r="F266">
        <v>2012</v>
      </c>
      <c r="G266" t="s">
        <v>8</v>
      </c>
      <c r="I266" s="8"/>
    </row>
    <row r="267" spans="1:9" x14ac:dyDescent="0.25">
      <c r="A267" t="s">
        <v>447</v>
      </c>
      <c r="B267" t="s">
        <v>448</v>
      </c>
      <c r="C267">
        <v>4.7</v>
      </c>
      <c r="D267">
        <v>8587</v>
      </c>
      <c r="E267">
        <v>10</v>
      </c>
      <c r="F267">
        <v>2009</v>
      </c>
      <c r="G267" t="s">
        <v>10</v>
      </c>
      <c r="I267" s="8"/>
    </row>
    <row r="268" spans="1:9" x14ac:dyDescent="0.25">
      <c r="A268" t="s">
        <v>337</v>
      </c>
      <c r="B268" t="s">
        <v>338</v>
      </c>
      <c r="C268">
        <v>4.5</v>
      </c>
      <c r="D268">
        <v>8580</v>
      </c>
      <c r="E268">
        <v>46</v>
      </c>
      <c r="F268">
        <v>2009</v>
      </c>
      <c r="G268" t="s">
        <v>8</v>
      </c>
      <c r="I268" s="8"/>
    </row>
    <row r="269" spans="1:9" x14ac:dyDescent="0.25">
      <c r="A269" t="s">
        <v>337</v>
      </c>
      <c r="B269" t="s">
        <v>338</v>
      </c>
      <c r="C269">
        <v>4.5</v>
      </c>
      <c r="D269">
        <v>8580</v>
      </c>
      <c r="E269">
        <v>46</v>
      </c>
      <c r="F269">
        <v>2010</v>
      </c>
      <c r="G269" t="s">
        <v>8</v>
      </c>
      <c r="I269" s="8"/>
    </row>
    <row r="270" spans="1:9" x14ac:dyDescent="0.25">
      <c r="A270" t="s">
        <v>337</v>
      </c>
      <c r="B270" t="s">
        <v>338</v>
      </c>
      <c r="C270">
        <v>4.5</v>
      </c>
      <c r="D270">
        <v>8580</v>
      </c>
      <c r="E270">
        <v>46</v>
      </c>
      <c r="F270">
        <v>2011</v>
      </c>
      <c r="G270" t="s">
        <v>8</v>
      </c>
      <c r="I270" s="8"/>
    </row>
    <row r="271" spans="1:9" x14ac:dyDescent="0.25">
      <c r="A271" t="s">
        <v>337</v>
      </c>
      <c r="B271" t="s">
        <v>338</v>
      </c>
      <c r="C271">
        <v>4.5</v>
      </c>
      <c r="D271">
        <v>8580</v>
      </c>
      <c r="E271">
        <v>46</v>
      </c>
      <c r="F271">
        <v>2012</v>
      </c>
      <c r="G271" t="s">
        <v>8</v>
      </c>
      <c r="I271" s="8"/>
    </row>
    <row r="272" spans="1:9" x14ac:dyDescent="0.25">
      <c r="A272" t="s">
        <v>337</v>
      </c>
      <c r="B272" t="s">
        <v>338</v>
      </c>
      <c r="C272">
        <v>4.5</v>
      </c>
      <c r="D272">
        <v>8580</v>
      </c>
      <c r="E272">
        <v>46</v>
      </c>
      <c r="F272">
        <v>2013</v>
      </c>
      <c r="G272" t="s">
        <v>8</v>
      </c>
      <c r="I272" s="8"/>
    </row>
    <row r="273" spans="1:9" x14ac:dyDescent="0.25">
      <c r="A273" t="s">
        <v>337</v>
      </c>
      <c r="B273" t="s">
        <v>338</v>
      </c>
      <c r="C273">
        <v>4.5</v>
      </c>
      <c r="D273">
        <v>8580</v>
      </c>
      <c r="E273">
        <v>46</v>
      </c>
      <c r="F273">
        <v>2014</v>
      </c>
      <c r="G273" t="s">
        <v>8</v>
      </c>
      <c r="I273" s="8"/>
    </row>
    <row r="274" spans="1:9" x14ac:dyDescent="0.25">
      <c r="A274" t="s">
        <v>337</v>
      </c>
      <c r="B274" t="s">
        <v>338</v>
      </c>
      <c r="C274">
        <v>4.5</v>
      </c>
      <c r="D274">
        <v>8580</v>
      </c>
      <c r="E274">
        <v>46</v>
      </c>
      <c r="F274">
        <v>2015</v>
      </c>
      <c r="G274" t="s">
        <v>8</v>
      </c>
      <c r="I274" s="8"/>
    </row>
    <row r="275" spans="1:9" x14ac:dyDescent="0.25">
      <c r="A275" t="s">
        <v>337</v>
      </c>
      <c r="B275" t="s">
        <v>338</v>
      </c>
      <c r="C275">
        <v>4.5</v>
      </c>
      <c r="D275">
        <v>8580</v>
      </c>
      <c r="E275">
        <v>46</v>
      </c>
      <c r="F275">
        <v>2016</v>
      </c>
      <c r="G275" t="s">
        <v>8</v>
      </c>
      <c r="I275" s="8"/>
    </row>
    <row r="276" spans="1:9" x14ac:dyDescent="0.25">
      <c r="A276" t="s">
        <v>337</v>
      </c>
      <c r="B276" t="s">
        <v>338</v>
      </c>
      <c r="C276">
        <v>4.5</v>
      </c>
      <c r="D276">
        <v>8580</v>
      </c>
      <c r="E276">
        <v>46</v>
      </c>
      <c r="F276">
        <v>2017</v>
      </c>
      <c r="G276" t="s">
        <v>8</v>
      </c>
      <c r="I276" s="8"/>
    </row>
    <row r="277" spans="1:9" x14ac:dyDescent="0.25">
      <c r="A277" t="s">
        <v>337</v>
      </c>
      <c r="B277" t="s">
        <v>338</v>
      </c>
      <c r="C277">
        <v>4.5</v>
      </c>
      <c r="D277">
        <v>8580</v>
      </c>
      <c r="E277">
        <v>46</v>
      </c>
      <c r="F277">
        <v>2018</v>
      </c>
      <c r="G277" t="s">
        <v>8</v>
      </c>
      <c r="I277" s="8"/>
    </row>
    <row r="278" spans="1:9" x14ac:dyDescent="0.25">
      <c r="A278" t="s">
        <v>286</v>
      </c>
      <c r="B278" t="s">
        <v>287</v>
      </c>
      <c r="C278">
        <v>4.5</v>
      </c>
      <c r="D278">
        <v>8491</v>
      </c>
      <c r="E278">
        <v>7</v>
      </c>
      <c r="F278">
        <v>2014</v>
      </c>
      <c r="G278" t="s">
        <v>10</v>
      </c>
      <c r="I278" s="8"/>
    </row>
    <row r="279" spans="1:9" x14ac:dyDescent="0.25">
      <c r="A279" t="s">
        <v>254</v>
      </c>
      <c r="B279" t="s">
        <v>255</v>
      </c>
      <c r="C279">
        <v>4.5999999999999996</v>
      </c>
      <c r="D279">
        <v>8393</v>
      </c>
      <c r="E279">
        <v>17</v>
      </c>
      <c r="F279">
        <v>2017</v>
      </c>
      <c r="G279" t="s">
        <v>8</v>
      </c>
      <c r="I279" s="8"/>
    </row>
    <row r="280" spans="1:9" x14ac:dyDescent="0.25">
      <c r="A280" t="s">
        <v>581</v>
      </c>
      <c r="B280" t="s">
        <v>582</v>
      </c>
      <c r="C280">
        <v>4.8</v>
      </c>
      <c r="D280">
        <v>8170</v>
      </c>
      <c r="E280">
        <v>13</v>
      </c>
      <c r="F280">
        <v>2019</v>
      </c>
      <c r="G280" t="s">
        <v>10</v>
      </c>
      <c r="I280" s="8"/>
    </row>
    <row r="281" spans="1:9" x14ac:dyDescent="0.25">
      <c r="A281" t="s">
        <v>312</v>
      </c>
      <c r="B281" t="s">
        <v>313</v>
      </c>
      <c r="C281">
        <v>4.5999999999999996</v>
      </c>
      <c r="D281">
        <v>8093</v>
      </c>
      <c r="E281">
        <v>14</v>
      </c>
      <c r="F281">
        <v>2012</v>
      </c>
      <c r="G281" t="s">
        <v>8</v>
      </c>
      <c r="I281" s="8"/>
    </row>
    <row r="282" spans="1:9" x14ac:dyDescent="0.25">
      <c r="A282" t="s">
        <v>406</v>
      </c>
      <c r="B282" t="s">
        <v>407</v>
      </c>
      <c r="C282">
        <v>4.8</v>
      </c>
      <c r="D282">
        <v>8081</v>
      </c>
      <c r="E282">
        <v>8</v>
      </c>
      <c r="F282">
        <v>2014</v>
      </c>
      <c r="G282" t="s">
        <v>10</v>
      </c>
      <c r="I282" s="8"/>
    </row>
    <row r="283" spans="1:9" x14ac:dyDescent="0.25">
      <c r="A283" t="s">
        <v>406</v>
      </c>
      <c r="B283" t="s">
        <v>407</v>
      </c>
      <c r="C283">
        <v>4.8</v>
      </c>
      <c r="D283">
        <v>8081</v>
      </c>
      <c r="E283">
        <v>8</v>
      </c>
      <c r="F283">
        <v>2015</v>
      </c>
      <c r="G283" t="s">
        <v>10</v>
      </c>
      <c r="I283" s="8"/>
    </row>
    <row r="284" spans="1:9" x14ac:dyDescent="0.25">
      <c r="A284" t="s">
        <v>117</v>
      </c>
      <c r="B284" t="s">
        <v>118</v>
      </c>
      <c r="C284">
        <v>4.5999999999999996</v>
      </c>
      <c r="D284">
        <v>7955</v>
      </c>
      <c r="E284">
        <v>5</v>
      </c>
      <c r="F284">
        <v>2019</v>
      </c>
      <c r="G284" t="s">
        <v>8</v>
      </c>
      <c r="I284" s="8"/>
    </row>
    <row r="285" spans="1:9" x14ac:dyDescent="0.25">
      <c r="A285" t="s">
        <v>547</v>
      </c>
      <c r="B285" t="s">
        <v>548</v>
      </c>
      <c r="C285">
        <v>4.5</v>
      </c>
      <c r="D285">
        <v>7932</v>
      </c>
      <c r="E285">
        <v>9</v>
      </c>
      <c r="F285">
        <v>2017</v>
      </c>
      <c r="G285" t="s">
        <v>10</v>
      </c>
      <c r="I285" s="8"/>
    </row>
    <row r="286" spans="1:9" x14ac:dyDescent="0.25">
      <c r="A286" t="s">
        <v>307</v>
      </c>
      <c r="B286" t="s">
        <v>308</v>
      </c>
      <c r="C286">
        <v>4.8</v>
      </c>
      <c r="D286">
        <v>7866</v>
      </c>
      <c r="E286">
        <v>11</v>
      </c>
      <c r="F286">
        <v>2019</v>
      </c>
      <c r="G286" t="s">
        <v>8</v>
      </c>
      <c r="I286" s="8"/>
    </row>
    <row r="287" spans="1:9" x14ac:dyDescent="0.25">
      <c r="A287" t="s">
        <v>479</v>
      </c>
      <c r="B287" t="s">
        <v>480</v>
      </c>
      <c r="C287">
        <v>4.9000000000000004</v>
      </c>
      <c r="D287">
        <v>7861</v>
      </c>
      <c r="E287">
        <v>5</v>
      </c>
      <c r="F287">
        <v>2016</v>
      </c>
      <c r="G287" t="s">
        <v>8</v>
      </c>
      <c r="I287" s="8"/>
    </row>
    <row r="288" spans="1:9" x14ac:dyDescent="0.25">
      <c r="A288" t="s">
        <v>365</v>
      </c>
      <c r="B288" t="s">
        <v>273</v>
      </c>
      <c r="C288">
        <v>4.5999999999999996</v>
      </c>
      <c r="D288">
        <v>7827</v>
      </c>
      <c r="E288">
        <v>20</v>
      </c>
      <c r="F288">
        <v>2011</v>
      </c>
      <c r="G288" t="s">
        <v>8</v>
      </c>
      <c r="I288" s="8"/>
    </row>
    <row r="289" spans="1:9" x14ac:dyDescent="0.25">
      <c r="A289" t="s">
        <v>365</v>
      </c>
      <c r="B289" t="s">
        <v>273</v>
      </c>
      <c r="C289">
        <v>4.5999999999999996</v>
      </c>
      <c r="D289">
        <v>7827</v>
      </c>
      <c r="E289">
        <v>20</v>
      </c>
      <c r="F289">
        <v>2012</v>
      </c>
      <c r="G289" t="s">
        <v>8</v>
      </c>
      <c r="I289" s="8"/>
    </row>
    <row r="290" spans="1:9" x14ac:dyDescent="0.25">
      <c r="A290" t="s">
        <v>350</v>
      </c>
      <c r="B290" t="s">
        <v>351</v>
      </c>
      <c r="C290">
        <v>4.8</v>
      </c>
      <c r="D290">
        <v>7802</v>
      </c>
      <c r="E290">
        <v>20</v>
      </c>
      <c r="F290">
        <v>2018</v>
      </c>
      <c r="G290" t="s">
        <v>8</v>
      </c>
      <c r="I290" s="8"/>
    </row>
    <row r="291" spans="1:9" x14ac:dyDescent="0.25">
      <c r="A291" t="s">
        <v>350</v>
      </c>
      <c r="B291" t="s">
        <v>351</v>
      </c>
      <c r="C291">
        <v>4.8</v>
      </c>
      <c r="D291">
        <v>7802</v>
      </c>
      <c r="E291">
        <v>20</v>
      </c>
      <c r="F291">
        <v>2019</v>
      </c>
      <c r="G291" t="s">
        <v>8</v>
      </c>
      <c r="I291" s="8"/>
    </row>
    <row r="292" spans="1:9" x14ac:dyDescent="0.25">
      <c r="A292" t="s">
        <v>208</v>
      </c>
      <c r="B292" t="s">
        <v>209</v>
      </c>
      <c r="C292">
        <v>4.9000000000000004</v>
      </c>
      <c r="D292">
        <v>7758</v>
      </c>
      <c r="E292">
        <v>18</v>
      </c>
      <c r="F292">
        <v>2019</v>
      </c>
      <c r="G292" t="s">
        <v>10</v>
      </c>
      <c r="I292" s="8"/>
    </row>
    <row r="293" spans="1:9" x14ac:dyDescent="0.25">
      <c r="A293" t="s">
        <v>435</v>
      </c>
      <c r="B293" t="s">
        <v>436</v>
      </c>
      <c r="C293">
        <v>4.7</v>
      </c>
      <c r="D293">
        <v>7747</v>
      </c>
      <c r="E293">
        <v>14</v>
      </c>
      <c r="F293">
        <v>2010</v>
      </c>
      <c r="G293" t="s">
        <v>10</v>
      </c>
      <c r="I293" s="8"/>
    </row>
    <row r="294" spans="1:9" x14ac:dyDescent="0.25">
      <c r="A294" t="s">
        <v>435</v>
      </c>
      <c r="B294" t="s">
        <v>436</v>
      </c>
      <c r="C294">
        <v>4.7</v>
      </c>
      <c r="D294">
        <v>7747</v>
      </c>
      <c r="E294">
        <v>14</v>
      </c>
      <c r="F294">
        <v>2011</v>
      </c>
      <c r="G294" t="s">
        <v>10</v>
      </c>
      <c r="I294" s="8"/>
    </row>
    <row r="295" spans="1:9" x14ac:dyDescent="0.25">
      <c r="A295" t="s">
        <v>15</v>
      </c>
      <c r="B295" t="s">
        <v>16</v>
      </c>
      <c r="C295">
        <v>4.8</v>
      </c>
      <c r="D295">
        <v>7665</v>
      </c>
      <c r="E295">
        <v>12</v>
      </c>
      <c r="F295">
        <v>2019</v>
      </c>
      <c r="G295" t="s">
        <v>8</v>
      </c>
      <c r="I295" s="8"/>
    </row>
    <row r="296" spans="1:9" x14ac:dyDescent="0.25">
      <c r="A296" t="s">
        <v>177</v>
      </c>
      <c r="B296" t="s">
        <v>178</v>
      </c>
      <c r="C296">
        <v>4.5999999999999996</v>
      </c>
      <c r="D296">
        <v>7660</v>
      </c>
      <c r="E296">
        <v>12</v>
      </c>
      <c r="F296">
        <v>2019</v>
      </c>
      <c r="G296" t="s">
        <v>8</v>
      </c>
      <c r="I296" s="8"/>
    </row>
    <row r="297" spans="1:9" x14ac:dyDescent="0.25">
      <c r="A297" t="s">
        <v>274</v>
      </c>
      <c r="B297" t="s">
        <v>275</v>
      </c>
      <c r="C297">
        <v>4.4000000000000004</v>
      </c>
      <c r="D297">
        <v>7550</v>
      </c>
      <c r="E297">
        <v>6</v>
      </c>
      <c r="F297">
        <v>2018</v>
      </c>
      <c r="G297" t="s">
        <v>8</v>
      </c>
      <c r="I297" s="8"/>
    </row>
    <row r="298" spans="1:9" x14ac:dyDescent="0.25">
      <c r="A298" t="s">
        <v>535</v>
      </c>
      <c r="B298" t="s">
        <v>536</v>
      </c>
      <c r="C298">
        <v>4.5999999999999996</v>
      </c>
      <c r="D298">
        <v>7508</v>
      </c>
      <c r="E298">
        <v>16</v>
      </c>
      <c r="F298">
        <v>2015</v>
      </c>
      <c r="G298" t="s">
        <v>8</v>
      </c>
      <c r="I298" s="8"/>
    </row>
    <row r="299" spans="1:9" x14ac:dyDescent="0.25">
      <c r="A299" t="s">
        <v>535</v>
      </c>
      <c r="B299" t="s">
        <v>536</v>
      </c>
      <c r="C299">
        <v>4.5999999999999996</v>
      </c>
      <c r="D299">
        <v>7508</v>
      </c>
      <c r="E299">
        <v>16</v>
      </c>
      <c r="F299">
        <v>2016</v>
      </c>
      <c r="G299" t="s">
        <v>8</v>
      </c>
      <c r="I299" s="8"/>
    </row>
    <row r="300" spans="1:9" x14ac:dyDescent="0.25">
      <c r="A300" t="s">
        <v>535</v>
      </c>
      <c r="B300" t="s">
        <v>536</v>
      </c>
      <c r="C300">
        <v>4.5999999999999996</v>
      </c>
      <c r="D300">
        <v>7508</v>
      </c>
      <c r="E300">
        <v>16</v>
      </c>
      <c r="F300">
        <v>2017</v>
      </c>
      <c r="G300" t="s">
        <v>8</v>
      </c>
      <c r="I300" s="8"/>
    </row>
    <row r="301" spans="1:9" x14ac:dyDescent="0.25">
      <c r="A301" t="s">
        <v>585</v>
      </c>
      <c r="B301" t="s">
        <v>586</v>
      </c>
      <c r="C301">
        <v>4.4000000000000004</v>
      </c>
      <c r="D301">
        <v>7497</v>
      </c>
      <c r="E301">
        <v>6</v>
      </c>
      <c r="F301">
        <v>2012</v>
      </c>
      <c r="G301" t="s">
        <v>8</v>
      </c>
      <c r="I301" s="8"/>
    </row>
    <row r="302" spans="1:9" x14ac:dyDescent="0.25">
      <c r="A302" t="s">
        <v>585</v>
      </c>
      <c r="B302" t="s">
        <v>586</v>
      </c>
      <c r="C302">
        <v>4.4000000000000004</v>
      </c>
      <c r="D302">
        <v>7497</v>
      </c>
      <c r="E302">
        <v>6</v>
      </c>
      <c r="F302">
        <v>2013</v>
      </c>
      <c r="G302" t="s">
        <v>8</v>
      </c>
      <c r="I302" s="8"/>
    </row>
    <row r="303" spans="1:9" x14ac:dyDescent="0.25">
      <c r="A303" t="s">
        <v>246</v>
      </c>
      <c r="B303" t="s">
        <v>247</v>
      </c>
      <c r="C303">
        <v>4.4000000000000004</v>
      </c>
      <c r="D303">
        <v>7396</v>
      </c>
      <c r="E303">
        <v>13</v>
      </c>
      <c r="F303">
        <v>2018</v>
      </c>
      <c r="G303" t="s">
        <v>8</v>
      </c>
      <c r="I303" s="8"/>
    </row>
    <row r="304" spans="1:9" x14ac:dyDescent="0.25">
      <c r="A304" t="s">
        <v>246</v>
      </c>
      <c r="B304" t="s">
        <v>247</v>
      </c>
      <c r="C304">
        <v>4.4000000000000004</v>
      </c>
      <c r="D304">
        <v>7396</v>
      </c>
      <c r="E304">
        <v>13</v>
      </c>
      <c r="F304">
        <v>2019</v>
      </c>
      <c r="G304" t="s">
        <v>8</v>
      </c>
      <c r="I304" s="8"/>
    </row>
    <row r="305" spans="1:9" x14ac:dyDescent="0.25">
      <c r="A305" t="s">
        <v>463</v>
      </c>
      <c r="B305" t="s">
        <v>464</v>
      </c>
      <c r="C305">
        <v>4.3</v>
      </c>
      <c r="D305">
        <v>7368</v>
      </c>
      <c r="E305">
        <v>7</v>
      </c>
      <c r="F305">
        <v>2017</v>
      </c>
      <c r="G305" t="s">
        <v>8</v>
      </c>
      <c r="I305" s="8"/>
    </row>
    <row r="306" spans="1:9" x14ac:dyDescent="0.25">
      <c r="A306" t="s">
        <v>463</v>
      </c>
      <c r="B306" t="s">
        <v>464</v>
      </c>
      <c r="C306">
        <v>4.3</v>
      </c>
      <c r="D306">
        <v>7368</v>
      </c>
      <c r="E306">
        <v>7</v>
      </c>
      <c r="F306">
        <v>2018</v>
      </c>
      <c r="G306" t="s">
        <v>8</v>
      </c>
      <c r="I306" s="8"/>
    </row>
    <row r="307" spans="1:9" x14ac:dyDescent="0.25">
      <c r="A307" t="s">
        <v>438</v>
      </c>
      <c r="B307" t="s">
        <v>436</v>
      </c>
      <c r="C307">
        <v>4.7</v>
      </c>
      <c r="D307">
        <v>7251</v>
      </c>
      <c r="E307">
        <v>16</v>
      </c>
      <c r="F307">
        <v>2009</v>
      </c>
      <c r="G307" t="s">
        <v>10</v>
      </c>
      <c r="I307" s="8"/>
    </row>
    <row r="308" spans="1:9" x14ac:dyDescent="0.25">
      <c r="A308" t="s">
        <v>437</v>
      </c>
      <c r="B308" t="s">
        <v>436</v>
      </c>
      <c r="C308">
        <v>4.7</v>
      </c>
      <c r="D308">
        <v>7251</v>
      </c>
      <c r="E308">
        <v>9</v>
      </c>
      <c r="F308">
        <v>2010</v>
      </c>
      <c r="G308" t="s">
        <v>10</v>
      </c>
      <c r="I308" s="8"/>
    </row>
    <row r="309" spans="1:9" x14ac:dyDescent="0.25">
      <c r="A309" t="s">
        <v>128</v>
      </c>
      <c r="B309" t="s">
        <v>126</v>
      </c>
      <c r="C309">
        <v>4.9000000000000004</v>
      </c>
      <c r="D309">
        <v>7235</v>
      </c>
      <c r="E309">
        <v>4</v>
      </c>
      <c r="F309">
        <v>2018</v>
      </c>
      <c r="G309" t="s">
        <v>10</v>
      </c>
      <c r="I309" s="8"/>
    </row>
    <row r="310" spans="1:9" x14ac:dyDescent="0.25">
      <c r="A310" t="s">
        <v>128</v>
      </c>
      <c r="B310" t="s">
        <v>126</v>
      </c>
      <c r="C310">
        <v>4.9000000000000004</v>
      </c>
      <c r="D310">
        <v>7235</v>
      </c>
      <c r="E310">
        <v>4</v>
      </c>
      <c r="F310">
        <v>2019</v>
      </c>
      <c r="G310" t="s">
        <v>10</v>
      </c>
      <c r="I310" s="8"/>
    </row>
    <row r="311" spans="1:9" x14ac:dyDescent="0.25">
      <c r="A311" t="s">
        <v>238</v>
      </c>
      <c r="B311" t="s">
        <v>239</v>
      </c>
      <c r="C311">
        <v>4.3</v>
      </c>
      <c r="D311">
        <v>7153</v>
      </c>
      <c r="E311">
        <v>9</v>
      </c>
      <c r="F311">
        <v>2014</v>
      </c>
      <c r="G311" t="s">
        <v>10</v>
      </c>
      <c r="I311" s="8"/>
    </row>
    <row r="312" spans="1:9" x14ac:dyDescent="0.25">
      <c r="A312" t="s">
        <v>347</v>
      </c>
      <c r="B312" t="s">
        <v>348</v>
      </c>
      <c r="C312">
        <v>4.9000000000000004</v>
      </c>
      <c r="D312">
        <v>7150</v>
      </c>
      <c r="E312">
        <v>12</v>
      </c>
      <c r="F312">
        <v>2013</v>
      </c>
      <c r="G312" t="s">
        <v>10</v>
      </c>
      <c r="I312" s="8"/>
    </row>
    <row r="313" spans="1:9" x14ac:dyDescent="0.25">
      <c r="A313" t="s">
        <v>248</v>
      </c>
      <c r="B313" t="s">
        <v>249</v>
      </c>
      <c r="C313">
        <v>4.8</v>
      </c>
      <c r="D313">
        <v>7062</v>
      </c>
      <c r="E313">
        <v>12</v>
      </c>
      <c r="F313">
        <v>2019</v>
      </c>
      <c r="G313" t="s">
        <v>8</v>
      </c>
      <c r="I313" s="8"/>
    </row>
    <row r="314" spans="1:9" x14ac:dyDescent="0.25">
      <c r="A314" t="s">
        <v>502</v>
      </c>
      <c r="B314" t="s">
        <v>501</v>
      </c>
      <c r="C314">
        <v>4.4000000000000004</v>
      </c>
      <c r="D314">
        <v>7058</v>
      </c>
      <c r="E314">
        <v>17</v>
      </c>
      <c r="F314">
        <v>2018</v>
      </c>
      <c r="G314" t="s">
        <v>8</v>
      </c>
      <c r="I314" s="8"/>
    </row>
    <row r="315" spans="1:9" x14ac:dyDescent="0.25">
      <c r="A315" t="s">
        <v>195</v>
      </c>
      <c r="B315" t="s">
        <v>196</v>
      </c>
      <c r="C315">
        <v>4.9000000000000004</v>
      </c>
      <c r="D315">
        <v>7038</v>
      </c>
      <c r="E315">
        <v>7</v>
      </c>
      <c r="F315">
        <v>2012</v>
      </c>
      <c r="G315" t="s">
        <v>10</v>
      </c>
      <c r="I315" s="8"/>
    </row>
    <row r="316" spans="1:9" x14ac:dyDescent="0.25">
      <c r="A316" t="s">
        <v>195</v>
      </c>
      <c r="B316" t="s">
        <v>196</v>
      </c>
      <c r="C316">
        <v>4.9000000000000004</v>
      </c>
      <c r="D316">
        <v>7038</v>
      </c>
      <c r="E316">
        <v>7</v>
      </c>
      <c r="F316">
        <v>2013</v>
      </c>
      <c r="G316" t="s">
        <v>10</v>
      </c>
      <c r="I316" s="8"/>
    </row>
    <row r="317" spans="1:9" x14ac:dyDescent="0.25">
      <c r="A317" t="s">
        <v>543</v>
      </c>
      <c r="B317" t="s">
        <v>544</v>
      </c>
      <c r="C317">
        <v>4.7</v>
      </c>
      <c r="D317">
        <v>7034</v>
      </c>
      <c r="E317">
        <v>15</v>
      </c>
      <c r="F317">
        <v>2013</v>
      </c>
      <c r="G317" t="s">
        <v>8</v>
      </c>
      <c r="I317" s="8"/>
    </row>
    <row r="318" spans="1:9" x14ac:dyDescent="0.25">
      <c r="A318" t="s">
        <v>269</v>
      </c>
      <c r="B318" t="s">
        <v>266</v>
      </c>
      <c r="C318">
        <v>4.5999999999999996</v>
      </c>
      <c r="D318">
        <v>6990</v>
      </c>
      <c r="E318">
        <v>4</v>
      </c>
      <c r="F318">
        <v>2013</v>
      </c>
      <c r="G318" t="s">
        <v>8</v>
      </c>
      <c r="I318" s="8"/>
    </row>
    <row r="319" spans="1:9" x14ac:dyDescent="0.25">
      <c r="A319" t="s">
        <v>269</v>
      </c>
      <c r="B319" t="s">
        <v>266</v>
      </c>
      <c r="C319">
        <v>4.5999999999999996</v>
      </c>
      <c r="D319">
        <v>6990</v>
      </c>
      <c r="E319">
        <v>4</v>
      </c>
      <c r="F319">
        <v>2014</v>
      </c>
      <c r="G319" t="s">
        <v>8</v>
      </c>
      <c r="I319" s="8"/>
    </row>
    <row r="320" spans="1:9" x14ac:dyDescent="0.25">
      <c r="A320" t="s">
        <v>269</v>
      </c>
      <c r="B320" t="s">
        <v>266</v>
      </c>
      <c r="C320">
        <v>4.5999999999999996</v>
      </c>
      <c r="D320">
        <v>6990</v>
      </c>
      <c r="E320">
        <v>4</v>
      </c>
      <c r="F320">
        <v>2015</v>
      </c>
      <c r="G320" t="s">
        <v>8</v>
      </c>
      <c r="I320" s="8"/>
    </row>
    <row r="321" spans="1:9" x14ac:dyDescent="0.25">
      <c r="A321" t="s">
        <v>269</v>
      </c>
      <c r="B321" t="s">
        <v>266</v>
      </c>
      <c r="C321">
        <v>4.5999999999999996</v>
      </c>
      <c r="D321">
        <v>6990</v>
      </c>
      <c r="E321">
        <v>4</v>
      </c>
      <c r="F321">
        <v>2016</v>
      </c>
      <c r="G321" t="s">
        <v>8</v>
      </c>
      <c r="I321" s="8"/>
    </row>
    <row r="322" spans="1:9" x14ac:dyDescent="0.25">
      <c r="A322" t="s">
        <v>269</v>
      </c>
      <c r="B322" t="s">
        <v>266</v>
      </c>
      <c r="C322">
        <v>4.5999999999999996</v>
      </c>
      <c r="D322">
        <v>6990</v>
      </c>
      <c r="E322">
        <v>4</v>
      </c>
      <c r="F322">
        <v>2017</v>
      </c>
      <c r="G322" t="s">
        <v>8</v>
      </c>
      <c r="I322" s="8"/>
    </row>
    <row r="323" spans="1:9" x14ac:dyDescent="0.25">
      <c r="A323" t="s">
        <v>457</v>
      </c>
      <c r="B323" t="s">
        <v>331</v>
      </c>
      <c r="C323">
        <v>4.8</v>
      </c>
      <c r="D323">
        <v>6982</v>
      </c>
      <c r="E323">
        <v>14</v>
      </c>
      <c r="F323">
        <v>2013</v>
      </c>
      <c r="G323" t="s">
        <v>10</v>
      </c>
      <c r="I323" s="8"/>
    </row>
    <row r="324" spans="1:9" x14ac:dyDescent="0.25">
      <c r="A324" t="s">
        <v>114</v>
      </c>
      <c r="B324" t="s">
        <v>78</v>
      </c>
      <c r="C324">
        <v>4.8</v>
      </c>
      <c r="D324">
        <v>6812</v>
      </c>
      <c r="E324">
        <v>0</v>
      </c>
      <c r="F324">
        <v>2013</v>
      </c>
      <c r="G324" t="s">
        <v>10</v>
      </c>
      <c r="I324" s="8"/>
    </row>
    <row r="325" spans="1:9" x14ac:dyDescent="0.25">
      <c r="A325" t="s">
        <v>567</v>
      </c>
      <c r="B325" t="s">
        <v>9</v>
      </c>
      <c r="C325">
        <v>4.3</v>
      </c>
      <c r="D325">
        <v>6740</v>
      </c>
      <c r="E325">
        <v>20</v>
      </c>
      <c r="F325">
        <v>2009</v>
      </c>
      <c r="G325" t="s">
        <v>10</v>
      </c>
      <c r="I325" s="8"/>
    </row>
    <row r="326" spans="1:9" x14ac:dyDescent="0.25">
      <c r="A326" t="s">
        <v>112</v>
      </c>
      <c r="B326" t="s">
        <v>113</v>
      </c>
      <c r="C326">
        <v>4.5</v>
      </c>
      <c r="D326">
        <v>6679</v>
      </c>
      <c r="E326">
        <v>105</v>
      </c>
      <c r="F326">
        <v>2013</v>
      </c>
      <c r="G326" t="s">
        <v>8</v>
      </c>
      <c r="I326" s="8"/>
    </row>
    <row r="327" spans="1:9" x14ac:dyDescent="0.25">
      <c r="A327" t="s">
        <v>112</v>
      </c>
      <c r="B327" t="s">
        <v>113</v>
      </c>
      <c r="C327">
        <v>4.5</v>
      </c>
      <c r="D327">
        <v>6679</v>
      </c>
      <c r="E327">
        <v>105</v>
      </c>
      <c r="F327">
        <v>2014</v>
      </c>
      <c r="G327" t="s">
        <v>8</v>
      </c>
      <c r="I327" s="8"/>
    </row>
    <row r="328" spans="1:9" x14ac:dyDescent="0.25">
      <c r="A328" t="s">
        <v>593</v>
      </c>
      <c r="B328" t="s">
        <v>594</v>
      </c>
      <c r="C328">
        <v>4.5999999999999996</v>
      </c>
      <c r="D328">
        <v>6669</v>
      </c>
      <c r="E328">
        <v>12</v>
      </c>
      <c r="F328">
        <v>2018</v>
      </c>
      <c r="G328" t="s">
        <v>8</v>
      </c>
      <c r="I328" s="8"/>
    </row>
    <row r="329" spans="1:9" x14ac:dyDescent="0.25">
      <c r="A329" t="s">
        <v>397</v>
      </c>
      <c r="B329" t="s">
        <v>331</v>
      </c>
      <c r="C329">
        <v>4.8</v>
      </c>
      <c r="D329">
        <v>6600</v>
      </c>
      <c r="E329">
        <v>11</v>
      </c>
      <c r="F329">
        <v>2014</v>
      </c>
      <c r="G329" t="s">
        <v>10</v>
      </c>
      <c r="I329" s="8"/>
    </row>
    <row r="330" spans="1:9" x14ac:dyDescent="0.25">
      <c r="A330" t="s">
        <v>116</v>
      </c>
      <c r="B330" t="s">
        <v>78</v>
      </c>
      <c r="C330">
        <v>4.8</v>
      </c>
      <c r="D330">
        <v>6540</v>
      </c>
      <c r="E330">
        <v>22</v>
      </c>
      <c r="F330">
        <v>2014</v>
      </c>
      <c r="G330" t="s">
        <v>10</v>
      </c>
      <c r="I330" s="8"/>
    </row>
    <row r="331" spans="1:9" x14ac:dyDescent="0.25">
      <c r="A331" t="s">
        <v>522</v>
      </c>
      <c r="B331" t="s">
        <v>78</v>
      </c>
      <c r="C331">
        <v>4.7</v>
      </c>
      <c r="D331">
        <v>6377</v>
      </c>
      <c r="E331">
        <v>7</v>
      </c>
      <c r="F331">
        <v>2012</v>
      </c>
      <c r="G331" t="s">
        <v>10</v>
      </c>
      <c r="I331" s="8"/>
    </row>
    <row r="332" spans="1:9" x14ac:dyDescent="0.25">
      <c r="A332" t="s">
        <v>140</v>
      </c>
      <c r="B332" t="s">
        <v>141</v>
      </c>
      <c r="C332">
        <v>4.5</v>
      </c>
      <c r="D332">
        <v>6346</v>
      </c>
      <c r="E332">
        <v>9</v>
      </c>
      <c r="F332">
        <v>2011</v>
      </c>
      <c r="G332" t="s">
        <v>8</v>
      </c>
      <c r="I332" s="8"/>
    </row>
    <row r="333" spans="1:9" x14ac:dyDescent="0.25">
      <c r="A333" t="s">
        <v>140</v>
      </c>
      <c r="B333" t="s">
        <v>141</v>
      </c>
      <c r="C333">
        <v>4.5</v>
      </c>
      <c r="D333">
        <v>6346</v>
      </c>
      <c r="E333">
        <v>9</v>
      </c>
      <c r="F333">
        <v>2012</v>
      </c>
      <c r="G333" t="s">
        <v>8</v>
      </c>
      <c r="I333" s="8"/>
    </row>
    <row r="334" spans="1:9" x14ac:dyDescent="0.25">
      <c r="A334" t="s">
        <v>45</v>
      </c>
      <c r="B334" t="s">
        <v>46</v>
      </c>
      <c r="C334">
        <v>3.9</v>
      </c>
      <c r="D334">
        <v>6310</v>
      </c>
      <c r="E334">
        <v>13</v>
      </c>
      <c r="F334">
        <v>2013</v>
      </c>
      <c r="G334" t="s">
        <v>10</v>
      </c>
      <c r="I334" s="8"/>
    </row>
    <row r="335" spans="1:9" x14ac:dyDescent="0.25">
      <c r="A335" t="s">
        <v>481</v>
      </c>
      <c r="B335" t="s">
        <v>331</v>
      </c>
      <c r="C335">
        <v>4.8</v>
      </c>
      <c r="D335">
        <v>6247</v>
      </c>
      <c r="E335">
        <v>10</v>
      </c>
      <c r="F335">
        <v>2012</v>
      </c>
      <c r="G335" t="s">
        <v>10</v>
      </c>
      <c r="I335" s="8"/>
    </row>
    <row r="336" spans="1:9" x14ac:dyDescent="0.25">
      <c r="A336" t="s">
        <v>474</v>
      </c>
      <c r="B336" t="s">
        <v>375</v>
      </c>
      <c r="C336">
        <v>4.4000000000000004</v>
      </c>
      <c r="D336">
        <v>6222</v>
      </c>
      <c r="E336">
        <v>18</v>
      </c>
      <c r="F336">
        <v>2011</v>
      </c>
      <c r="G336" t="s">
        <v>10</v>
      </c>
      <c r="I336" s="8"/>
    </row>
    <row r="337" spans="1:9" x14ac:dyDescent="0.25">
      <c r="A337" t="s">
        <v>318</v>
      </c>
      <c r="B337" t="s">
        <v>78</v>
      </c>
      <c r="C337">
        <v>4.8</v>
      </c>
      <c r="D337">
        <v>6169</v>
      </c>
      <c r="E337">
        <v>7</v>
      </c>
      <c r="F337">
        <v>2015</v>
      </c>
      <c r="G337" t="s">
        <v>10</v>
      </c>
      <c r="I337" s="8"/>
    </row>
    <row r="338" spans="1:9" x14ac:dyDescent="0.25">
      <c r="A338" t="s">
        <v>541</v>
      </c>
      <c r="B338" t="s">
        <v>542</v>
      </c>
      <c r="C338">
        <v>4.7</v>
      </c>
      <c r="D338">
        <v>6169</v>
      </c>
      <c r="E338">
        <v>16</v>
      </c>
      <c r="F338">
        <v>2015</v>
      </c>
      <c r="G338" t="s">
        <v>8</v>
      </c>
      <c r="I338" s="8"/>
    </row>
    <row r="339" spans="1:9" x14ac:dyDescent="0.25">
      <c r="A339" t="s">
        <v>91</v>
      </c>
      <c r="B339" t="s">
        <v>92</v>
      </c>
      <c r="C339">
        <v>4.3</v>
      </c>
      <c r="D339">
        <v>6143</v>
      </c>
      <c r="E339">
        <v>8</v>
      </c>
      <c r="F339">
        <v>2018</v>
      </c>
      <c r="G339" t="s">
        <v>10</v>
      </c>
      <c r="I339" s="8"/>
    </row>
    <row r="340" spans="1:9" x14ac:dyDescent="0.25">
      <c r="A340" t="s">
        <v>270</v>
      </c>
      <c r="B340" t="s">
        <v>271</v>
      </c>
      <c r="C340">
        <v>4.5</v>
      </c>
      <c r="D340">
        <v>6132</v>
      </c>
      <c r="E340">
        <v>13</v>
      </c>
      <c r="F340">
        <v>2013</v>
      </c>
      <c r="G340" t="s">
        <v>8</v>
      </c>
      <c r="I340" s="8"/>
    </row>
    <row r="341" spans="1:9" x14ac:dyDescent="0.25">
      <c r="A341" t="s">
        <v>569</v>
      </c>
      <c r="B341" t="s">
        <v>570</v>
      </c>
      <c r="C341">
        <v>4.8</v>
      </c>
      <c r="D341">
        <v>6108</v>
      </c>
      <c r="E341">
        <v>4</v>
      </c>
      <c r="F341">
        <v>2019</v>
      </c>
      <c r="G341" t="s">
        <v>8</v>
      </c>
      <c r="I341" s="8"/>
    </row>
    <row r="342" spans="1:9" x14ac:dyDescent="0.25">
      <c r="A342" t="s">
        <v>152</v>
      </c>
      <c r="B342" t="s">
        <v>153</v>
      </c>
      <c r="C342">
        <v>4.4000000000000004</v>
      </c>
      <c r="D342">
        <v>6042</v>
      </c>
      <c r="E342">
        <v>2</v>
      </c>
      <c r="F342">
        <v>2018</v>
      </c>
      <c r="G342" t="s">
        <v>8</v>
      </c>
      <c r="I342" s="8"/>
    </row>
    <row r="343" spans="1:9" x14ac:dyDescent="0.25">
      <c r="A343" t="s">
        <v>22</v>
      </c>
      <c r="B343" t="s">
        <v>23</v>
      </c>
      <c r="C343">
        <v>4.7</v>
      </c>
      <c r="D343">
        <v>5983</v>
      </c>
      <c r="E343">
        <v>3</v>
      </c>
      <c r="F343">
        <v>2018</v>
      </c>
      <c r="G343" t="s">
        <v>8</v>
      </c>
      <c r="I343" s="8"/>
    </row>
    <row r="344" spans="1:9" x14ac:dyDescent="0.25">
      <c r="A344" t="s">
        <v>555</v>
      </c>
      <c r="B344" t="s">
        <v>556</v>
      </c>
      <c r="C344">
        <v>4.3</v>
      </c>
      <c r="D344">
        <v>5977</v>
      </c>
      <c r="E344">
        <v>12</v>
      </c>
      <c r="F344">
        <v>2011</v>
      </c>
      <c r="G344" t="s">
        <v>8</v>
      </c>
      <c r="I344" s="8"/>
    </row>
    <row r="345" spans="1:9" x14ac:dyDescent="0.25">
      <c r="A345" t="s">
        <v>197</v>
      </c>
      <c r="B345" t="s">
        <v>198</v>
      </c>
      <c r="C345">
        <v>4.5999999999999996</v>
      </c>
      <c r="D345">
        <v>5972</v>
      </c>
      <c r="E345">
        <v>10</v>
      </c>
      <c r="F345">
        <v>2014</v>
      </c>
      <c r="G345" t="s">
        <v>8</v>
      </c>
      <c r="I345" s="8"/>
    </row>
    <row r="346" spans="1:9" x14ac:dyDescent="0.25">
      <c r="A346" t="s">
        <v>568</v>
      </c>
      <c r="B346" t="s">
        <v>277</v>
      </c>
      <c r="C346">
        <v>4.9000000000000004</v>
      </c>
      <c r="D346">
        <v>5956</v>
      </c>
      <c r="E346">
        <v>11</v>
      </c>
      <c r="F346">
        <v>2019</v>
      </c>
      <c r="G346" t="s">
        <v>8</v>
      </c>
      <c r="I346" s="8"/>
    </row>
    <row r="347" spans="1:9" x14ac:dyDescent="0.25">
      <c r="A347" t="s">
        <v>486</v>
      </c>
      <c r="B347" t="s">
        <v>78</v>
      </c>
      <c r="C347">
        <v>4.8</v>
      </c>
      <c r="D347">
        <v>5898</v>
      </c>
      <c r="E347">
        <v>8</v>
      </c>
      <c r="F347">
        <v>2018</v>
      </c>
      <c r="G347" t="s">
        <v>10</v>
      </c>
      <c r="I347" s="8"/>
    </row>
    <row r="348" spans="1:9" x14ac:dyDescent="0.25">
      <c r="A348" t="s">
        <v>202</v>
      </c>
      <c r="B348" t="s">
        <v>203</v>
      </c>
      <c r="C348">
        <v>4.9000000000000004</v>
      </c>
      <c r="D348">
        <v>5867</v>
      </c>
      <c r="E348">
        <v>54</v>
      </c>
      <c r="F348">
        <v>2016</v>
      </c>
      <c r="G348" t="s">
        <v>8</v>
      </c>
      <c r="I348" s="8"/>
    </row>
    <row r="349" spans="1:9" x14ac:dyDescent="0.25">
      <c r="A349" t="s">
        <v>432</v>
      </c>
      <c r="B349" t="s">
        <v>78</v>
      </c>
      <c r="C349">
        <v>4.8</v>
      </c>
      <c r="D349">
        <v>5836</v>
      </c>
      <c r="E349">
        <v>0</v>
      </c>
      <c r="F349">
        <v>2017</v>
      </c>
      <c r="G349" t="s">
        <v>10</v>
      </c>
      <c r="I349" s="8"/>
    </row>
    <row r="350" spans="1:9" x14ac:dyDescent="0.25">
      <c r="A350" t="s">
        <v>309</v>
      </c>
      <c r="B350" t="s">
        <v>73</v>
      </c>
      <c r="C350">
        <v>4.5999999999999996</v>
      </c>
      <c r="D350">
        <v>5680</v>
      </c>
      <c r="E350">
        <v>10</v>
      </c>
      <c r="F350">
        <v>2009</v>
      </c>
      <c r="G350" t="s">
        <v>10</v>
      </c>
      <c r="I350" s="8"/>
    </row>
    <row r="351" spans="1:9" x14ac:dyDescent="0.25">
      <c r="A351" t="s">
        <v>169</v>
      </c>
      <c r="B351" t="s">
        <v>170</v>
      </c>
      <c r="C351">
        <v>4.5999999999999996</v>
      </c>
      <c r="D351">
        <v>5594</v>
      </c>
      <c r="E351">
        <v>5</v>
      </c>
      <c r="F351">
        <v>2011</v>
      </c>
      <c r="G351" t="s">
        <v>10</v>
      </c>
      <c r="I351" s="8"/>
    </row>
    <row r="352" spans="1:9" x14ac:dyDescent="0.25">
      <c r="A352" t="s">
        <v>169</v>
      </c>
      <c r="B352" t="s">
        <v>170</v>
      </c>
      <c r="C352">
        <v>4.5999999999999996</v>
      </c>
      <c r="D352">
        <v>5594</v>
      </c>
      <c r="E352">
        <v>5</v>
      </c>
      <c r="F352">
        <v>2012</v>
      </c>
      <c r="G352" t="s">
        <v>10</v>
      </c>
      <c r="I352" s="8"/>
    </row>
    <row r="353" spans="1:9" x14ac:dyDescent="0.25">
      <c r="A353" t="s">
        <v>169</v>
      </c>
      <c r="B353" t="s">
        <v>170</v>
      </c>
      <c r="C353">
        <v>4.5999999999999996</v>
      </c>
      <c r="D353">
        <v>5594</v>
      </c>
      <c r="E353">
        <v>5</v>
      </c>
      <c r="F353">
        <v>2013</v>
      </c>
      <c r="G353" t="s">
        <v>10</v>
      </c>
      <c r="I353" s="8"/>
    </row>
    <row r="354" spans="1:9" x14ac:dyDescent="0.25">
      <c r="A354" t="s">
        <v>302</v>
      </c>
      <c r="B354" t="s">
        <v>303</v>
      </c>
      <c r="C354">
        <v>4.5999999999999996</v>
      </c>
      <c r="D354">
        <v>5542</v>
      </c>
      <c r="E354">
        <v>10</v>
      </c>
      <c r="F354">
        <v>2014</v>
      </c>
      <c r="G354" t="s">
        <v>8</v>
      </c>
      <c r="I354" s="8"/>
    </row>
    <row r="355" spans="1:9" x14ac:dyDescent="0.25">
      <c r="A355" t="s">
        <v>302</v>
      </c>
      <c r="B355" t="s">
        <v>303</v>
      </c>
      <c r="C355">
        <v>4.5999999999999996</v>
      </c>
      <c r="D355">
        <v>5542</v>
      </c>
      <c r="E355">
        <v>10</v>
      </c>
      <c r="F355">
        <v>2015</v>
      </c>
      <c r="G355" t="s">
        <v>8</v>
      </c>
      <c r="I355" s="8"/>
    </row>
    <row r="356" spans="1:9" x14ac:dyDescent="0.25">
      <c r="A356" t="s">
        <v>302</v>
      </c>
      <c r="B356" t="s">
        <v>303</v>
      </c>
      <c r="C356">
        <v>4.5999999999999996</v>
      </c>
      <c r="D356">
        <v>5542</v>
      </c>
      <c r="E356">
        <v>10</v>
      </c>
      <c r="F356">
        <v>2016</v>
      </c>
      <c r="G356" t="s">
        <v>8</v>
      </c>
      <c r="I356" s="8"/>
    </row>
    <row r="357" spans="1:9" x14ac:dyDescent="0.25">
      <c r="A357" t="s">
        <v>143</v>
      </c>
      <c r="B357" t="s">
        <v>73</v>
      </c>
      <c r="C357">
        <v>4.7</v>
      </c>
      <c r="D357">
        <v>5505</v>
      </c>
      <c r="E357">
        <v>18</v>
      </c>
      <c r="F357">
        <v>2009</v>
      </c>
      <c r="G357" t="s">
        <v>10</v>
      </c>
      <c r="I357" s="8"/>
    </row>
    <row r="358" spans="1:9" x14ac:dyDescent="0.25">
      <c r="A358" t="s">
        <v>142</v>
      </c>
      <c r="B358" t="s">
        <v>73</v>
      </c>
      <c r="C358">
        <v>4.7</v>
      </c>
      <c r="D358">
        <v>5505</v>
      </c>
      <c r="E358">
        <v>7</v>
      </c>
      <c r="F358">
        <v>2009</v>
      </c>
      <c r="G358" t="s">
        <v>10</v>
      </c>
      <c r="I358" s="8"/>
    </row>
    <row r="359" spans="1:9" x14ac:dyDescent="0.25">
      <c r="A359" t="s">
        <v>576</v>
      </c>
      <c r="B359" t="s">
        <v>577</v>
      </c>
      <c r="C359">
        <v>4.5999999999999996</v>
      </c>
      <c r="D359">
        <v>5492</v>
      </c>
      <c r="E359">
        <v>18</v>
      </c>
      <c r="F359">
        <v>2017</v>
      </c>
      <c r="G359" t="s">
        <v>8</v>
      </c>
      <c r="I359" s="8"/>
    </row>
    <row r="360" spans="1:9" x14ac:dyDescent="0.25">
      <c r="A360" t="s">
        <v>521</v>
      </c>
      <c r="B360" t="s">
        <v>299</v>
      </c>
      <c r="C360">
        <v>4.7</v>
      </c>
      <c r="D360">
        <v>5487</v>
      </c>
      <c r="E360">
        <v>9</v>
      </c>
      <c r="F360">
        <v>2017</v>
      </c>
      <c r="G360" t="s">
        <v>8</v>
      </c>
      <c r="I360" s="8"/>
    </row>
    <row r="361" spans="1:9" x14ac:dyDescent="0.25">
      <c r="A361" t="s">
        <v>200</v>
      </c>
      <c r="B361" t="s">
        <v>201</v>
      </c>
      <c r="C361">
        <v>4.8</v>
      </c>
      <c r="D361">
        <v>5476</v>
      </c>
      <c r="E361">
        <v>7</v>
      </c>
      <c r="F361">
        <v>2019</v>
      </c>
      <c r="G361" t="s">
        <v>8</v>
      </c>
      <c r="I361" s="8"/>
    </row>
    <row r="362" spans="1:9" x14ac:dyDescent="0.25">
      <c r="A362" t="s">
        <v>131</v>
      </c>
      <c r="B362" t="s">
        <v>126</v>
      </c>
      <c r="C362">
        <v>4.9000000000000004</v>
      </c>
      <c r="D362">
        <v>5470</v>
      </c>
      <c r="E362">
        <v>6</v>
      </c>
      <c r="F362">
        <v>2018</v>
      </c>
      <c r="G362" t="s">
        <v>10</v>
      </c>
      <c r="I362" s="8"/>
    </row>
    <row r="363" spans="1:9" x14ac:dyDescent="0.25">
      <c r="A363" t="s">
        <v>146</v>
      </c>
      <c r="B363" t="s">
        <v>147</v>
      </c>
      <c r="C363">
        <v>4.7</v>
      </c>
      <c r="D363">
        <v>5413</v>
      </c>
      <c r="E363">
        <v>9</v>
      </c>
      <c r="F363">
        <v>2015</v>
      </c>
      <c r="G363" t="s">
        <v>8</v>
      </c>
      <c r="I363" s="8"/>
    </row>
    <row r="364" spans="1:9" x14ac:dyDescent="0.25">
      <c r="A364" t="s">
        <v>468</v>
      </c>
      <c r="B364" t="s">
        <v>469</v>
      </c>
      <c r="C364">
        <v>4.9000000000000004</v>
      </c>
      <c r="D364">
        <v>5396</v>
      </c>
      <c r="E364">
        <v>20</v>
      </c>
      <c r="F364">
        <v>2013</v>
      </c>
      <c r="G364" t="s">
        <v>10</v>
      </c>
      <c r="I364" s="8"/>
    </row>
    <row r="365" spans="1:9" x14ac:dyDescent="0.25">
      <c r="A365" t="s">
        <v>57</v>
      </c>
      <c r="B365" t="s">
        <v>58</v>
      </c>
      <c r="C365">
        <v>4.5999999999999996</v>
      </c>
      <c r="D365">
        <v>5360</v>
      </c>
      <c r="E365">
        <v>5</v>
      </c>
      <c r="F365">
        <v>2015</v>
      </c>
      <c r="G365" t="s">
        <v>8</v>
      </c>
      <c r="I365" s="8"/>
    </row>
    <row r="366" spans="1:9" x14ac:dyDescent="0.25">
      <c r="A366" t="s">
        <v>305</v>
      </c>
      <c r="B366" t="s">
        <v>306</v>
      </c>
      <c r="C366">
        <v>4.8</v>
      </c>
      <c r="D366">
        <v>5347</v>
      </c>
      <c r="E366">
        <v>16</v>
      </c>
      <c r="F366">
        <v>2019</v>
      </c>
      <c r="G366" t="s">
        <v>8</v>
      </c>
      <c r="I366" s="8"/>
    </row>
    <row r="367" spans="1:9" x14ac:dyDescent="0.25">
      <c r="A367" t="s">
        <v>244</v>
      </c>
      <c r="B367" t="s">
        <v>245</v>
      </c>
      <c r="C367">
        <v>4.5999999999999996</v>
      </c>
      <c r="D367">
        <v>5299</v>
      </c>
      <c r="E367">
        <v>20</v>
      </c>
      <c r="F367">
        <v>2011</v>
      </c>
      <c r="G367" t="s">
        <v>10</v>
      </c>
      <c r="I367" s="8"/>
    </row>
    <row r="368" spans="1:9" x14ac:dyDescent="0.25">
      <c r="A368" t="s">
        <v>225</v>
      </c>
      <c r="B368" t="s">
        <v>226</v>
      </c>
      <c r="C368">
        <v>4.3</v>
      </c>
      <c r="D368">
        <v>5272</v>
      </c>
      <c r="E368">
        <v>16</v>
      </c>
      <c r="F368">
        <v>2019</v>
      </c>
      <c r="G368" t="s">
        <v>8</v>
      </c>
      <c r="I368" s="8"/>
    </row>
    <row r="369" spans="1:9" x14ac:dyDescent="0.25">
      <c r="A369" t="s">
        <v>440</v>
      </c>
      <c r="B369" t="s">
        <v>441</v>
      </c>
      <c r="C369">
        <v>4.8</v>
      </c>
      <c r="D369">
        <v>5249</v>
      </c>
      <c r="E369">
        <v>5</v>
      </c>
      <c r="F369">
        <v>2016</v>
      </c>
      <c r="G369" t="s">
        <v>10</v>
      </c>
      <c r="I369" s="8"/>
    </row>
    <row r="370" spans="1:9" x14ac:dyDescent="0.25">
      <c r="A370" t="s">
        <v>440</v>
      </c>
      <c r="B370" t="s">
        <v>441</v>
      </c>
      <c r="C370">
        <v>4.8</v>
      </c>
      <c r="D370">
        <v>5249</v>
      </c>
      <c r="E370">
        <v>5</v>
      </c>
      <c r="F370">
        <v>2017</v>
      </c>
      <c r="G370" t="s">
        <v>10</v>
      </c>
      <c r="I370" s="8"/>
    </row>
    <row r="371" spans="1:9" x14ac:dyDescent="0.25">
      <c r="A371" t="s">
        <v>261</v>
      </c>
      <c r="B371" t="s">
        <v>257</v>
      </c>
      <c r="C371">
        <v>4.5999999999999996</v>
      </c>
      <c r="D371">
        <v>5235</v>
      </c>
      <c r="E371">
        <v>5</v>
      </c>
      <c r="F371">
        <v>2015</v>
      </c>
      <c r="G371" t="s">
        <v>8</v>
      </c>
      <c r="I371" s="8"/>
    </row>
    <row r="372" spans="1:9" x14ac:dyDescent="0.25">
      <c r="A372" t="s">
        <v>310</v>
      </c>
      <c r="B372" t="s">
        <v>311</v>
      </c>
      <c r="C372">
        <v>4.7</v>
      </c>
      <c r="D372">
        <v>5178</v>
      </c>
      <c r="E372">
        <v>9</v>
      </c>
      <c r="F372">
        <v>2016</v>
      </c>
      <c r="G372" t="s">
        <v>8</v>
      </c>
      <c r="I372" s="8"/>
    </row>
    <row r="373" spans="1:9" x14ac:dyDescent="0.25">
      <c r="A373" t="s">
        <v>30</v>
      </c>
      <c r="B373" t="s">
        <v>31</v>
      </c>
      <c r="C373">
        <v>4.5</v>
      </c>
      <c r="D373">
        <v>5153</v>
      </c>
      <c r="E373">
        <v>5</v>
      </c>
      <c r="F373">
        <v>2018</v>
      </c>
      <c r="G373" t="s">
        <v>10</v>
      </c>
      <c r="I373" s="8"/>
    </row>
    <row r="374" spans="1:9" x14ac:dyDescent="0.25">
      <c r="A374" t="s">
        <v>132</v>
      </c>
      <c r="B374" t="s">
        <v>78</v>
      </c>
      <c r="C374">
        <v>4.8</v>
      </c>
      <c r="D374">
        <v>5118</v>
      </c>
      <c r="E374">
        <v>20</v>
      </c>
      <c r="F374">
        <v>2016</v>
      </c>
      <c r="G374" t="s">
        <v>10</v>
      </c>
      <c r="I374" s="8"/>
    </row>
    <row r="375" spans="1:9" x14ac:dyDescent="0.25">
      <c r="A375" t="s">
        <v>368</v>
      </c>
      <c r="B375" t="s">
        <v>369</v>
      </c>
      <c r="C375">
        <v>4</v>
      </c>
      <c r="D375">
        <v>5069</v>
      </c>
      <c r="E375">
        <v>17</v>
      </c>
      <c r="F375">
        <v>2009</v>
      </c>
      <c r="G375" t="s">
        <v>8</v>
      </c>
      <c r="I375" s="8"/>
    </row>
    <row r="376" spans="1:9" x14ac:dyDescent="0.25">
      <c r="A376" t="s">
        <v>368</v>
      </c>
      <c r="B376" t="s">
        <v>369</v>
      </c>
      <c r="C376">
        <v>4</v>
      </c>
      <c r="D376">
        <v>5069</v>
      </c>
      <c r="E376">
        <v>17</v>
      </c>
      <c r="F376">
        <v>2010</v>
      </c>
      <c r="G376" t="s">
        <v>8</v>
      </c>
      <c r="I376" s="8"/>
    </row>
    <row r="377" spans="1:9" x14ac:dyDescent="0.25">
      <c r="A377" t="s">
        <v>368</v>
      </c>
      <c r="B377" t="s">
        <v>369</v>
      </c>
      <c r="C377">
        <v>4</v>
      </c>
      <c r="D377">
        <v>5069</v>
      </c>
      <c r="E377">
        <v>17</v>
      </c>
      <c r="F377">
        <v>2011</v>
      </c>
      <c r="G377" t="s">
        <v>8</v>
      </c>
      <c r="I377" s="8"/>
    </row>
    <row r="378" spans="1:9" x14ac:dyDescent="0.25">
      <c r="A378" t="s">
        <v>368</v>
      </c>
      <c r="B378" t="s">
        <v>369</v>
      </c>
      <c r="C378">
        <v>4</v>
      </c>
      <c r="D378">
        <v>5069</v>
      </c>
      <c r="E378">
        <v>17</v>
      </c>
      <c r="F378">
        <v>2012</v>
      </c>
      <c r="G378" t="s">
        <v>8</v>
      </c>
      <c r="I378" s="8"/>
    </row>
    <row r="379" spans="1:9" x14ac:dyDescent="0.25">
      <c r="A379" t="s">
        <v>368</v>
      </c>
      <c r="B379" t="s">
        <v>369</v>
      </c>
      <c r="C379">
        <v>4</v>
      </c>
      <c r="D379">
        <v>5069</v>
      </c>
      <c r="E379">
        <v>17</v>
      </c>
      <c r="F379">
        <v>2013</v>
      </c>
      <c r="G379" t="s">
        <v>8</v>
      </c>
      <c r="I379" s="8"/>
    </row>
    <row r="380" spans="1:9" x14ac:dyDescent="0.25">
      <c r="A380" t="s">
        <v>368</v>
      </c>
      <c r="B380" t="s">
        <v>369</v>
      </c>
      <c r="C380">
        <v>4</v>
      </c>
      <c r="D380">
        <v>5069</v>
      </c>
      <c r="E380">
        <v>17</v>
      </c>
      <c r="F380">
        <v>2014</v>
      </c>
      <c r="G380" t="s">
        <v>8</v>
      </c>
      <c r="I380" s="8"/>
    </row>
    <row r="381" spans="1:9" x14ac:dyDescent="0.25">
      <c r="A381" t="s">
        <v>368</v>
      </c>
      <c r="B381" t="s">
        <v>369</v>
      </c>
      <c r="C381">
        <v>4</v>
      </c>
      <c r="D381">
        <v>5069</v>
      </c>
      <c r="E381">
        <v>17</v>
      </c>
      <c r="F381">
        <v>2015</v>
      </c>
      <c r="G381" t="s">
        <v>8</v>
      </c>
      <c r="I381" s="8"/>
    </row>
    <row r="382" spans="1:9" x14ac:dyDescent="0.25">
      <c r="A382" t="s">
        <v>368</v>
      </c>
      <c r="B382" t="s">
        <v>369</v>
      </c>
      <c r="C382">
        <v>4</v>
      </c>
      <c r="D382">
        <v>5069</v>
      </c>
      <c r="E382">
        <v>17</v>
      </c>
      <c r="F382">
        <v>2016</v>
      </c>
      <c r="G382" t="s">
        <v>8</v>
      </c>
      <c r="I382" s="8"/>
    </row>
    <row r="383" spans="1:9" x14ac:dyDescent="0.25">
      <c r="A383" t="s">
        <v>368</v>
      </c>
      <c r="B383" t="s">
        <v>369</v>
      </c>
      <c r="C383">
        <v>4</v>
      </c>
      <c r="D383">
        <v>5069</v>
      </c>
      <c r="E383">
        <v>17</v>
      </c>
      <c r="F383">
        <v>2017</v>
      </c>
      <c r="G383" t="s">
        <v>8</v>
      </c>
      <c r="I383" s="8"/>
    </row>
    <row r="384" spans="1:9" x14ac:dyDescent="0.25">
      <c r="A384" t="s">
        <v>125</v>
      </c>
      <c r="B384" t="s">
        <v>126</v>
      </c>
      <c r="C384">
        <v>4.9000000000000004</v>
      </c>
      <c r="D384">
        <v>5062</v>
      </c>
      <c r="E384">
        <v>6</v>
      </c>
      <c r="F384">
        <v>2018</v>
      </c>
      <c r="G384" t="s">
        <v>10</v>
      </c>
      <c r="I384" s="8"/>
    </row>
    <row r="385" spans="1:9" x14ac:dyDescent="0.25">
      <c r="A385" t="s">
        <v>32</v>
      </c>
      <c r="B385" t="s">
        <v>33</v>
      </c>
      <c r="C385">
        <v>4.5999999999999996</v>
      </c>
      <c r="D385">
        <v>5013</v>
      </c>
      <c r="E385">
        <v>17</v>
      </c>
      <c r="F385">
        <v>2009</v>
      </c>
      <c r="G385" t="s">
        <v>8</v>
      </c>
      <c r="I385" s="8"/>
    </row>
    <row r="386" spans="1:9" x14ac:dyDescent="0.25">
      <c r="A386" t="s">
        <v>230</v>
      </c>
      <c r="B386" t="s">
        <v>231</v>
      </c>
      <c r="C386">
        <v>4.7</v>
      </c>
      <c r="D386">
        <v>4896</v>
      </c>
      <c r="E386">
        <v>17</v>
      </c>
      <c r="F386">
        <v>2013</v>
      </c>
      <c r="G386" t="s">
        <v>8</v>
      </c>
      <c r="I386" s="8"/>
    </row>
    <row r="387" spans="1:9" x14ac:dyDescent="0.25">
      <c r="A387" t="s">
        <v>96</v>
      </c>
      <c r="B387" t="s">
        <v>97</v>
      </c>
      <c r="C387">
        <v>4.5999999999999996</v>
      </c>
      <c r="D387">
        <v>4866</v>
      </c>
      <c r="E387">
        <v>11</v>
      </c>
      <c r="F387">
        <v>2010</v>
      </c>
      <c r="G387" t="s">
        <v>10</v>
      </c>
      <c r="I387" s="8"/>
    </row>
    <row r="388" spans="1:9" x14ac:dyDescent="0.25">
      <c r="A388" t="s">
        <v>96</v>
      </c>
      <c r="B388" t="s">
        <v>97</v>
      </c>
      <c r="C388">
        <v>4.5999999999999996</v>
      </c>
      <c r="D388">
        <v>4866</v>
      </c>
      <c r="E388">
        <v>11</v>
      </c>
      <c r="F388">
        <v>2011</v>
      </c>
      <c r="G388" t="s">
        <v>10</v>
      </c>
      <c r="I388" s="8"/>
    </row>
    <row r="389" spans="1:9" x14ac:dyDescent="0.25">
      <c r="A389" t="s">
        <v>173</v>
      </c>
      <c r="B389" t="s">
        <v>174</v>
      </c>
      <c r="C389">
        <v>4.5999999999999996</v>
      </c>
      <c r="D389">
        <v>4799</v>
      </c>
      <c r="E389">
        <v>16</v>
      </c>
      <c r="F389">
        <v>2013</v>
      </c>
      <c r="G389" t="s">
        <v>8</v>
      </c>
      <c r="I389" s="8"/>
    </row>
    <row r="390" spans="1:9" x14ac:dyDescent="0.25">
      <c r="A390" t="s">
        <v>127</v>
      </c>
      <c r="B390" t="s">
        <v>126</v>
      </c>
      <c r="C390">
        <v>4.9000000000000004</v>
      </c>
      <c r="D390">
        <v>4786</v>
      </c>
      <c r="E390">
        <v>8</v>
      </c>
      <c r="F390">
        <v>2017</v>
      </c>
      <c r="G390" t="s">
        <v>10</v>
      </c>
      <c r="I390" s="8"/>
    </row>
    <row r="391" spans="1:9" x14ac:dyDescent="0.25">
      <c r="A391" t="s">
        <v>87</v>
      </c>
      <c r="B391" t="s">
        <v>88</v>
      </c>
      <c r="C391">
        <v>4.7</v>
      </c>
      <c r="D391">
        <v>4761</v>
      </c>
      <c r="E391">
        <v>16</v>
      </c>
      <c r="F391">
        <v>2016</v>
      </c>
      <c r="G391" t="s">
        <v>8</v>
      </c>
      <c r="I391" s="8"/>
    </row>
    <row r="392" spans="1:9" x14ac:dyDescent="0.25">
      <c r="A392" t="s">
        <v>339</v>
      </c>
      <c r="B392" t="s">
        <v>340</v>
      </c>
      <c r="C392">
        <v>4.8</v>
      </c>
      <c r="D392">
        <v>4757</v>
      </c>
      <c r="E392">
        <v>4</v>
      </c>
      <c r="F392">
        <v>2017</v>
      </c>
      <c r="G392" t="s">
        <v>10</v>
      </c>
      <c r="I392" s="8"/>
    </row>
    <row r="393" spans="1:9" x14ac:dyDescent="0.25">
      <c r="A393" t="s">
        <v>253</v>
      </c>
      <c r="B393" t="s">
        <v>9</v>
      </c>
      <c r="C393">
        <v>4.5</v>
      </c>
      <c r="D393">
        <v>4748</v>
      </c>
      <c r="E393">
        <v>12</v>
      </c>
      <c r="F393">
        <v>2013</v>
      </c>
      <c r="G393" t="s">
        <v>10</v>
      </c>
      <c r="I393" s="8"/>
    </row>
    <row r="394" spans="1:9" x14ac:dyDescent="0.25">
      <c r="A394" t="s">
        <v>387</v>
      </c>
      <c r="B394" t="s">
        <v>388</v>
      </c>
      <c r="C394">
        <v>4.7</v>
      </c>
      <c r="D394">
        <v>4725</v>
      </c>
      <c r="E394">
        <v>16</v>
      </c>
      <c r="F394">
        <v>2015</v>
      </c>
      <c r="G394" t="s">
        <v>8</v>
      </c>
      <c r="I394" s="8"/>
    </row>
    <row r="395" spans="1:9" x14ac:dyDescent="0.25">
      <c r="A395" t="s">
        <v>387</v>
      </c>
      <c r="B395" t="s">
        <v>388</v>
      </c>
      <c r="C395">
        <v>4.7</v>
      </c>
      <c r="D395">
        <v>4725</v>
      </c>
      <c r="E395">
        <v>16</v>
      </c>
      <c r="F395">
        <v>2016</v>
      </c>
      <c r="G395" t="s">
        <v>8</v>
      </c>
      <c r="I395" s="8"/>
    </row>
    <row r="396" spans="1:9" x14ac:dyDescent="0.25">
      <c r="A396" t="s">
        <v>387</v>
      </c>
      <c r="B396" t="s">
        <v>388</v>
      </c>
      <c r="C396">
        <v>4.7</v>
      </c>
      <c r="D396">
        <v>4725</v>
      </c>
      <c r="E396">
        <v>16</v>
      </c>
      <c r="F396">
        <v>2017</v>
      </c>
      <c r="G396" t="s">
        <v>8</v>
      </c>
      <c r="I396" s="8"/>
    </row>
    <row r="397" spans="1:9" x14ac:dyDescent="0.25">
      <c r="A397" t="s">
        <v>100</v>
      </c>
      <c r="B397" t="s">
        <v>101</v>
      </c>
      <c r="C397">
        <v>4.4000000000000004</v>
      </c>
      <c r="D397">
        <v>4642</v>
      </c>
      <c r="E397">
        <v>13</v>
      </c>
      <c r="F397">
        <v>2013</v>
      </c>
      <c r="G397" t="s">
        <v>8</v>
      </c>
      <c r="I397" s="8"/>
    </row>
    <row r="398" spans="1:9" x14ac:dyDescent="0.25">
      <c r="A398" t="s">
        <v>411</v>
      </c>
      <c r="B398" t="s">
        <v>412</v>
      </c>
      <c r="C398">
        <v>4.7</v>
      </c>
      <c r="D398">
        <v>4633</v>
      </c>
      <c r="E398">
        <v>21</v>
      </c>
      <c r="F398">
        <v>2011</v>
      </c>
      <c r="G398" t="s">
        <v>8</v>
      </c>
      <c r="I398" s="8"/>
    </row>
    <row r="399" spans="1:9" x14ac:dyDescent="0.25">
      <c r="A399" t="s">
        <v>467</v>
      </c>
      <c r="B399" t="s">
        <v>331</v>
      </c>
      <c r="C399">
        <v>4.8</v>
      </c>
      <c r="D399">
        <v>4628</v>
      </c>
      <c r="E399">
        <v>7</v>
      </c>
      <c r="F399">
        <v>2009</v>
      </c>
      <c r="G399" t="s">
        <v>10</v>
      </c>
      <c r="I399" s="8"/>
    </row>
    <row r="400" spans="1:9" x14ac:dyDescent="0.25">
      <c r="A400" t="s">
        <v>467</v>
      </c>
      <c r="B400" t="s">
        <v>331</v>
      </c>
      <c r="C400">
        <v>4.8</v>
      </c>
      <c r="D400">
        <v>4628</v>
      </c>
      <c r="E400">
        <v>7</v>
      </c>
      <c r="F400">
        <v>2010</v>
      </c>
      <c r="G400" t="s">
        <v>10</v>
      </c>
      <c r="I400" s="8"/>
    </row>
    <row r="401" spans="1:9" x14ac:dyDescent="0.25">
      <c r="A401" t="s">
        <v>380</v>
      </c>
      <c r="B401" t="s">
        <v>381</v>
      </c>
      <c r="C401">
        <v>4.3</v>
      </c>
      <c r="D401">
        <v>4587</v>
      </c>
      <c r="E401">
        <v>21</v>
      </c>
      <c r="F401">
        <v>2011</v>
      </c>
      <c r="G401" t="s">
        <v>8</v>
      </c>
      <c r="I401" s="8"/>
    </row>
    <row r="402" spans="1:9" x14ac:dyDescent="0.25">
      <c r="A402" t="s">
        <v>571</v>
      </c>
      <c r="B402" t="s">
        <v>249</v>
      </c>
      <c r="C402">
        <v>4.7</v>
      </c>
      <c r="D402">
        <v>4585</v>
      </c>
      <c r="E402">
        <v>9</v>
      </c>
      <c r="F402">
        <v>2016</v>
      </c>
      <c r="G402" t="s">
        <v>8</v>
      </c>
      <c r="I402" s="8"/>
    </row>
    <row r="403" spans="1:9" x14ac:dyDescent="0.25">
      <c r="A403" t="s">
        <v>240</v>
      </c>
      <c r="B403" t="s">
        <v>241</v>
      </c>
      <c r="C403">
        <v>4.4000000000000004</v>
      </c>
      <c r="D403">
        <v>4571</v>
      </c>
      <c r="E403">
        <v>21</v>
      </c>
      <c r="F403">
        <v>2011</v>
      </c>
      <c r="G403" t="s">
        <v>8</v>
      </c>
      <c r="I403" s="8"/>
    </row>
    <row r="404" spans="1:9" x14ac:dyDescent="0.25">
      <c r="A404" t="s">
        <v>319</v>
      </c>
      <c r="B404" t="s">
        <v>320</v>
      </c>
      <c r="C404">
        <v>4.2</v>
      </c>
      <c r="D404">
        <v>4519</v>
      </c>
      <c r="E404">
        <v>12</v>
      </c>
      <c r="F404">
        <v>2009</v>
      </c>
      <c r="G404" t="s">
        <v>10</v>
      </c>
      <c r="I404" s="8"/>
    </row>
    <row r="405" spans="1:9" x14ac:dyDescent="0.25">
      <c r="A405" t="s">
        <v>475</v>
      </c>
      <c r="B405" t="s">
        <v>331</v>
      </c>
      <c r="C405">
        <v>4.8</v>
      </c>
      <c r="D405">
        <v>4506</v>
      </c>
      <c r="E405">
        <v>14</v>
      </c>
      <c r="F405">
        <v>2010</v>
      </c>
      <c r="G405" t="s">
        <v>10</v>
      </c>
      <c r="I405" s="8"/>
    </row>
    <row r="406" spans="1:9" x14ac:dyDescent="0.25">
      <c r="A406" t="s">
        <v>77</v>
      </c>
      <c r="B406" t="s">
        <v>78</v>
      </c>
      <c r="C406">
        <v>4.8</v>
      </c>
      <c r="D406">
        <v>4505</v>
      </c>
      <c r="E406">
        <v>0</v>
      </c>
      <c r="F406">
        <v>2011</v>
      </c>
      <c r="G406" t="s">
        <v>10</v>
      </c>
      <c r="I406" s="8"/>
    </row>
    <row r="407" spans="1:9" x14ac:dyDescent="0.25">
      <c r="A407" t="s">
        <v>150</v>
      </c>
      <c r="B407" t="s">
        <v>151</v>
      </c>
      <c r="C407">
        <v>4.7</v>
      </c>
      <c r="D407">
        <v>4370</v>
      </c>
      <c r="E407">
        <v>15</v>
      </c>
      <c r="F407">
        <v>2016</v>
      </c>
      <c r="G407" t="s">
        <v>10</v>
      </c>
      <c r="I407" s="8"/>
    </row>
    <row r="408" spans="1:9" x14ac:dyDescent="0.25">
      <c r="A408" t="s">
        <v>558</v>
      </c>
      <c r="B408" t="s">
        <v>381</v>
      </c>
      <c r="C408">
        <v>4.5999999999999996</v>
      </c>
      <c r="D408">
        <v>4360</v>
      </c>
      <c r="E408">
        <v>21</v>
      </c>
      <c r="F408">
        <v>2017</v>
      </c>
      <c r="G408" t="s">
        <v>8</v>
      </c>
      <c r="I408" s="8"/>
    </row>
    <row r="409" spans="1:9" x14ac:dyDescent="0.25">
      <c r="A409" t="s">
        <v>518</v>
      </c>
      <c r="B409" t="s">
        <v>331</v>
      </c>
      <c r="C409">
        <v>4.8</v>
      </c>
      <c r="D409">
        <v>4290</v>
      </c>
      <c r="E409">
        <v>10</v>
      </c>
      <c r="F409">
        <v>2011</v>
      </c>
      <c r="G409" t="s">
        <v>10</v>
      </c>
      <c r="I409" s="8"/>
    </row>
    <row r="410" spans="1:9" x14ac:dyDescent="0.25">
      <c r="A410" t="s">
        <v>470</v>
      </c>
      <c r="B410" t="s">
        <v>471</v>
      </c>
      <c r="C410">
        <v>4.4000000000000004</v>
      </c>
      <c r="D410">
        <v>4247</v>
      </c>
      <c r="E410">
        <v>13</v>
      </c>
      <c r="F410">
        <v>2011</v>
      </c>
      <c r="G410" t="s">
        <v>8</v>
      </c>
      <c r="I410" s="8"/>
    </row>
    <row r="411" spans="1:9" x14ac:dyDescent="0.25">
      <c r="A411" t="s">
        <v>470</v>
      </c>
      <c r="B411" t="s">
        <v>471</v>
      </c>
      <c r="C411">
        <v>4.4000000000000004</v>
      </c>
      <c r="D411">
        <v>4247</v>
      </c>
      <c r="E411">
        <v>13</v>
      </c>
      <c r="F411">
        <v>2012</v>
      </c>
      <c r="G411" t="s">
        <v>8</v>
      </c>
      <c r="I411" s="8"/>
    </row>
    <row r="412" spans="1:9" x14ac:dyDescent="0.25">
      <c r="A412" t="s">
        <v>28</v>
      </c>
      <c r="B412" t="s">
        <v>29</v>
      </c>
      <c r="C412">
        <v>4.5999999999999996</v>
      </c>
      <c r="D412">
        <v>4149</v>
      </c>
      <c r="E412">
        <v>32</v>
      </c>
      <c r="F412">
        <v>2011</v>
      </c>
      <c r="G412" t="s">
        <v>8</v>
      </c>
      <c r="I412" s="8"/>
    </row>
    <row r="413" spans="1:9" x14ac:dyDescent="0.25">
      <c r="A413" t="s">
        <v>204</v>
      </c>
      <c r="B413" t="s">
        <v>205</v>
      </c>
      <c r="C413">
        <v>4.8</v>
      </c>
      <c r="D413">
        <v>4148</v>
      </c>
      <c r="E413">
        <v>11</v>
      </c>
      <c r="F413">
        <v>2013</v>
      </c>
      <c r="G413" t="s">
        <v>8</v>
      </c>
      <c r="I413" s="8"/>
    </row>
    <row r="414" spans="1:9" x14ac:dyDescent="0.25">
      <c r="A414" t="s">
        <v>465</v>
      </c>
      <c r="B414" t="s">
        <v>466</v>
      </c>
      <c r="C414">
        <v>4.7</v>
      </c>
      <c r="D414">
        <v>4028</v>
      </c>
      <c r="E414">
        <v>9</v>
      </c>
      <c r="F414">
        <v>2009</v>
      </c>
      <c r="G414" t="s">
        <v>8</v>
      </c>
      <c r="I414" s="8"/>
    </row>
    <row r="415" spans="1:9" x14ac:dyDescent="0.25">
      <c r="A415" t="s">
        <v>93</v>
      </c>
      <c r="B415" t="s">
        <v>94</v>
      </c>
      <c r="C415">
        <v>4.8</v>
      </c>
      <c r="D415">
        <v>4022</v>
      </c>
      <c r="E415">
        <v>4</v>
      </c>
      <c r="F415">
        <v>2015</v>
      </c>
      <c r="G415" t="s">
        <v>8</v>
      </c>
      <c r="I415" s="8"/>
    </row>
    <row r="416" spans="1:9" x14ac:dyDescent="0.25">
      <c r="A416" t="s">
        <v>359</v>
      </c>
      <c r="B416" t="s">
        <v>360</v>
      </c>
      <c r="C416">
        <v>4.8</v>
      </c>
      <c r="D416">
        <v>3923</v>
      </c>
      <c r="E416">
        <v>16</v>
      </c>
      <c r="F416">
        <v>2018</v>
      </c>
      <c r="G416" t="s">
        <v>8</v>
      </c>
      <c r="I416" s="8"/>
    </row>
    <row r="417" spans="1:9" x14ac:dyDescent="0.25">
      <c r="A417" t="s">
        <v>95</v>
      </c>
      <c r="B417" t="s">
        <v>94</v>
      </c>
      <c r="C417">
        <v>4.8</v>
      </c>
      <c r="D417">
        <v>3871</v>
      </c>
      <c r="E417">
        <v>5</v>
      </c>
      <c r="F417">
        <v>2015</v>
      </c>
      <c r="G417" t="s">
        <v>8</v>
      </c>
      <c r="I417" s="8"/>
    </row>
    <row r="418" spans="1:9" x14ac:dyDescent="0.25">
      <c r="A418" t="s">
        <v>115</v>
      </c>
      <c r="B418" t="s">
        <v>78</v>
      </c>
      <c r="C418">
        <v>4.8</v>
      </c>
      <c r="D418">
        <v>3837</v>
      </c>
      <c r="E418">
        <v>15</v>
      </c>
      <c r="F418">
        <v>2009</v>
      </c>
      <c r="G418" t="s">
        <v>10</v>
      </c>
      <c r="I418" s="8"/>
    </row>
    <row r="419" spans="1:9" x14ac:dyDescent="0.25">
      <c r="A419" t="s">
        <v>349</v>
      </c>
      <c r="B419" t="s">
        <v>348</v>
      </c>
      <c r="C419">
        <v>4.9000000000000004</v>
      </c>
      <c r="D419">
        <v>3836</v>
      </c>
      <c r="E419">
        <v>12</v>
      </c>
      <c r="F419">
        <v>2014</v>
      </c>
      <c r="G419" t="s">
        <v>10</v>
      </c>
      <c r="I419" s="8"/>
    </row>
    <row r="420" spans="1:9" x14ac:dyDescent="0.25">
      <c r="A420" t="s">
        <v>572</v>
      </c>
      <c r="B420" t="s">
        <v>573</v>
      </c>
      <c r="C420">
        <v>4.8</v>
      </c>
      <c r="D420">
        <v>3829</v>
      </c>
      <c r="E420">
        <v>42</v>
      </c>
      <c r="F420">
        <v>2009</v>
      </c>
      <c r="G420" t="s">
        <v>10</v>
      </c>
      <c r="I420" s="8"/>
    </row>
    <row r="421" spans="1:9" x14ac:dyDescent="0.25">
      <c r="A421" t="s">
        <v>276</v>
      </c>
      <c r="B421" t="s">
        <v>277</v>
      </c>
      <c r="C421">
        <v>4.8</v>
      </c>
      <c r="D421">
        <v>3828</v>
      </c>
      <c r="E421">
        <v>15</v>
      </c>
      <c r="F421">
        <v>2009</v>
      </c>
      <c r="G421" t="s">
        <v>8</v>
      </c>
      <c r="I421" s="8"/>
    </row>
    <row r="422" spans="1:9" x14ac:dyDescent="0.25">
      <c r="A422" t="s">
        <v>529</v>
      </c>
      <c r="B422" t="s">
        <v>73</v>
      </c>
      <c r="C422">
        <v>4.7</v>
      </c>
      <c r="D422">
        <v>3801</v>
      </c>
      <c r="E422">
        <v>82</v>
      </c>
      <c r="F422">
        <v>2009</v>
      </c>
      <c r="G422" t="s">
        <v>10</v>
      </c>
      <c r="I422" s="8"/>
    </row>
    <row r="423" spans="1:9" x14ac:dyDescent="0.25">
      <c r="A423" t="s">
        <v>530</v>
      </c>
      <c r="B423" t="s">
        <v>78</v>
      </c>
      <c r="C423">
        <v>4.8</v>
      </c>
      <c r="D423">
        <v>3796</v>
      </c>
      <c r="E423">
        <v>12</v>
      </c>
      <c r="F423">
        <v>2010</v>
      </c>
      <c r="G423" t="s">
        <v>10</v>
      </c>
      <c r="I423" s="8"/>
    </row>
    <row r="424" spans="1:9" x14ac:dyDescent="0.25">
      <c r="A424" t="s">
        <v>221</v>
      </c>
      <c r="B424" t="s">
        <v>222</v>
      </c>
      <c r="C424">
        <v>4.8</v>
      </c>
      <c r="D424">
        <v>3776</v>
      </c>
      <c r="E424">
        <v>22</v>
      </c>
      <c r="F424">
        <v>2018</v>
      </c>
      <c r="G424" t="s">
        <v>8</v>
      </c>
      <c r="I424" s="8"/>
    </row>
    <row r="425" spans="1:9" x14ac:dyDescent="0.25">
      <c r="A425" t="s">
        <v>524</v>
      </c>
      <c r="B425" t="s">
        <v>525</v>
      </c>
      <c r="C425">
        <v>4.4000000000000004</v>
      </c>
      <c r="D425">
        <v>3759</v>
      </c>
      <c r="E425">
        <v>6</v>
      </c>
      <c r="F425">
        <v>2009</v>
      </c>
      <c r="G425" t="s">
        <v>10</v>
      </c>
      <c r="I425" s="8"/>
    </row>
    <row r="426" spans="1:9" x14ac:dyDescent="0.25">
      <c r="A426" t="s">
        <v>494</v>
      </c>
      <c r="B426" t="s">
        <v>495</v>
      </c>
      <c r="C426">
        <v>4.3</v>
      </c>
      <c r="D426">
        <v>3759</v>
      </c>
      <c r="E426">
        <v>16</v>
      </c>
      <c r="F426">
        <v>2011</v>
      </c>
      <c r="G426" t="s">
        <v>10</v>
      </c>
      <c r="I426" s="8"/>
    </row>
    <row r="427" spans="1:9" x14ac:dyDescent="0.25">
      <c r="A427" t="s">
        <v>70</v>
      </c>
      <c r="B427" t="s">
        <v>71</v>
      </c>
      <c r="C427">
        <v>4.7</v>
      </c>
      <c r="D427">
        <v>3729</v>
      </c>
      <c r="E427">
        <v>18</v>
      </c>
      <c r="F427">
        <v>2016</v>
      </c>
      <c r="G427" t="s">
        <v>8</v>
      </c>
      <c r="I427" s="8"/>
    </row>
    <row r="428" spans="1:9" x14ac:dyDescent="0.25">
      <c r="A428" t="s">
        <v>265</v>
      </c>
      <c r="B428" t="s">
        <v>266</v>
      </c>
      <c r="C428">
        <v>4.5</v>
      </c>
      <c r="D428">
        <v>3673</v>
      </c>
      <c r="E428">
        <v>4</v>
      </c>
      <c r="F428">
        <v>2013</v>
      </c>
      <c r="G428" t="s">
        <v>8</v>
      </c>
      <c r="I428" s="8"/>
    </row>
    <row r="429" spans="1:9" x14ac:dyDescent="0.25">
      <c r="A429" t="s">
        <v>265</v>
      </c>
      <c r="B429" t="s">
        <v>266</v>
      </c>
      <c r="C429">
        <v>4.5</v>
      </c>
      <c r="D429">
        <v>3673</v>
      </c>
      <c r="E429">
        <v>4</v>
      </c>
      <c r="F429">
        <v>2014</v>
      </c>
      <c r="G429" t="s">
        <v>8</v>
      </c>
      <c r="I429" s="8"/>
    </row>
    <row r="430" spans="1:9" x14ac:dyDescent="0.25">
      <c r="A430" t="s">
        <v>265</v>
      </c>
      <c r="B430" t="s">
        <v>266</v>
      </c>
      <c r="C430">
        <v>4.5</v>
      </c>
      <c r="D430">
        <v>3673</v>
      </c>
      <c r="E430">
        <v>4</v>
      </c>
      <c r="F430">
        <v>2015</v>
      </c>
      <c r="G430" t="s">
        <v>8</v>
      </c>
      <c r="I430" s="8"/>
    </row>
    <row r="431" spans="1:9" x14ac:dyDescent="0.25">
      <c r="A431" t="s">
        <v>165</v>
      </c>
      <c r="B431" t="s">
        <v>166</v>
      </c>
      <c r="C431">
        <v>4.7</v>
      </c>
      <c r="D431">
        <v>3642</v>
      </c>
      <c r="E431">
        <v>0</v>
      </c>
      <c r="F431">
        <v>2014</v>
      </c>
      <c r="G431" t="s">
        <v>10</v>
      </c>
      <c r="I431" s="8"/>
    </row>
    <row r="432" spans="1:9" x14ac:dyDescent="0.25">
      <c r="A432" t="s">
        <v>352</v>
      </c>
      <c r="B432" t="s">
        <v>353</v>
      </c>
      <c r="C432">
        <v>4.5999999999999996</v>
      </c>
      <c r="D432">
        <v>3619</v>
      </c>
      <c r="E432">
        <v>10</v>
      </c>
      <c r="F432">
        <v>2010</v>
      </c>
      <c r="G432" t="s">
        <v>10</v>
      </c>
      <c r="I432" s="8"/>
    </row>
    <row r="433" spans="1:9" x14ac:dyDescent="0.25">
      <c r="A433" t="s">
        <v>500</v>
      </c>
      <c r="B433" t="s">
        <v>501</v>
      </c>
      <c r="C433">
        <v>4.5</v>
      </c>
      <c r="D433">
        <v>3601</v>
      </c>
      <c r="E433">
        <v>18</v>
      </c>
      <c r="F433">
        <v>2018</v>
      </c>
      <c r="G433" t="s">
        <v>8</v>
      </c>
      <c r="I433" s="8"/>
    </row>
    <row r="434" spans="1:9" x14ac:dyDescent="0.25">
      <c r="A434" t="s">
        <v>212</v>
      </c>
      <c r="B434" t="s">
        <v>213</v>
      </c>
      <c r="C434">
        <v>4.7</v>
      </c>
      <c r="D434">
        <v>3564</v>
      </c>
      <c r="E434">
        <v>9</v>
      </c>
      <c r="F434">
        <v>2015</v>
      </c>
      <c r="G434" t="s">
        <v>8</v>
      </c>
      <c r="I434" s="8"/>
    </row>
    <row r="435" spans="1:9" x14ac:dyDescent="0.25">
      <c r="A435" t="s">
        <v>395</v>
      </c>
      <c r="B435" t="s">
        <v>396</v>
      </c>
      <c r="C435">
        <v>4.7</v>
      </c>
      <c r="D435">
        <v>3536</v>
      </c>
      <c r="E435">
        <v>17</v>
      </c>
      <c r="F435">
        <v>2010</v>
      </c>
      <c r="G435" t="s">
        <v>8</v>
      </c>
      <c r="I435" s="8"/>
    </row>
    <row r="436" spans="1:9" x14ac:dyDescent="0.25">
      <c r="A436" t="s">
        <v>415</v>
      </c>
      <c r="B436" t="s">
        <v>375</v>
      </c>
      <c r="C436">
        <v>4.3</v>
      </c>
      <c r="D436">
        <v>3523</v>
      </c>
      <c r="E436">
        <v>13</v>
      </c>
      <c r="F436">
        <v>2010</v>
      </c>
      <c r="G436" t="s">
        <v>10</v>
      </c>
      <c r="I436" s="8"/>
    </row>
    <row r="437" spans="1:9" x14ac:dyDescent="0.25">
      <c r="A437" t="s">
        <v>334</v>
      </c>
      <c r="B437" t="s">
        <v>213</v>
      </c>
      <c r="C437">
        <v>4.7</v>
      </c>
      <c r="D437">
        <v>3503</v>
      </c>
      <c r="E437">
        <v>9</v>
      </c>
      <c r="F437">
        <v>2016</v>
      </c>
      <c r="G437" t="s">
        <v>10</v>
      </c>
      <c r="I437" s="8"/>
    </row>
    <row r="438" spans="1:9" x14ac:dyDescent="0.25">
      <c r="A438" t="s">
        <v>526</v>
      </c>
      <c r="B438" t="s">
        <v>101</v>
      </c>
      <c r="C438">
        <v>4.4000000000000004</v>
      </c>
      <c r="D438">
        <v>3503</v>
      </c>
      <c r="E438">
        <v>9</v>
      </c>
      <c r="F438">
        <v>2009</v>
      </c>
      <c r="G438" t="s">
        <v>8</v>
      </c>
      <c r="I438" s="8"/>
    </row>
    <row r="439" spans="1:9" x14ac:dyDescent="0.25">
      <c r="A439" t="s">
        <v>227</v>
      </c>
      <c r="B439" t="s">
        <v>228</v>
      </c>
      <c r="C439">
        <v>4.8</v>
      </c>
      <c r="D439">
        <v>3490</v>
      </c>
      <c r="E439">
        <v>15</v>
      </c>
      <c r="F439">
        <v>2013</v>
      </c>
      <c r="G439" t="s">
        <v>8</v>
      </c>
      <c r="I439" s="8"/>
    </row>
    <row r="440" spans="1:9" x14ac:dyDescent="0.25">
      <c r="A440" t="s">
        <v>227</v>
      </c>
      <c r="B440" t="s">
        <v>228</v>
      </c>
      <c r="C440">
        <v>4.8</v>
      </c>
      <c r="D440">
        <v>3490</v>
      </c>
      <c r="E440">
        <v>15</v>
      </c>
      <c r="F440">
        <v>2014</v>
      </c>
      <c r="G440" t="s">
        <v>8</v>
      </c>
      <c r="I440" s="8"/>
    </row>
    <row r="441" spans="1:9" x14ac:dyDescent="0.25">
      <c r="A441" t="s">
        <v>382</v>
      </c>
      <c r="B441" t="s">
        <v>383</v>
      </c>
      <c r="C441">
        <v>4.7</v>
      </c>
      <c r="D441">
        <v>3477</v>
      </c>
      <c r="E441">
        <v>28</v>
      </c>
      <c r="F441">
        <v>2010</v>
      </c>
      <c r="G441" t="s">
        <v>8</v>
      </c>
      <c r="I441" s="8"/>
    </row>
    <row r="442" spans="1:9" x14ac:dyDescent="0.25">
      <c r="A442" t="s">
        <v>382</v>
      </c>
      <c r="B442" t="s">
        <v>383</v>
      </c>
      <c r="C442">
        <v>4.7</v>
      </c>
      <c r="D442">
        <v>3477</v>
      </c>
      <c r="E442">
        <v>28</v>
      </c>
      <c r="F442">
        <v>2011</v>
      </c>
      <c r="G442" t="s">
        <v>8</v>
      </c>
      <c r="I442" s="8"/>
    </row>
    <row r="443" spans="1:9" x14ac:dyDescent="0.25">
      <c r="A443" t="s">
        <v>382</v>
      </c>
      <c r="B443" t="s">
        <v>383</v>
      </c>
      <c r="C443">
        <v>4.7</v>
      </c>
      <c r="D443">
        <v>3477</v>
      </c>
      <c r="E443">
        <v>28</v>
      </c>
      <c r="F443">
        <v>2012</v>
      </c>
      <c r="G443" t="s">
        <v>8</v>
      </c>
      <c r="I443" s="8"/>
    </row>
    <row r="444" spans="1:9" x14ac:dyDescent="0.25">
      <c r="A444" t="s">
        <v>382</v>
      </c>
      <c r="B444" t="s">
        <v>383</v>
      </c>
      <c r="C444">
        <v>4.7</v>
      </c>
      <c r="D444">
        <v>3477</v>
      </c>
      <c r="E444">
        <v>28</v>
      </c>
      <c r="F444">
        <v>2013</v>
      </c>
      <c r="G444" t="s">
        <v>8</v>
      </c>
      <c r="I444" s="8"/>
    </row>
    <row r="445" spans="1:9" x14ac:dyDescent="0.25">
      <c r="A445" t="s">
        <v>382</v>
      </c>
      <c r="B445" t="s">
        <v>383</v>
      </c>
      <c r="C445">
        <v>4.7</v>
      </c>
      <c r="D445">
        <v>3477</v>
      </c>
      <c r="E445">
        <v>28</v>
      </c>
      <c r="F445">
        <v>2014</v>
      </c>
      <c r="G445" t="s">
        <v>8</v>
      </c>
      <c r="I445" s="8"/>
    </row>
    <row r="446" spans="1:9" x14ac:dyDescent="0.25">
      <c r="A446" t="s">
        <v>191</v>
      </c>
      <c r="B446" t="s">
        <v>192</v>
      </c>
      <c r="C446">
        <v>4.5</v>
      </c>
      <c r="D446">
        <v>3457</v>
      </c>
      <c r="E446">
        <v>14</v>
      </c>
      <c r="F446">
        <v>2009</v>
      </c>
      <c r="G446" t="s">
        <v>8</v>
      </c>
      <c r="I446" s="8"/>
    </row>
    <row r="447" spans="1:9" x14ac:dyDescent="0.25">
      <c r="A447" t="s">
        <v>191</v>
      </c>
      <c r="B447" t="s">
        <v>192</v>
      </c>
      <c r="C447">
        <v>4.5</v>
      </c>
      <c r="D447">
        <v>3457</v>
      </c>
      <c r="E447">
        <v>14</v>
      </c>
      <c r="F447">
        <v>2010</v>
      </c>
      <c r="G447" t="s">
        <v>8</v>
      </c>
      <c r="I447" s="8"/>
    </row>
    <row r="448" spans="1:9" x14ac:dyDescent="0.25">
      <c r="A448" t="s">
        <v>191</v>
      </c>
      <c r="B448" t="s">
        <v>192</v>
      </c>
      <c r="C448">
        <v>4.5</v>
      </c>
      <c r="D448">
        <v>3457</v>
      </c>
      <c r="E448">
        <v>14</v>
      </c>
      <c r="F448">
        <v>2011</v>
      </c>
      <c r="G448" t="s">
        <v>8</v>
      </c>
      <c r="I448" s="8"/>
    </row>
    <row r="449" spans="1:9" x14ac:dyDescent="0.25">
      <c r="A449" t="s">
        <v>191</v>
      </c>
      <c r="B449" t="s">
        <v>192</v>
      </c>
      <c r="C449">
        <v>4.5</v>
      </c>
      <c r="D449">
        <v>3457</v>
      </c>
      <c r="E449">
        <v>14</v>
      </c>
      <c r="F449">
        <v>2012</v>
      </c>
      <c r="G449" t="s">
        <v>8</v>
      </c>
      <c r="I449" s="8"/>
    </row>
    <row r="450" spans="1:9" x14ac:dyDescent="0.25">
      <c r="A450" t="s">
        <v>498</v>
      </c>
      <c r="B450" t="s">
        <v>497</v>
      </c>
      <c r="C450">
        <v>4.8</v>
      </c>
      <c r="D450">
        <v>3428</v>
      </c>
      <c r="E450">
        <v>14</v>
      </c>
      <c r="F450">
        <v>2015</v>
      </c>
      <c r="G450" t="s">
        <v>8</v>
      </c>
      <c r="I450" s="8"/>
    </row>
    <row r="451" spans="1:9" x14ac:dyDescent="0.25">
      <c r="A451" t="s">
        <v>583</v>
      </c>
      <c r="B451" t="s">
        <v>584</v>
      </c>
      <c r="C451">
        <v>4.4000000000000004</v>
      </c>
      <c r="D451">
        <v>3341</v>
      </c>
      <c r="E451">
        <v>9</v>
      </c>
      <c r="F451">
        <v>2011</v>
      </c>
      <c r="G451" t="s">
        <v>8</v>
      </c>
      <c r="I451" s="8"/>
    </row>
    <row r="452" spans="1:9" x14ac:dyDescent="0.25">
      <c r="A452" t="s">
        <v>551</v>
      </c>
      <c r="B452" t="s">
        <v>552</v>
      </c>
      <c r="C452">
        <v>4.3</v>
      </c>
      <c r="D452">
        <v>3319</v>
      </c>
      <c r="E452">
        <v>11</v>
      </c>
      <c r="F452">
        <v>2009</v>
      </c>
      <c r="G452" t="s">
        <v>8</v>
      </c>
      <c r="I452" s="8"/>
    </row>
    <row r="453" spans="1:9" x14ac:dyDescent="0.25">
      <c r="A453" t="s">
        <v>551</v>
      </c>
      <c r="B453" t="s">
        <v>552</v>
      </c>
      <c r="C453">
        <v>4.3</v>
      </c>
      <c r="D453">
        <v>3319</v>
      </c>
      <c r="E453">
        <v>11</v>
      </c>
      <c r="F453">
        <v>2010</v>
      </c>
      <c r="G453" t="s">
        <v>8</v>
      </c>
      <c r="I453" s="8"/>
    </row>
    <row r="454" spans="1:9" x14ac:dyDescent="0.25">
      <c r="A454" t="s">
        <v>427</v>
      </c>
      <c r="B454" t="s">
        <v>428</v>
      </c>
      <c r="C454">
        <v>4.5999999999999996</v>
      </c>
      <c r="D454">
        <v>3207</v>
      </c>
      <c r="E454">
        <v>6</v>
      </c>
      <c r="F454">
        <v>2009</v>
      </c>
      <c r="G454" t="s">
        <v>8</v>
      </c>
      <c r="I454" s="8"/>
    </row>
    <row r="455" spans="1:9" x14ac:dyDescent="0.25">
      <c r="A455" t="s">
        <v>427</v>
      </c>
      <c r="B455" t="s">
        <v>428</v>
      </c>
      <c r="C455">
        <v>4.5999999999999996</v>
      </c>
      <c r="D455">
        <v>3207</v>
      </c>
      <c r="E455">
        <v>6</v>
      </c>
      <c r="F455">
        <v>2010</v>
      </c>
      <c r="G455" t="s">
        <v>8</v>
      </c>
      <c r="I455" s="8"/>
    </row>
    <row r="456" spans="1:9" x14ac:dyDescent="0.25">
      <c r="A456" t="s">
        <v>427</v>
      </c>
      <c r="B456" t="s">
        <v>428</v>
      </c>
      <c r="C456">
        <v>4.5999999999999996</v>
      </c>
      <c r="D456">
        <v>3207</v>
      </c>
      <c r="E456">
        <v>6</v>
      </c>
      <c r="F456">
        <v>2011</v>
      </c>
      <c r="G456" t="s">
        <v>8</v>
      </c>
      <c r="I456" s="8"/>
    </row>
    <row r="457" spans="1:9" x14ac:dyDescent="0.25">
      <c r="A457" t="s">
        <v>427</v>
      </c>
      <c r="B457" t="s">
        <v>428</v>
      </c>
      <c r="C457">
        <v>4.5999999999999996</v>
      </c>
      <c r="D457">
        <v>3207</v>
      </c>
      <c r="E457">
        <v>6</v>
      </c>
      <c r="F457">
        <v>2012</v>
      </c>
      <c r="G457" t="s">
        <v>8</v>
      </c>
      <c r="I457" s="8"/>
    </row>
    <row r="458" spans="1:9" x14ac:dyDescent="0.25">
      <c r="A458" t="s">
        <v>427</v>
      </c>
      <c r="B458" t="s">
        <v>428</v>
      </c>
      <c r="C458">
        <v>4.5999999999999996</v>
      </c>
      <c r="D458">
        <v>3207</v>
      </c>
      <c r="E458">
        <v>6</v>
      </c>
      <c r="F458">
        <v>2013</v>
      </c>
      <c r="G458" t="s">
        <v>8</v>
      </c>
      <c r="I458" s="8"/>
    </row>
    <row r="459" spans="1:9" x14ac:dyDescent="0.25">
      <c r="A459" t="s">
        <v>314</v>
      </c>
      <c r="B459" t="s">
        <v>315</v>
      </c>
      <c r="C459">
        <v>4.9000000000000004</v>
      </c>
      <c r="D459">
        <v>3192</v>
      </c>
      <c r="E459">
        <v>22</v>
      </c>
      <c r="F459">
        <v>2017</v>
      </c>
      <c r="G459" t="s">
        <v>8</v>
      </c>
      <c r="I459" s="8"/>
    </row>
    <row r="460" spans="1:9" x14ac:dyDescent="0.25">
      <c r="A460" t="s">
        <v>124</v>
      </c>
      <c r="B460" t="s">
        <v>78</v>
      </c>
      <c r="C460">
        <v>4.8</v>
      </c>
      <c r="D460">
        <v>3181</v>
      </c>
      <c r="E460">
        <v>12</v>
      </c>
      <c r="F460">
        <v>2009</v>
      </c>
      <c r="G460" t="s">
        <v>10</v>
      </c>
      <c r="I460" s="8"/>
    </row>
    <row r="461" spans="1:9" x14ac:dyDescent="0.25">
      <c r="A461" t="s">
        <v>321</v>
      </c>
      <c r="B461" t="s">
        <v>322</v>
      </c>
      <c r="C461">
        <v>4.5999999999999996</v>
      </c>
      <c r="D461">
        <v>3163</v>
      </c>
      <c r="E461">
        <v>13</v>
      </c>
      <c r="F461">
        <v>2011</v>
      </c>
      <c r="G461" t="s">
        <v>8</v>
      </c>
      <c r="I461" s="8"/>
    </row>
    <row r="462" spans="1:9" x14ac:dyDescent="0.25">
      <c r="A462" t="s">
        <v>321</v>
      </c>
      <c r="B462" t="s">
        <v>322</v>
      </c>
      <c r="C462">
        <v>4.5999999999999996</v>
      </c>
      <c r="D462">
        <v>3163</v>
      </c>
      <c r="E462">
        <v>13</v>
      </c>
      <c r="F462">
        <v>2012</v>
      </c>
      <c r="G462" t="s">
        <v>8</v>
      </c>
      <c r="I462" s="8"/>
    </row>
    <row r="463" spans="1:9" x14ac:dyDescent="0.25">
      <c r="A463" t="s">
        <v>210</v>
      </c>
      <c r="B463" t="s">
        <v>151</v>
      </c>
      <c r="C463">
        <v>4.9000000000000004</v>
      </c>
      <c r="D463">
        <v>3146</v>
      </c>
      <c r="E463">
        <v>30</v>
      </c>
      <c r="F463">
        <v>2017</v>
      </c>
      <c r="G463" t="s">
        <v>10</v>
      </c>
      <c r="I463" s="8"/>
    </row>
    <row r="464" spans="1:9" x14ac:dyDescent="0.25">
      <c r="A464" t="s">
        <v>300</v>
      </c>
      <c r="B464" t="s">
        <v>301</v>
      </c>
      <c r="C464">
        <v>4.4000000000000004</v>
      </c>
      <c r="D464">
        <v>3113</v>
      </c>
      <c r="E464">
        <v>6</v>
      </c>
      <c r="F464">
        <v>2017</v>
      </c>
      <c r="G464" t="s">
        <v>8</v>
      </c>
      <c r="I464" s="8"/>
    </row>
    <row r="465" spans="1:9" x14ac:dyDescent="0.25">
      <c r="A465" t="s">
        <v>272</v>
      </c>
      <c r="B465" t="s">
        <v>273</v>
      </c>
      <c r="C465">
        <v>4.5</v>
      </c>
      <c r="D465">
        <v>3014</v>
      </c>
      <c r="E465">
        <v>21</v>
      </c>
      <c r="F465">
        <v>2017</v>
      </c>
      <c r="G465" t="s">
        <v>8</v>
      </c>
      <c r="I465" s="8"/>
    </row>
    <row r="466" spans="1:9" x14ac:dyDescent="0.25">
      <c r="A466" t="s">
        <v>38</v>
      </c>
      <c r="B466" t="s">
        <v>37</v>
      </c>
      <c r="C466">
        <v>4.4000000000000004</v>
      </c>
      <c r="D466">
        <v>2951</v>
      </c>
      <c r="E466">
        <v>6</v>
      </c>
      <c r="F466">
        <v>2015</v>
      </c>
      <c r="G466" t="s">
        <v>8</v>
      </c>
      <c r="I466" s="8"/>
    </row>
    <row r="467" spans="1:9" x14ac:dyDescent="0.25">
      <c r="A467" t="s">
        <v>296</v>
      </c>
      <c r="B467" t="s">
        <v>297</v>
      </c>
      <c r="C467">
        <v>4.8</v>
      </c>
      <c r="D467">
        <v>2926</v>
      </c>
      <c r="E467">
        <v>27</v>
      </c>
      <c r="F467">
        <v>2009</v>
      </c>
      <c r="G467" t="s">
        <v>8</v>
      </c>
      <c r="I467" s="8"/>
    </row>
    <row r="468" spans="1:9" x14ac:dyDescent="0.25">
      <c r="A468" t="s">
        <v>36</v>
      </c>
      <c r="B468" t="s">
        <v>37</v>
      </c>
      <c r="C468">
        <v>4.5999999999999996</v>
      </c>
      <c r="D468">
        <v>2925</v>
      </c>
      <c r="E468">
        <v>6</v>
      </c>
      <c r="F468">
        <v>2015</v>
      </c>
      <c r="G468" t="s">
        <v>8</v>
      </c>
      <c r="I468" s="8"/>
    </row>
    <row r="469" spans="1:9" x14ac:dyDescent="0.25">
      <c r="A469" t="s">
        <v>83</v>
      </c>
      <c r="B469" t="s">
        <v>84</v>
      </c>
      <c r="C469">
        <v>4.5</v>
      </c>
      <c r="D469">
        <v>2884</v>
      </c>
      <c r="E469">
        <v>28</v>
      </c>
      <c r="F469">
        <v>2014</v>
      </c>
      <c r="G469" t="s">
        <v>8</v>
      </c>
      <c r="I469" s="8"/>
    </row>
    <row r="470" spans="1:9" x14ac:dyDescent="0.25">
      <c r="A470" t="s">
        <v>499</v>
      </c>
      <c r="B470" t="s">
        <v>497</v>
      </c>
      <c r="C470">
        <v>4.8</v>
      </c>
      <c r="D470">
        <v>2876</v>
      </c>
      <c r="E470">
        <v>21</v>
      </c>
      <c r="F470">
        <v>2012</v>
      </c>
      <c r="G470" t="s">
        <v>8</v>
      </c>
      <c r="I470" s="8"/>
    </row>
    <row r="471" spans="1:9" x14ac:dyDescent="0.25">
      <c r="A471" t="s">
        <v>229</v>
      </c>
      <c r="B471" t="s">
        <v>228</v>
      </c>
      <c r="C471">
        <v>4.9000000000000004</v>
      </c>
      <c r="D471">
        <v>2812</v>
      </c>
      <c r="E471">
        <v>17</v>
      </c>
      <c r="F471">
        <v>2015</v>
      </c>
      <c r="G471" t="s">
        <v>8</v>
      </c>
      <c r="I471" s="8"/>
    </row>
    <row r="472" spans="1:9" x14ac:dyDescent="0.25">
      <c r="A472" t="s">
        <v>416</v>
      </c>
      <c r="B472" t="s">
        <v>417</v>
      </c>
      <c r="C472">
        <v>4.8</v>
      </c>
      <c r="D472">
        <v>2774</v>
      </c>
      <c r="E472">
        <v>0</v>
      </c>
      <c r="F472">
        <v>2016</v>
      </c>
      <c r="G472" t="s">
        <v>8</v>
      </c>
      <c r="I472" s="8"/>
    </row>
    <row r="473" spans="1:9" x14ac:dyDescent="0.25">
      <c r="A473" t="s">
        <v>278</v>
      </c>
      <c r="B473" t="s">
        <v>279</v>
      </c>
      <c r="C473">
        <v>4.5</v>
      </c>
      <c r="D473">
        <v>2752</v>
      </c>
      <c r="E473">
        <v>18</v>
      </c>
      <c r="F473">
        <v>2010</v>
      </c>
      <c r="G473" t="s">
        <v>8</v>
      </c>
      <c r="I473" s="8"/>
    </row>
    <row r="474" spans="1:9" x14ac:dyDescent="0.25">
      <c r="A474" t="s">
        <v>487</v>
      </c>
      <c r="B474" t="s">
        <v>488</v>
      </c>
      <c r="C474">
        <v>4.5999999999999996</v>
      </c>
      <c r="D474">
        <v>2744</v>
      </c>
      <c r="E474">
        <v>12</v>
      </c>
      <c r="F474">
        <v>2019</v>
      </c>
      <c r="G474" t="s">
        <v>8</v>
      </c>
      <c r="I474" s="8"/>
    </row>
    <row r="475" spans="1:9" x14ac:dyDescent="0.25">
      <c r="A475" t="s">
        <v>496</v>
      </c>
      <c r="B475" t="s">
        <v>497</v>
      </c>
      <c r="C475">
        <v>4.8</v>
      </c>
      <c r="D475">
        <v>2663</v>
      </c>
      <c r="E475">
        <v>17</v>
      </c>
      <c r="F475">
        <v>2013</v>
      </c>
      <c r="G475" t="s">
        <v>8</v>
      </c>
      <c r="I475" s="8"/>
    </row>
    <row r="476" spans="1:9" x14ac:dyDescent="0.25">
      <c r="A476" t="s">
        <v>564</v>
      </c>
      <c r="B476" t="s">
        <v>58</v>
      </c>
      <c r="C476">
        <v>4.5</v>
      </c>
      <c r="D476">
        <v>2586</v>
      </c>
      <c r="E476">
        <v>5</v>
      </c>
      <c r="F476">
        <v>2014</v>
      </c>
      <c r="G476" t="s">
        <v>10</v>
      </c>
      <c r="I476" s="8"/>
    </row>
    <row r="477" spans="1:9" x14ac:dyDescent="0.25">
      <c r="A477" t="s">
        <v>391</v>
      </c>
      <c r="B477" t="s">
        <v>392</v>
      </c>
      <c r="C477">
        <v>4.5999999999999996</v>
      </c>
      <c r="D477">
        <v>2580</v>
      </c>
      <c r="E477">
        <v>9</v>
      </c>
      <c r="F477">
        <v>2012</v>
      </c>
      <c r="G477" t="s">
        <v>8</v>
      </c>
      <c r="I477" s="8"/>
    </row>
    <row r="478" spans="1:9" x14ac:dyDescent="0.25">
      <c r="A478" t="s">
        <v>135</v>
      </c>
      <c r="B478" t="s">
        <v>136</v>
      </c>
      <c r="C478">
        <v>4.5</v>
      </c>
      <c r="D478">
        <v>2525</v>
      </c>
      <c r="E478">
        <v>16</v>
      </c>
      <c r="F478">
        <v>2010</v>
      </c>
      <c r="G478" t="s">
        <v>8</v>
      </c>
      <c r="I478" s="8"/>
    </row>
    <row r="479" spans="1:9" x14ac:dyDescent="0.25">
      <c r="A479" t="s">
        <v>263</v>
      </c>
      <c r="B479" t="s">
        <v>264</v>
      </c>
      <c r="C479">
        <v>4.8</v>
      </c>
      <c r="D479">
        <v>2507</v>
      </c>
      <c r="E479">
        <v>8</v>
      </c>
      <c r="F479">
        <v>2018</v>
      </c>
      <c r="G479" t="s">
        <v>8</v>
      </c>
      <c r="I479" s="8"/>
    </row>
    <row r="480" spans="1:9" x14ac:dyDescent="0.25">
      <c r="A480" t="s">
        <v>39</v>
      </c>
      <c r="B480" t="s">
        <v>40</v>
      </c>
      <c r="C480">
        <v>4.5</v>
      </c>
      <c r="D480">
        <v>2426</v>
      </c>
      <c r="E480">
        <v>8</v>
      </c>
      <c r="F480">
        <v>2015</v>
      </c>
      <c r="G480" t="s">
        <v>8</v>
      </c>
      <c r="I480" s="8"/>
    </row>
    <row r="481" spans="1:9" x14ac:dyDescent="0.25">
      <c r="A481" t="s">
        <v>378</v>
      </c>
      <c r="B481" t="s">
        <v>379</v>
      </c>
      <c r="C481">
        <v>4.3</v>
      </c>
      <c r="D481">
        <v>2314</v>
      </c>
      <c r="E481">
        <v>22</v>
      </c>
      <c r="F481">
        <v>2011</v>
      </c>
      <c r="G481" t="s">
        <v>8</v>
      </c>
      <c r="I481" s="8"/>
    </row>
    <row r="482" spans="1:9" x14ac:dyDescent="0.25">
      <c r="A482" t="s">
        <v>34</v>
      </c>
      <c r="B482" t="s">
        <v>35</v>
      </c>
      <c r="C482">
        <v>4.5</v>
      </c>
      <c r="D482">
        <v>2313</v>
      </c>
      <c r="E482">
        <v>4</v>
      </c>
      <c r="F482">
        <v>2016</v>
      </c>
      <c r="G482" t="s">
        <v>8</v>
      </c>
      <c r="I482" s="8"/>
    </row>
    <row r="483" spans="1:9" x14ac:dyDescent="0.25">
      <c r="A483" t="s">
        <v>559</v>
      </c>
      <c r="B483" t="s">
        <v>560</v>
      </c>
      <c r="C483">
        <v>4.8</v>
      </c>
      <c r="D483">
        <v>2282</v>
      </c>
      <c r="E483">
        <v>21</v>
      </c>
      <c r="F483">
        <v>2010</v>
      </c>
      <c r="G483" t="s">
        <v>10</v>
      </c>
      <c r="I483" s="8"/>
    </row>
    <row r="484" spans="1:9" x14ac:dyDescent="0.25">
      <c r="A484" t="s">
        <v>361</v>
      </c>
      <c r="B484" t="s">
        <v>362</v>
      </c>
      <c r="C484">
        <v>4.0999999999999996</v>
      </c>
      <c r="D484">
        <v>2272</v>
      </c>
      <c r="E484">
        <v>6</v>
      </c>
      <c r="F484">
        <v>2013</v>
      </c>
      <c r="G484" t="s">
        <v>8</v>
      </c>
      <c r="I484" s="8"/>
    </row>
    <row r="485" spans="1:9" x14ac:dyDescent="0.25">
      <c r="A485" t="s">
        <v>509</v>
      </c>
      <c r="B485" t="s">
        <v>331</v>
      </c>
      <c r="C485">
        <v>4.5999999999999996</v>
      </c>
      <c r="D485">
        <v>2186</v>
      </c>
      <c r="E485">
        <v>12</v>
      </c>
      <c r="F485">
        <v>2010</v>
      </c>
      <c r="G485" t="s">
        <v>10</v>
      </c>
      <c r="I485" s="8"/>
    </row>
    <row r="486" spans="1:9" x14ac:dyDescent="0.25">
      <c r="A486" t="s">
        <v>108</v>
      </c>
      <c r="B486" t="s">
        <v>109</v>
      </c>
      <c r="C486">
        <v>4.5999999999999996</v>
      </c>
      <c r="D486">
        <v>2137</v>
      </c>
      <c r="E486">
        <v>17</v>
      </c>
      <c r="F486">
        <v>2010</v>
      </c>
      <c r="G486" t="s">
        <v>8</v>
      </c>
      <c r="I486" s="8"/>
    </row>
    <row r="487" spans="1:9" x14ac:dyDescent="0.25">
      <c r="A487" t="s">
        <v>133</v>
      </c>
      <c r="B487" t="s">
        <v>134</v>
      </c>
      <c r="C487">
        <v>4.5999999999999996</v>
      </c>
      <c r="D487">
        <v>2134</v>
      </c>
      <c r="E487">
        <v>5</v>
      </c>
      <c r="F487">
        <v>2015</v>
      </c>
      <c r="G487" t="s">
        <v>8</v>
      </c>
      <c r="I487" s="8"/>
    </row>
    <row r="488" spans="1:9" x14ac:dyDescent="0.25">
      <c r="A488" t="s">
        <v>515</v>
      </c>
      <c r="B488" t="s">
        <v>73</v>
      </c>
      <c r="C488">
        <v>4.5999999999999996</v>
      </c>
      <c r="D488">
        <v>2122</v>
      </c>
      <c r="E488">
        <v>0</v>
      </c>
      <c r="F488">
        <v>2010</v>
      </c>
      <c r="G488" t="s">
        <v>10</v>
      </c>
      <c r="I488" s="8"/>
    </row>
    <row r="489" spans="1:9" x14ac:dyDescent="0.25">
      <c r="A489" t="s">
        <v>105</v>
      </c>
      <c r="B489" t="s">
        <v>103</v>
      </c>
      <c r="C489">
        <v>4.2</v>
      </c>
      <c r="D489">
        <v>2094</v>
      </c>
      <c r="E489">
        <v>4</v>
      </c>
      <c r="F489">
        <v>2011</v>
      </c>
      <c r="G489" t="s">
        <v>10</v>
      </c>
      <c r="I489" s="8"/>
    </row>
    <row r="490" spans="1:9" x14ac:dyDescent="0.25">
      <c r="A490" t="s">
        <v>512</v>
      </c>
      <c r="B490" t="s">
        <v>331</v>
      </c>
      <c r="C490">
        <v>4.8</v>
      </c>
      <c r="D490">
        <v>2091</v>
      </c>
      <c r="E490">
        <v>12</v>
      </c>
      <c r="F490">
        <v>2012</v>
      </c>
      <c r="G490" t="s">
        <v>10</v>
      </c>
      <c r="I490" s="8"/>
    </row>
    <row r="491" spans="1:9" x14ac:dyDescent="0.25">
      <c r="A491" t="s">
        <v>606</v>
      </c>
      <c r="B491" t="s">
        <v>9</v>
      </c>
      <c r="C491">
        <v>4.5999999999999996</v>
      </c>
      <c r="D491">
        <v>2052</v>
      </c>
      <c r="E491">
        <v>22</v>
      </c>
      <c r="F491">
        <v>2011</v>
      </c>
      <c r="G491" t="s">
        <v>10</v>
      </c>
      <c r="I491" s="8"/>
    </row>
    <row r="492" spans="1:9" x14ac:dyDescent="0.25">
      <c r="A492" t="s">
        <v>422</v>
      </c>
      <c r="B492" t="s">
        <v>423</v>
      </c>
      <c r="C492">
        <v>4.0999999999999996</v>
      </c>
      <c r="D492">
        <v>2023</v>
      </c>
      <c r="E492">
        <v>15</v>
      </c>
      <c r="F492">
        <v>2011</v>
      </c>
      <c r="G492" t="s">
        <v>8</v>
      </c>
      <c r="I492" s="8"/>
    </row>
    <row r="493" spans="1:9" x14ac:dyDescent="0.25">
      <c r="A493" t="s">
        <v>343</v>
      </c>
      <c r="B493" t="s">
        <v>344</v>
      </c>
      <c r="C493">
        <v>4.7</v>
      </c>
      <c r="D493">
        <v>1985</v>
      </c>
      <c r="E493">
        <v>9</v>
      </c>
      <c r="F493">
        <v>2010</v>
      </c>
      <c r="G493" t="s">
        <v>8</v>
      </c>
      <c r="I493" s="8"/>
    </row>
    <row r="494" spans="1:9" x14ac:dyDescent="0.25">
      <c r="A494" t="s">
        <v>343</v>
      </c>
      <c r="B494" t="s">
        <v>344</v>
      </c>
      <c r="C494">
        <v>4.7</v>
      </c>
      <c r="D494">
        <v>1985</v>
      </c>
      <c r="E494">
        <v>9</v>
      </c>
      <c r="F494">
        <v>2011</v>
      </c>
      <c r="G494" t="s">
        <v>8</v>
      </c>
      <c r="I494" s="8"/>
    </row>
    <row r="495" spans="1:9" x14ac:dyDescent="0.25">
      <c r="A495" t="s">
        <v>215</v>
      </c>
      <c r="B495" t="s">
        <v>216</v>
      </c>
      <c r="C495">
        <v>4.8</v>
      </c>
      <c r="D495">
        <v>1930</v>
      </c>
      <c r="E495">
        <v>4</v>
      </c>
      <c r="F495">
        <v>2009</v>
      </c>
      <c r="G495" t="s">
        <v>8</v>
      </c>
      <c r="I495" s="8"/>
    </row>
    <row r="496" spans="1:9" x14ac:dyDescent="0.25">
      <c r="A496" t="s">
        <v>104</v>
      </c>
      <c r="B496" t="s">
        <v>103</v>
      </c>
      <c r="C496">
        <v>4.3</v>
      </c>
      <c r="D496">
        <v>1924</v>
      </c>
      <c r="E496">
        <v>8</v>
      </c>
      <c r="F496">
        <v>2010</v>
      </c>
      <c r="G496" t="s">
        <v>10</v>
      </c>
      <c r="I496" s="8"/>
    </row>
    <row r="497" spans="1:9" x14ac:dyDescent="0.25">
      <c r="A497" t="s">
        <v>59</v>
      </c>
      <c r="B497" t="s">
        <v>60</v>
      </c>
      <c r="C497">
        <v>4.5999999999999996</v>
      </c>
      <c r="D497">
        <v>1909</v>
      </c>
      <c r="E497">
        <v>11</v>
      </c>
      <c r="F497">
        <v>2015</v>
      </c>
      <c r="G497" t="s">
        <v>8</v>
      </c>
      <c r="I497" s="8"/>
    </row>
    <row r="498" spans="1:9" x14ac:dyDescent="0.25">
      <c r="A498" t="s">
        <v>372</v>
      </c>
      <c r="B498" t="s">
        <v>373</v>
      </c>
      <c r="C498">
        <v>4.5999999999999996</v>
      </c>
      <c r="D498">
        <v>1907</v>
      </c>
      <c r="E498">
        <v>13</v>
      </c>
      <c r="F498">
        <v>2010</v>
      </c>
      <c r="G498" t="s">
        <v>8</v>
      </c>
      <c r="I498" s="8"/>
    </row>
    <row r="499" spans="1:9" x14ac:dyDescent="0.25">
      <c r="A499" t="s">
        <v>549</v>
      </c>
      <c r="B499" t="s">
        <v>550</v>
      </c>
      <c r="C499">
        <v>4.5</v>
      </c>
      <c r="D499">
        <v>1904</v>
      </c>
      <c r="E499">
        <v>23</v>
      </c>
      <c r="F499">
        <v>2012</v>
      </c>
      <c r="G499" t="s">
        <v>8</v>
      </c>
      <c r="I499" s="8"/>
    </row>
    <row r="500" spans="1:9" x14ac:dyDescent="0.25">
      <c r="A500" t="s">
        <v>282</v>
      </c>
      <c r="B500" t="s">
        <v>283</v>
      </c>
      <c r="C500">
        <v>4.9000000000000004</v>
      </c>
      <c r="D500">
        <v>1884</v>
      </c>
      <c r="E500">
        <v>0</v>
      </c>
      <c r="F500">
        <v>2014</v>
      </c>
      <c r="G500" t="s">
        <v>10</v>
      </c>
      <c r="I500" s="8"/>
    </row>
    <row r="501" spans="1:9" x14ac:dyDescent="0.25">
      <c r="A501" t="s">
        <v>580</v>
      </c>
      <c r="B501" t="s">
        <v>317</v>
      </c>
      <c r="C501">
        <v>4.7</v>
      </c>
      <c r="D501">
        <v>1873</v>
      </c>
      <c r="E501">
        <v>14</v>
      </c>
      <c r="F501">
        <v>2015</v>
      </c>
      <c r="G501" t="s">
        <v>10</v>
      </c>
      <c r="I501" s="8"/>
    </row>
    <row r="502" spans="1:9" x14ac:dyDescent="0.25">
      <c r="A502" t="s">
        <v>424</v>
      </c>
      <c r="B502" t="s">
        <v>425</v>
      </c>
      <c r="C502">
        <v>4</v>
      </c>
      <c r="D502">
        <v>1859</v>
      </c>
      <c r="E502">
        <v>11</v>
      </c>
      <c r="F502">
        <v>2009</v>
      </c>
      <c r="G502" t="s">
        <v>10</v>
      </c>
      <c r="I502" s="8"/>
    </row>
    <row r="503" spans="1:9" x14ac:dyDescent="0.25">
      <c r="A503" t="s">
        <v>323</v>
      </c>
      <c r="B503" t="s">
        <v>271</v>
      </c>
      <c r="C503">
        <v>4.5</v>
      </c>
      <c r="D503">
        <v>1831</v>
      </c>
      <c r="E503">
        <v>9</v>
      </c>
      <c r="F503">
        <v>2017</v>
      </c>
      <c r="G503" t="s">
        <v>8</v>
      </c>
      <c r="I503" s="8"/>
    </row>
    <row r="504" spans="1:9" x14ac:dyDescent="0.25">
      <c r="A504" t="s">
        <v>398</v>
      </c>
      <c r="B504" t="s">
        <v>399</v>
      </c>
      <c r="C504">
        <v>4.2</v>
      </c>
      <c r="D504">
        <v>1789</v>
      </c>
      <c r="E504">
        <v>14</v>
      </c>
      <c r="F504">
        <v>2012</v>
      </c>
      <c r="G504" t="s">
        <v>8</v>
      </c>
      <c r="I504" s="8"/>
    </row>
    <row r="505" spans="1:9" x14ac:dyDescent="0.25">
      <c r="A505" t="s">
        <v>385</v>
      </c>
      <c r="B505" t="s">
        <v>386</v>
      </c>
      <c r="C505">
        <v>4.8</v>
      </c>
      <c r="D505">
        <v>1680</v>
      </c>
      <c r="E505">
        <v>12</v>
      </c>
      <c r="F505">
        <v>2009</v>
      </c>
      <c r="G505" t="s">
        <v>8</v>
      </c>
      <c r="I505" s="8"/>
    </row>
    <row r="506" spans="1:9" x14ac:dyDescent="0.25">
      <c r="A506" t="s">
        <v>477</v>
      </c>
      <c r="B506" t="s">
        <v>478</v>
      </c>
      <c r="C506">
        <v>4.8</v>
      </c>
      <c r="D506">
        <v>1655</v>
      </c>
      <c r="E506">
        <v>13</v>
      </c>
      <c r="F506">
        <v>2009</v>
      </c>
      <c r="G506" t="s">
        <v>8</v>
      </c>
      <c r="I506" s="8"/>
    </row>
    <row r="507" spans="1:9" x14ac:dyDescent="0.25">
      <c r="A507" t="s">
        <v>110</v>
      </c>
      <c r="B507" t="s">
        <v>111</v>
      </c>
      <c r="C507">
        <v>4.5999999999999996</v>
      </c>
      <c r="D507">
        <v>1651</v>
      </c>
      <c r="E507">
        <v>15</v>
      </c>
      <c r="F507">
        <v>2010</v>
      </c>
      <c r="G507" t="s">
        <v>8</v>
      </c>
      <c r="I507" s="8"/>
    </row>
    <row r="508" spans="1:9" x14ac:dyDescent="0.25">
      <c r="A508" t="s">
        <v>288</v>
      </c>
      <c r="B508" t="s">
        <v>289</v>
      </c>
      <c r="C508">
        <v>4.2</v>
      </c>
      <c r="D508">
        <v>1649</v>
      </c>
      <c r="E508">
        <v>13</v>
      </c>
      <c r="F508">
        <v>2011</v>
      </c>
      <c r="G508" t="s">
        <v>8</v>
      </c>
      <c r="I508" s="8"/>
    </row>
    <row r="509" spans="1:9" x14ac:dyDescent="0.25">
      <c r="A509" t="s">
        <v>185</v>
      </c>
      <c r="B509" t="s">
        <v>186</v>
      </c>
      <c r="C509">
        <v>4.5999999999999996</v>
      </c>
      <c r="D509">
        <v>1636</v>
      </c>
      <c r="E509">
        <v>6</v>
      </c>
      <c r="F509">
        <v>2009</v>
      </c>
      <c r="G509" t="s">
        <v>8</v>
      </c>
      <c r="I509" s="8"/>
    </row>
    <row r="510" spans="1:9" x14ac:dyDescent="0.25">
      <c r="A510" t="s">
        <v>370</v>
      </c>
      <c r="B510" t="s">
        <v>371</v>
      </c>
      <c r="C510">
        <v>4.5</v>
      </c>
      <c r="D510">
        <v>1583</v>
      </c>
      <c r="E510">
        <v>18</v>
      </c>
      <c r="F510">
        <v>2009</v>
      </c>
      <c r="G510" t="s">
        <v>8</v>
      </c>
      <c r="I510" s="8"/>
    </row>
    <row r="511" spans="1:9" x14ac:dyDescent="0.25">
      <c r="A511" t="s">
        <v>163</v>
      </c>
      <c r="B511" t="s">
        <v>164</v>
      </c>
      <c r="C511">
        <v>4.4000000000000004</v>
      </c>
      <c r="D511">
        <v>1555</v>
      </c>
      <c r="E511">
        <v>9</v>
      </c>
      <c r="F511">
        <v>2010</v>
      </c>
      <c r="G511" t="s">
        <v>8</v>
      </c>
      <c r="I511" s="8"/>
    </row>
    <row r="512" spans="1:9" x14ac:dyDescent="0.25">
      <c r="A512" t="s">
        <v>89</v>
      </c>
      <c r="B512" t="s">
        <v>90</v>
      </c>
      <c r="C512">
        <v>4.7</v>
      </c>
      <c r="D512">
        <v>1542</v>
      </c>
      <c r="E512">
        <v>14</v>
      </c>
      <c r="F512">
        <v>2009</v>
      </c>
      <c r="G512" t="s">
        <v>8</v>
      </c>
      <c r="I512" s="8"/>
    </row>
    <row r="513" spans="1:9" x14ac:dyDescent="0.25">
      <c r="A513" t="s">
        <v>89</v>
      </c>
      <c r="B513" t="s">
        <v>90</v>
      </c>
      <c r="C513">
        <v>4.7</v>
      </c>
      <c r="D513">
        <v>1542</v>
      </c>
      <c r="E513">
        <v>14</v>
      </c>
      <c r="F513">
        <v>2010</v>
      </c>
      <c r="G513" t="s">
        <v>8</v>
      </c>
      <c r="I513" s="8"/>
    </row>
    <row r="514" spans="1:9" x14ac:dyDescent="0.25">
      <c r="A514" t="s">
        <v>89</v>
      </c>
      <c r="B514" t="s">
        <v>90</v>
      </c>
      <c r="C514">
        <v>4.7</v>
      </c>
      <c r="D514">
        <v>1542</v>
      </c>
      <c r="E514">
        <v>14</v>
      </c>
      <c r="F514">
        <v>2011</v>
      </c>
      <c r="G514" t="s">
        <v>8</v>
      </c>
      <c r="I514" s="8"/>
    </row>
    <row r="515" spans="1:9" x14ac:dyDescent="0.25">
      <c r="A515" t="s">
        <v>102</v>
      </c>
      <c r="B515" t="s">
        <v>103</v>
      </c>
      <c r="C515">
        <v>4.5999999999999996</v>
      </c>
      <c r="D515">
        <v>1541</v>
      </c>
      <c r="E515">
        <v>4</v>
      </c>
      <c r="F515">
        <v>2009</v>
      </c>
      <c r="G515" t="s">
        <v>10</v>
      </c>
      <c r="I515" s="8"/>
    </row>
    <row r="516" spans="1:9" x14ac:dyDescent="0.25">
      <c r="A516" t="s">
        <v>280</v>
      </c>
      <c r="B516" t="s">
        <v>281</v>
      </c>
      <c r="C516">
        <v>4.0999999999999996</v>
      </c>
      <c r="D516">
        <v>1467</v>
      </c>
      <c r="E516">
        <v>10</v>
      </c>
      <c r="F516">
        <v>2010</v>
      </c>
      <c r="G516" t="s">
        <v>10</v>
      </c>
      <c r="I516" s="8"/>
    </row>
    <row r="517" spans="1:9" x14ac:dyDescent="0.25">
      <c r="A517" t="s">
        <v>523</v>
      </c>
      <c r="B517" t="s">
        <v>331</v>
      </c>
      <c r="C517">
        <v>4.7</v>
      </c>
      <c r="D517">
        <v>1463</v>
      </c>
      <c r="E517">
        <v>10</v>
      </c>
      <c r="F517">
        <v>2011</v>
      </c>
      <c r="G517" t="s">
        <v>10</v>
      </c>
      <c r="I517" s="8"/>
    </row>
    <row r="518" spans="1:9" x14ac:dyDescent="0.25">
      <c r="A518" t="s">
        <v>293</v>
      </c>
      <c r="B518" t="s">
        <v>62</v>
      </c>
      <c r="C518">
        <v>4.5</v>
      </c>
      <c r="D518">
        <v>1386</v>
      </c>
      <c r="E518">
        <v>20</v>
      </c>
      <c r="F518">
        <v>2014</v>
      </c>
      <c r="G518" t="s">
        <v>8</v>
      </c>
      <c r="I518" s="8"/>
    </row>
    <row r="519" spans="1:9" x14ac:dyDescent="0.25">
      <c r="A519" t="s">
        <v>180</v>
      </c>
      <c r="B519" t="s">
        <v>52</v>
      </c>
      <c r="C519">
        <v>4.5999999999999996</v>
      </c>
      <c r="D519">
        <v>1365</v>
      </c>
      <c r="E519">
        <v>11</v>
      </c>
      <c r="F519">
        <v>2009</v>
      </c>
      <c r="G519" t="s">
        <v>8</v>
      </c>
      <c r="I519" s="8"/>
    </row>
    <row r="520" spans="1:9" x14ac:dyDescent="0.25">
      <c r="A520" t="s">
        <v>98</v>
      </c>
      <c r="B520" t="s">
        <v>99</v>
      </c>
      <c r="C520">
        <v>4.8</v>
      </c>
      <c r="D520">
        <v>1329</v>
      </c>
      <c r="E520">
        <v>10</v>
      </c>
      <c r="F520">
        <v>2013</v>
      </c>
      <c r="G520" t="s">
        <v>8</v>
      </c>
      <c r="I520" s="8"/>
    </row>
    <row r="521" spans="1:9" x14ac:dyDescent="0.25">
      <c r="A521" t="s">
        <v>234</v>
      </c>
      <c r="B521" t="s">
        <v>235</v>
      </c>
      <c r="C521">
        <v>4.5999999999999996</v>
      </c>
      <c r="D521">
        <v>1320</v>
      </c>
      <c r="E521">
        <v>7</v>
      </c>
      <c r="F521">
        <v>2009</v>
      </c>
      <c r="G521" t="s">
        <v>10</v>
      </c>
      <c r="I521" s="8"/>
    </row>
    <row r="522" spans="1:9" x14ac:dyDescent="0.25">
      <c r="A522" t="s">
        <v>599</v>
      </c>
      <c r="B522" t="s">
        <v>600</v>
      </c>
      <c r="C522">
        <v>4.2</v>
      </c>
      <c r="D522">
        <v>1302</v>
      </c>
      <c r="E522">
        <v>11</v>
      </c>
      <c r="F522">
        <v>2010</v>
      </c>
      <c r="G522" t="s">
        <v>8</v>
      </c>
      <c r="I522" s="8"/>
    </row>
    <row r="523" spans="1:9" x14ac:dyDescent="0.25">
      <c r="A523" t="s">
        <v>61</v>
      </c>
      <c r="B523" t="s">
        <v>62</v>
      </c>
      <c r="C523">
        <v>4.8</v>
      </c>
      <c r="D523">
        <v>1296</v>
      </c>
      <c r="E523">
        <v>24</v>
      </c>
      <c r="F523">
        <v>2012</v>
      </c>
      <c r="G523" t="s">
        <v>8</v>
      </c>
      <c r="I523" s="8"/>
    </row>
    <row r="524" spans="1:9" x14ac:dyDescent="0.25">
      <c r="A524" t="s">
        <v>357</v>
      </c>
      <c r="B524" t="s">
        <v>358</v>
      </c>
      <c r="C524">
        <v>4.7</v>
      </c>
      <c r="D524">
        <v>1265</v>
      </c>
      <c r="E524">
        <v>11</v>
      </c>
      <c r="F524">
        <v>2010</v>
      </c>
      <c r="G524" t="s">
        <v>8</v>
      </c>
      <c r="I524" s="8"/>
    </row>
    <row r="525" spans="1:9" x14ac:dyDescent="0.25">
      <c r="A525" t="s">
        <v>167</v>
      </c>
      <c r="B525" t="s">
        <v>168</v>
      </c>
      <c r="C525">
        <v>4.4000000000000004</v>
      </c>
      <c r="D525">
        <v>1215</v>
      </c>
      <c r="E525">
        <v>9</v>
      </c>
      <c r="F525">
        <v>2010</v>
      </c>
      <c r="G525" t="s">
        <v>8</v>
      </c>
      <c r="I525" s="8"/>
    </row>
    <row r="526" spans="1:9" x14ac:dyDescent="0.25">
      <c r="A526" t="s">
        <v>510</v>
      </c>
      <c r="B526" t="s">
        <v>511</v>
      </c>
      <c r="C526">
        <v>4.5999999999999996</v>
      </c>
      <c r="D526">
        <v>1204</v>
      </c>
      <c r="E526">
        <v>14</v>
      </c>
      <c r="F526">
        <v>2010</v>
      </c>
      <c r="G526" t="s">
        <v>8</v>
      </c>
      <c r="I526" s="8"/>
    </row>
    <row r="527" spans="1:9" x14ac:dyDescent="0.25">
      <c r="A527" t="s">
        <v>491</v>
      </c>
      <c r="B527" t="s">
        <v>492</v>
      </c>
      <c r="C527">
        <v>4.4000000000000004</v>
      </c>
      <c r="D527">
        <v>1201</v>
      </c>
      <c r="E527">
        <v>40</v>
      </c>
      <c r="F527">
        <v>2010</v>
      </c>
      <c r="G527" t="s">
        <v>8</v>
      </c>
      <c r="I527" s="8"/>
    </row>
    <row r="528" spans="1:9" x14ac:dyDescent="0.25">
      <c r="A528" t="s">
        <v>491</v>
      </c>
      <c r="B528" t="s">
        <v>492</v>
      </c>
      <c r="C528">
        <v>4.4000000000000004</v>
      </c>
      <c r="D528">
        <v>1201</v>
      </c>
      <c r="E528">
        <v>40</v>
      </c>
      <c r="F528">
        <v>2011</v>
      </c>
      <c r="G528" t="s">
        <v>8</v>
      </c>
      <c r="I528" s="8"/>
    </row>
    <row r="529" spans="1:9" x14ac:dyDescent="0.25">
      <c r="A529" t="s">
        <v>491</v>
      </c>
      <c r="B529" t="s">
        <v>492</v>
      </c>
      <c r="C529">
        <v>4.4000000000000004</v>
      </c>
      <c r="D529">
        <v>1201</v>
      </c>
      <c r="E529">
        <v>40</v>
      </c>
      <c r="F529">
        <v>2012</v>
      </c>
      <c r="G529" t="s">
        <v>8</v>
      </c>
      <c r="I529" s="8"/>
    </row>
    <row r="530" spans="1:9" x14ac:dyDescent="0.25">
      <c r="A530" t="s">
        <v>491</v>
      </c>
      <c r="B530" t="s">
        <v>492</v>
      </c>
      <c r="C530">
        <v>4.4000000000000004</v>
      </c>
      <c r="D530">
        <v>1201</v>
      </c>
      <c r="E530">
        <v>40</v>
      </c>
      <c r="F530">
        <v>2013</v>
      </c>
      <c r="G530" t="s">
        <v>8</v>
      </c>
      <c r="I530" s="8"/>
    </row>
    <row r="531" spans="1:9" x14ac:dyDescent="0.25">
      <c r="A531" t="s">
        <v>491</v>
      </c>
      <c r="B531" t="s">
        <v>492</v>
      </c>
      <c r="C531">
        <v>4.4000000000000004</v>
      </c>
      <c r="D531">
        <v>1201</v>
      </c>
      <c r="E531">
        <v>40</v>
      </c>
      <c r="F531">
        <v>2014</v>
      </c>
      <c r="G531" t="s">
        <v>8</v>
      </c>
      <c r="I531" s="8"/>
    </row>
    <row r="532" spans="1:9" x14ac:dyDescent="0.25">
      <c r="A532" t="s">
        <v>252</v>
      </c>
      <c r="B532" t="s">
        <v>166</v>
      </c>
      <c r="C532">
        <v>4.5999999999999996</v>
      </c>
      <c r="D532">
        <v>978</v>
      </c>
      <c r="E532">
        <v>0</v>
      </c>
      <c r="F532">
        <v>2014</v>
      </c>
      <c r="G532" t="s">
        <v>10</v>
      </c>
      <c r="I532" s="8"/>
    </row>
    <row r="533" spans="1:9" x14ac:dyDescent="0.25">
      <c r="A533" t="s">
        <v>363</v>
      </c>
      <c r="B533" t="s">
        <v>103</v>
      </c>
      <c r="C533">
        <v>4.7</v>
      </c>
      <c r="D533">
        <v>973</v>
      </c>
      <c r="E533">
        <v>25</v>
      </c>
      <c r="F533">
        <v>2009</v>
      </c>
      <c r="G533" t="s">
        <v>10</v>
      </c>
      <c r="I533" s="8"/>
    </row>
    <row r="534" spans="1:9" x14ac:dyDescent="0.25">
      <c r="A534" t="s">
        <v>139</v>
      </c>
      <c r="B534" t="s">
        <v>138</v>
      </c>
      <c r="C534">
        <v>4.3</v>
      </c>
      <c r="D534">
        <v>956</v>
      </c>
      <c r="E534">
        <v>14</v>
      </c>
      <c r="F534">
        <v>2009</v>
      </c>
      <c r="G534" t="s">
        <v>8</v>
      </c>
      <c r="I534" s="8"/>
    </row>
    <row r="535" spans="1:9" x14ac:dyDescent="0.25">
      <c r="A535" t="s">
        <v>402</v>
      </c>
      <c r="B535" t="s">
        <v>403</v>
      </c>
      <c r="C535">
        <v>4.7</v>
      </c>
      <c r="D535">
        <v>858</v>
      </c>
      <c r="E535">
        <v>53</v>
      </c>
      <c r="F535">
        <v>2009</v>
      </c>
      <c r="G535" t="s">
        <v>8</v>
      </c>
      <c r="I535" s="8"/>
    </row>
    <row r="536" spans="1:9" x14ac:dyDescent="0.25">
      <c r="A536" t="s">
        <v>493</v>
      </c>
      <c r="B536" t="s">
        <v>492</v>
      </c>
      <c r="C536">
        <v>4.3</v>
      </c>
      <c r="D536">
        <v>807</v>
      </c>
      <c r="E536">
        <v>36</v>
      </c>
      <c r="F536">
        <v>2016</v>
      </c>
      <c r="G536" t="s">
        <v>8</v>
      </c>
      <c r="I536" s="8"/>
    </row>
    <row r="537" spans="1:9" x14ac:dyDescent="0.25">
      <c r="A537" t="s">
        <v>429</v>
      </c>
      <c r="B537" t="s">
        <v>383</v>
      </c>
      <c r="C537">
        <v>4.5999999999999996</v>
      </c>
      <c r="D537">
        <v>803</v>
      </c>
      <c r="E537">
        <v>9</v>
      </c>
      <c r="F537">
        <v>2009</v>
      </c>
      <c r="G537" t="s">
        <v>8</v>
      </c>
      <c r="I537" s="8"/>
    </row>
    <row r="538" spans="1:9" x14ac:dyDescent="0.25">
      <c r="A538" t="s">
        <v>51</v>
      </c>
      <c r="B538" t="s">
        <v>52</v>
      </c>
      <c r="C538">
        <v>4.5999999999999996</v>
      </c>
      <c r="D538">
        <v>798</v>
      </c>
      <c r="E538">
        <v>5</v>
      </c>
      <c r="F538">
        <v>2009</v>
      </c>
      <c r="G538" t="s">
        <v>8</v>
      </c>
      <c r="I538" s="8"/>
    </row>
    <row r="539" spans="1:9" x14ac:dyDescent="0.25">
      <c r="A539" t="s">
        <v>137</v>
      </c>
      <c r="B539" t="s">
        <v>138</v>
      </c>
      <c r="C539">
        <v>4.5</v>
      </c>
      <c r="D539">
        <v>720</v>
      </c>
      <c r="E539">
        <v>1</v>
      </c>
      <c r="F539">
        <v>2009</v>
      </c>
      <c r="G539" t="s">
        <v>8</v>
      </c>
      <c r="I539" s="8"/>
    </row>
    <row r="540" spans="1:9" x14ac:dyDescent="0.25">
      <c r="A540" t="s">
        <v>376</v>
      </c>
      <c r="B540" t="s">
        <v>377</v>
      </c>
      <c r="C540">
        <v>4.4000000000000004</v>
      </c>
      <c r="D540">
        <v>637</v>
      </c>
      <c r="E540">
        <v>20</v>
      </c>
      <c r="F540">
        <v>2010</v>
      </c>
      <c r="G540" t="s">
        <v>8</v>
      </c>
      <c r="I540" s="8"/>
    </row>
    <row r="541" spans="1:9" x14ac:dyDescent="0.25">
      <c r="A541" t="s">
        <v>376</v>
      </c>
      <c r="B541" t="s">
        <v>377</v>
      </c>
      <c r="C541">
        <v>4.4000000000000004</v>
      </c>
      <c r="D541">
        <v>637</v>
      </c>
      <c r="E541">
        <v>20</v>
      </c>
      <c r="F541">
        <v>2011</v>
      </c>
      <c r="G541" t="s">
        <v>8</v>
      </c>
      <c r="I541" s="8"/>
    </row>
    <row r="542" spans="1:9" x14ac:dyDescent="0.25">
      <c r="A542" t="s">
        <v>63</v>
      </c>
      <c r="B542" t="s">
        <v>62</v>
      </c>
      <c r="C542">
        <v>4.7</v>
      </c>
      <c r="D542">
        <v>615</v>
      </c>
      <c r="E542">
        <v>21</v>
      </c>
      <c r="F542">
        <v>2010</v>
      </c>
      <c r="G542" t="s">
        <v>8</v>
      </c>
      <c r="I542" s="8"/>
    </row>
    <row r="543" spans="1:9" x14ac:dyDescent="0.25">
      <c r="A543" t="s">
        <v>330</v>
      </c>
      <c r="B543" t="s">
        <v>331</v>
      </c>
      <c r="C543">
        <v>4.8</v>
      </c>
      <c r="D543">
        <v>548</v>
      </c>
      <c r="E543">
        <v>2</v>
      </c>
      <c r="F543">
        <v>2010</v>
      </c>
      <c r="G543" t="s">
        <v>10</v>
      </c>
      <c r="I543" s="8"/>
    </row>
    <row r="544" spans="1:9" x14ac:dyDescent="0.25">
      <c r="A544" t="s">
        <v>55</v>
      </c>
      <c r="B544" t="s">
        <v>56</v>
      </c>
      <c r="C544">
        <v>4.2</v>
      </c>
      <c r="D544">
        <v>491</v>
      </c>
      <c r="E544">
        <v>14</v>
      </c>
      <c r="F544">
        <v>2010</v>
      </c>
      <c r="G544" t="s">
        <v>8</v>
      </c>
      <c r="I544" s="8"/>
    </row>
    <row r="545" spans="1:9" x14ac:dyDescent="0.25">
      <c r="A545" t="s">
        <v>74</v>
      </c>
      <c r="B545" t="s">
        <v>52</v>
      </c>
      <c r="C545">
        <v>4.5</v>
      </c>
      <c r="D545">
        <v>471</v>
      </c>
      <c r="E545">
        <v>8</v>
      </c>
      <c r="F545">
        <v>2010</v>
      </c>
      <c r="G545" t="s">
        <v>8</v>
      </c>
      <c r="I545" s="8"/>
    </row>
    <row r="546" spans="1:9" x14ac:dyDescent="0.25">
      <c r="A546" t="s">
        <v>26</v>
      </c>
      <c r="B546" t="s">
        <v>27</v>
      </c>
      <c r="C546">
        <v>4.5999999999999996</v>
      </c>
      <c r="D546">
        <v>460</v>
      </c>
      <c r="E546">
        <v>2</v>
      </c>
      <c r="F546">
        <v>2010</v>
      </c>
      <c r="G546" t="s">
        <v>8</v>
      </c>
      <c r="I546" s="8"/>
    </row>
    <row r="547" spans="1:9" x14ac:dyDescent="0.25">
      <c r="A547" t="s">
        <v>418</v>
      </c>
      <c r="B547" t="s">
        <v>419</v>
      </c>
      <c r="C547">
        <v>4.4000000000000004</v>
      </c>
      <c r="D547">
        <v>440</v>
      </c>
      <c r="E547">
        <v>11</v>
      </c>
      <c r="F547">
        <v>2010</v>
      </c>
      <c r="G547" t="s">
        <v>8</v>
      </c>
      <c r="I547" s="8"/>
    </row>
    <row r="548" spans="1:9" x14ac:dyDescent="0.25">
      <c r="A548" t="s">
        <v>561</v>
      </c>
      <c r="B548" t="s">
        <v>562</v>
      </c>
      <c r="C548">
        <v>4.5</v>
      </c>
      <c r="D548">
        <v>438</v>
      </c>
      <c r="E548">
        <v>15</v>
      </c>
      <c r="F548">
        <v>2009</v>
      </c>
      <c r="G548" t="s">
        <v>8</v>
      </c>
      <c r="I548" s="8"/>
    </row>
    <row r="549" spans="1:9" x14ac:dyDescent="0.25">
      <c r="A549" t="s">
        <v>171</v>
      </c>
      <c r="B549" t="s">
        <v>172</v>
      </c>
      <c r="C549">
        <v>4.5</v>
      </c>
      <c r="D549">
        <v>408</v>
      </c>
      <c r="E549">
        <v>20</v>
      </c>
      <c r="F549">
        <v>2010</v>
      </c>
      <c r="G549" t="s">
        <v>8</v>
      </c>
      <c r="I549" s="8"/>
    </row>
    <row r="550" spans="1:9" x14ac:dyDescent="0.25">
      <c r="A550" t="s">
        <v>364</v>
      </c>
      <c r="B550" t="s">
        <v>122</v>
      </c>
      <c r="C550">
        <v>4.5999999999999996</v>
      </c>
      <c r="D550">
        <v>220</v>
      </c>
      <c r="E550">
        <v>17</v>
      </c>
      <c r="F550">
        <v>2013</v>
      </c>
      <c r="G550" t="s">
        <v>8</v>
      </c>
      <c r="I550" s="8"/>
    </row>
    <row r="551" spans="1:9" x14ac:dyDescent="0.25">
      <c r="A551" t="s">
        <v>121</v>
      </c>
      <c r="B551" t="s">
        <v>122</v>
      </c>
      <c r="C551">
        <v>4.5999999999999996</v>
      </c>
      <c r="D551">
        <v>37</v>
      </c>
      <c r="E551">
        <v>6</v>
      </c>
      <c r="F551">
        <v>2009</v>
      </c>
      <c r="G551" t="s">
        <v>8</v>
      </c>
      <c r="I551" s="8"/>
    </row>
    <row r="552" spans="1:9" x14ac:dyDescent="0.25">
      <c r="I552" s="8"/>
    </row>
  </sheetData>
  <autoFilter ref="A1:G10" xr:uid="{B8B1C02A-6C0E-488F-A3A5-2AA5D33BC091}"/>
  <sortState xmlns:xlrd2="http://schemas.microsoft.com/office/spreadsheetml/2017/richdata2" ref="A2:G552">
    <sortCondition descending="1" ref="D2:D552"/>
    <sortCondition descending="1" ref="C2:C552"/>
  </sortState>
  <conditionalFormatting sqref="D1:D551 D1186:D1048576">
    <cfRule type="cellIs" dxfId="1" priority="2" operator="lessThan">
      <formula>100</formula>
    </cfRule>
  </conditionalFormatting>
  <conditionalFormatting sqref="E2:E1048576">
    <cfRule type="cellIs" dxfId="0" priority="1" operator="notBetween">
      <formula>0</formula>
      <formula>54</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bestsellers with categories (3)</vt:lpstr>
      <vt:lpstr>Most Expensive Book</vt:lpstr>
      <vt:lpstr>least Expensive Book</vt:lpstr>
      <vt:lpstr>max 4.9</vt:lpstr>
      <vt:lpstr>min 3.3</vt:lpstr>
      <vt:lpstr>least Expensive Book (2)</vt:lpstr>
      <vt:lpstr>Task 3 visualisation</vt:lpstr>
      <vt:lpstr>Task 4 Insight n Recomm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modified xsi:type="dcterms:W3CDTF">2025-06-17T04:33:30Z</dcterms:modified>
</cp:coreProperties>
</file>